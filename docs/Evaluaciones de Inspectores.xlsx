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3947a4111e0f66/AÑO 2026/CEO/Capacitación/Inspectores/"/>
    </mc:Choice>
  </mc:AlternateContent>
  <xr:revisionPtr revIDLastSave="1046" documentId="8_{082F901B-2D0D-4695-9C2D-15A208480B74}" xr6:coauthVersionLast="47" xr6:coauthVersionMax="47" xr10:uidLastSave="{D522E388-22AA-4B58-ABD6-B85ADBC9DB86}"/>
  <bookViews>
    <workbookView xWindow="28680" yWindow="-6510" windowWidth="29040" windowHeight="15720" xr2:uid="{00000000-000D-0000-FFFF-FFFF00000000}"/>
  </bookViews>
  <sheets>
    <sheet name="Ciclos de Inspectores" sheetId="1" r:id="rId1"/>
    <sheet name="pesos ponderados" sheetId="2" r:id="rId2"/>
  </sheets>
  <definedNames>
    <definedName name="_xlnm._FilterDatabase" localSheetId="0" hidden="1">'Ciclos de Inspectores'!$A$2:$AO$146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" i="1" l="1"/>
  <c r="Y94" i="1"/>
  <c r="AB94" i="1" s="1"/>
  <c r="Y43" i="1"/>
  <c r="AB43" i="1" s="1"/>
  <c r="Y14" i="1"/>
  <c r="AB14" i="1" s="1"/>
  <c r="F124" i="1"/>
  <c r="F125" i="1"/>
  <c r="F126" i="1"/>
  <c r="F127" i="1"/>
  <c r="F123" i="1"/>
  <c r="Y123" i="1"/>
  <c r="AC123" i="1" s="1"/>
  <c r="Y124" i="1"/>
  <c r="AC124" i="1" s="1"/>
  <c r="Y125" i="1"/>
  <c r="AC125" i="1" s="1"/>
  <c r="Y126" i="1"/>
  <c r="Y127" i="1"/>
  <c r="Y128" i="1"/>
  <c r="Y129" i="1"/>
  <c r="Y130" i="1"/>
  <c r="Y131" i="1"/>
  <c r="Y132" i="1"/>
  <c r="Y133" i="1"/>
  <c r="AB133" i="1" s="1"/>
  <c r="Y134" i="1"/>
  <c r="Y135" i="1"/>
  <c r="AB135" i="1" s="1"/>
  <c r="AC135" i="1" s="1"/>
  <c r="Y136" i="1"/>
  <c r="Y137" i="1"/>
  <c r="AC137" i="1" s="1"/>
  <c r="Y138" i="1"/>
  <c r="AC138" i="1" s="1"/>
  <c r="Y139" i="1"/>
  <c r="Y140" i="1"/>
  <c r="AC140" i="1" s="1"/>
  <c r="Y141" i="1"/>
  <c r="Y142" i="1"/>
  <c r="Y143" i="1"/>
  <c r="AC143" i="1" s="1"/>
  <c r="Y144" i="1"/>
  <c r="AC144" i="1" s="1"/>
  <c r="Y145" i="1"/>
  <c r="AC145" i="1" s="1"/>
  <c r="Y146" i="1"/>
  <c r="AC146" i="1" s="1"/>
  <c r="Y104" i="1"/>
  <c r="Y105" i="1"/>
  <c r="AB105" i="1" s="1"/>
  <c r="AC105" i="1" s="1"/>
  <c r="Y106" i="1"/>
  <c r="AB106" i="1" s="1"/>
  <c r="AC106" i="1" s="1"/>
  <c r="Y107" i="1"/>
  <c r="AC107" i="1" s="1"/>
  <c r="Y108" i="1"/>
  <c r="AC108" i="1" s="1"/>
  <c r="Y109" i="1"/>
  <c r="AC109" i="1" s="1"/>
  <c r="Y110" i="1"/>
  <c r="AB110" i="1" s="1"/>
  <c r="AC110" i="1" s="1"/>
  <c r="Y111" i="1"/>
  <c r="AB111" i="1" s="1"/>
  <c r="AC111" i="1" s="1"/>
  <c r="Y112" i="1"/>
  <c r="AB112" i="1" s="1"/>
  <c r="AC112" i="1" s="1"/>
  <c r="Y113" i="1"/>
  <c r="AC113" i="1" s="1"/>
  <c r="Y114" i="1"/>
  <c r="AC114" i="1" s="1"/>
  <c r="Y115" i="1"/>
  <c r="Y116" i="1"/>
  <c r="Y117" i="1"/>
  <c r="Y118" i="1"/>
  <c r="Y119" i="1"/>
  <c r="Y120" i="1"/>
  <c r="Y121" i="1"/>
  <c r="AC121" i="1" s="1"/>
  <c r="Y122" i="1"/>
  <c r="AB122" i="1" s="1"/>
  <c r="AC122" i="1" s="1"/>
  <c r="AC88" i="1"/>
  <c r="AC93" i="1"/>
  <c r="AC102" i="1"/>
  <c r="AB136" i="1" l="1"/>
  <c r="AC136" i="1" s="1"/>
  <c r="AC142" i="1"/>
  <c r="AC141" i="1"/>
  <c r="AC139" i="1"/>
  <c r="AC131" i="1"/>
  <c r="AC120" i="1"/>
  <c r="AC118" i="1"/>
  <c r="AC134" i="1"/>
  <c r="AC133" i="1"/>
  <c r="AB119" i="1"/>
  <c r="AC119" i="1" s="1"/>
  <c r="AC129" i="1"/>
  <c r="AC117" i="1"/>
  <c r="AC128" i="1"/>
  <c r="AB132" i="1"/>
  <c r="AC132" i="1" s="1"/>
  <c r="AC130" i="1"/>
  <c r="AC116" i="1"/>
  <c r="AC127" i="1"/>
  <c r="AB115" i="1"/>
  <c r="AC115" i="1" s="1"/>
  <c r="AB126" i="1"/>
  <c r="AC126" i="1" s="1"/>
  <c r="AC104" i="1"/>
  <c r="Y86" i="1"/>
  <c r="AB86" i="1" s="1"/>
  <c r="AC86" i="1" s="1"/>
  <c r="Y87" i="1"/>
  <c r="AB87" i="1" s="1"/>
  <c r="AC87" i="1" s="1"/>
  <c r="Y88" i="1"/>
  <c r="Y89" i="1"/>
  <c r="AB89" i="1" s="1"/>
  <c r="AC89" i="1" s="1"/>
  <c r="Y90" i="1"/>
  <c r="AB90" i="1" s="1"/>
  <c r="AC90" i="1" s="1"/>
  <c r="Y91" i="1"/>
  <c r="AB91" i="1" s="1"/>
  <c r="AC91" i="1" s="1"/>
  <c r="Y92" i="1"/>
  <c r="AB92" i="1" s="1"/>
  <c r="AC92" i="1" s="1"/>
  <c r="Y93" i="1"/>
  <c r="Y95" i="1"/>
  <c r="AB95" i="1" s="1"/>
  <c r="AC95" i="1" s="1"/>
  <c r="Y96" i="1"/>
  <c r="AB96" i="1" s="1"/>
  <c r="AC96" i="1" s="1"/>
  <c r="Y97" i="1"/>
  <c r="AB97" i="1" s="1"/>
  <c r="AC97" i="1" s="1"/>
  <c r="Y98" i="1"/>
  <c r="AB98" i="1" s="1"/>
  <c r="AC98" i="1" s="1"/>
  <c r="Y99" i="1"/>
  <c r="AB99" i="1" s="1"/>
  <c r="AC99" i="1" s="1"/>
  <c r="Y100" i="1"/>
  <c r="AB100" i="1" s="1"/>
  <c r="AC100" i="1" s="1"/>
  <c r="Y101" i="1"/>
  <c r="AB101" i="1" s="1"/>
  <c r="AC101" i="1" s="1"/>
  <c r="Y102" i="1"/>
  <c r="Y103" i="1"/>
  <c r="AB103" i="1" s="1"/>
  <c r="AC103" i="1" s="1"/>
  <c r="AC52" i="1"/>
  <c r="AC54" i="1"/>
  <c r="AC63" i="1"/>
  <c r="AC65" i="1"/>
  <c r="AC69" i="1"/>
  <c r="AC71" i="1"/>
  <c r="AC76" i="1"/>
  <c r="AC79" i="1"/>
  <c r="AC81" i="1"/>
  <c r="Y68" i="1" l="1"/>
  <c r="AB68" i="1" s="1"/>
  <c r="AC68" i="1" s="1"/>
  <c r="Y69" i="1"/>
  <c r="Y70" i="1"/>
  <c r="AB70" i="1" s="1"/>
  <c r="AC70" i="1" s="1"/>
  <c r="Y71" i="1"/>
  <c r="Y72" i="1"/>
  <c r="AB72" i="1" s="1"/>
  <c r="AC72" i="1" s="1"/>
  <c r="Y73" i="1"/>
  <c r="AB73" i="1" s="1"/>
  <c r="Y74" i="1"/>
  <c r="AB74" i="1" s="1"/>
  <c r="AC74" i="1" s="1"/>
  <c r="Y75" i="1"/>
  <c r="AB75" i="1" s="1"/>
  <c r="AC75" i="1" s="1"/>
  <c r="Y76" i="1"/>
  <c r="Y77" i="1"/>
  <c r="AB77" i="1" s="1"/>
  <c r="AC77" i="1" s="1"/>
  <c r="Y78" i="1"/>
  <c r="AB78" i="1" s="1"/>
  <c r="AC78" i="1" s="1"/>
  <c r="Y79" i="1"/>
  <c r="Y80" i="1"/>
  <c r="AB80" i="1" s="1"/>
  <c r="AC80" i="1" s="1"/>
  <c r="Y81" i="1"/>
  <c r="Y82" i="1"/>
  <c r="AB82" i="1" s="1"/>
  <c r="AC82" i="1" s="1"/>
  <c r="Y83" i="1"/>
  <c r="AB83" i="1" s="1"/>
  <c r="AC83" i="1" s="1"/>
  <c r="Y84" i="1"/>
  <c r="AB84" i="1" s="1"/>
  <c r="AC84" i="1" s="1"/>
  <c r="Y85" i="1"/>
  <c r="AB85" i="1" s="1"/>
  <c r="AC85" i="1" s="1"/>
  <c r="Y51" i="1"/>
  <c r="AB51" i="1" s="1"/>
  <c r="AC51" i="1" s="1"/>
  <c r="Y52" i="1"/>
  <c r="Y53" i="1"/>
  <c r="AB53" i="1" s="1"/>
  <c r="Y54" i="1"/>
  <c r="Y55" i="1"/>
  <c r="AB55" i="1" s="1"/>
  <c r="AC55" i="1" s="1"/>
  <c r="Y56" i="1"/>
  <c r="AB56" i="1" s="1"/>
  <c r="AC56" i="1" s="1"/>
  <c r="Y57" i="1"/>
  <c r="AB57" i="1" s="1"/>
  <c r="AC57" i="1" s="1"/>
  <c r="Y58" i="1"/>
  <c r="AB58" i="1" s="1"/>
  <c r="AC58" i="1" s="1"/>
  <c r="Y59" i="1"/>
  <c r="AB59" i="1" s="1"/>
  <c r="AC59" i="1" s="1"/>
  <c r="Y60" i="1"/>
  <c r="AB60" i="1" s="1"/>
  <c r="AC60" i="1" s="1"/>
  <c r="Y61" i="1"/>
  <c r="AB61" i="1" s="1"/>
  <c r="AC61" i="1" s="1"/>
  <c r="Y62" i="1"/>
  <c r="AB62" i="1" s="1"/>
  <c r="AC62" i="1" s="1"/>
  <c r="Y63" i="1"/>
  <c r="Y64" i="1"/>
  <c r="AB64" i="1" s="1"/>
  <c r="AC64" i="1" s="1"/>
  <c r="Y65" i="1"/>
  <c r="Y66" i="1"/>
  <c r="AB66" i="1" s="1"/>
  <c r="AC66" i="1" s="1"/>
  <c r="Y67" i="1"/>
  <c r="AB67" i="1" s="1"/>
  <c r="AC67" i="1" s="1"/>
  <c r="AC40" i="1"/>
  <c r="AC49" i="1"/>
  <c r="AC50" i="1"/>
  <c r="AC19" i="1"/>
  <c r="Y33" i="1"/>
  <c r="Y34" i="1"/>
  <c r="Y35" i="1"/>
  <c r="Y36" i="1"/>
  <c r="Y37" i="1"/>
  <c r="Y38" i="1"/>
  <c r="Y39" i="1"/>
  <c r="Y40" i="1"/>
  <c r="Y41" i="1"/>
  <c r="Y42" i="1"/>
  <c r="Y44" i="1"/>
  <c r="Y45" i="1"/>
  <c r="Y46" i="1"/>
  <c r="Y47" i="1"/>
  <c r="Y48" i="1"/>
  <c r="Y49" i="1"/>
  <c r="Y50" i="1"/>
  <c r="W32" i="1"/>
  <c r="Q32" i="1"/>
  <c r="W31" i="1"/>
  <c r="Q31" i="1"/>
  <c r="W30" i="1"/>
  <c r="Q30" i="1"/>
  <c r="W29" i="1"/>
  <c r="Q29" i="1"/>
  <c r="W28" i="1"/>
  <c r="Q28" i="1"/>
  <c r="W27" i="1"/>
  <c r="Q27" i="1"/>
  <c r="W26" i="1"/>
  <c r="Q26" i="1"/>
  <c r="W25" i="1"/>
  <c r="Q25" i="1"/>
  <c r="W24" i="1"/>
  <c r="Q24" i="1"/>
  <c r="W23" i="1"/>
  <c r="Q23" i="1"/>
  <c r="W22" i="1"/>
  <c r="Q22" i="1"/>
  <c r="W21" i="1"/>
  <c r="Q21" i="1"/>
  <c r="W20" i="1"/>
  <c r="Q20" i="1"/>
  <c r="Q19" i="1"/>
  <c r="Q18" i="1"/>
  <c r="Q17" i="1"/>
  <c r="Q16" i="1"/>
  <c r="Q15" i="1"/>
  <c r="Q13" i="1"/>
  <c r="Q12" i="1"/>
  <c r="Q11" i="1"/>
  <c r="Q10" i="1"/>
  <c r="Q9" i="1"/>
  <c r="Q8" i="1"/>
  <c r="Q7" i="1"/>
  <c r="Q6" i="1"/>
  <c r="Q5" i="1"/>
  <c r="Q4" i="1"/>
  <c r="Q3" i="1"/>
  <c r="T18" i="1"/>
  <c r="T17" i="1"/>
  <c r="T16" i="1"/>
  <c r="W16" i="1" s="1"/>
  <c r="T15" i="1"/>
  <c r="T13" i="1"/>
  <c r="T12" i="1"/>
  <c r="T10" i="1"/>
  <c r="T9" i="1"/>
  <c r="W9" i="1" s="1"/>
  <c r="T7" i="1"/>
  <c r="T6" i="1"/>
  <c r="T4" i="1"/>
  <c r="T3" i="1"/>
  <c r="S19" i="1"/>
  <c r="T19" i="1" s="1"/>
  <c r="S18" i="1"/>
  <c r="S17" i="1"/>
  <c r="S15" i="1"/>
  <c r="S13" i="1"/>
  <c r="S12" i="1"/>
  <c r="S11" i="1"/>
  <c r="T11" i="1" s="1"/>
  <c r="W11" i="1" s="1"/>
  <c r="S10" i="1"/>
  <c r="S9" i="1"/>
  <c r="S8" i="1"/>
  <c r="T8" i="1" s="1"/>
  <c r="S7" i="1"/>
  <c r="S6" i="1"/>
  <c r="S5" i="1"/>
  <c r="T5" i="1" s="1"/>
  <c r="S4" i="1"/>
  <c r="S3" i="1"/>
  <c r="J10" i="1"/>
  <c r="W7" i="1" l="1"/>
  <c r="X7" i="1" s="1"/>
  <c r="Y7" i="1" s="1"/>
  <c r="AB7" i="1" s="1"/>
  <c r="AC7" i="1" s="1"/>
  <c r="W3" i="1"/>
  <c r="X3" i="1" s="1"/>
  <c r="Y3" i="1" s="1"/>
  <c r="AB3" i="1" s="1"/>
  <c r="AC3" i="1" s="1"/>
  <c r="X23" i="1"/>
  <c r="Y23" i="1" s="1"/>
  <c r="AB23" i="1" s="1"/>
  <c r="AC23" i="1" s="1"/>
  <c r="X22" i="1"/>
  <c r="Y22" i="1" s="1"/>
  <c r="AB22" i="1" s="1"/>
  <c r="AC22" i="1" s="1"/>
  <c r="X30" i="1"/>
  <c r="Y30" i="1" s="1"/>
  <c r="AB30" i="1" s="1"/>
  <c r="AC30" i="1" s="1"/>
  <c r="W13" i="1"/>
  <c r="X13" i="1" s="1"/>
  <c r="Y13" i="1" s="1"/>
  <c r="AB13" i="1" s="1"/>
  <c r="AC13" i="1" s="1"/>
  <c r="W12" i="1"/>
  <c r="X24" i="1"/>
  <c r="Y24" i="1" s="1"/>
  <c r="AB24" i="1" s="1"/>
  <c r="X32" i="1"/>
  <c r="Y32" i="1" s="1"/>
  <c r="AB32" i="1" s="1"/>
  <c r="AC32" i="1" s="1"/>
  <c r="AB46" i="1"/>
  <c r="AC46" i="1" s="1"/>
  <c r="X25" i="1"/>
  <c r="Y25" i="1" s="1"/>
  <c r="AB25" i="1" s="1"/>
  <c r="AC25" i="1" s="1"/>
  <c r="X21" i="1"/>
  <c r="Y21" i="1" s="1"/>
  <c r="AB21" i="1" s="1"/>
  <c r="AC21" i="1" s="1"/>
  <c r="X29" i="1"/>
  <c r="Y29" i="1" s="1"/>
  <c r="AB29" i="1" s="1"/>
  <c r="AC29" i="1" s="1"/>
  <c r="AB37" i="1"/>
  <c r="AC37" i="1" s="1"/>
  <c r="X31" i="1"/>
  <c r="Y31" i="1" s="1"/>
  <c r="AB31" i="1" s="1"/>
  <c r="AC31" i="1" s="1"/>
  <c r="AB48" i="1"/>
  <c r="AC48" i="1" s="1"/>
  <c r="AB38" i="1"/>
  <c r="AC38" i="1" s="1"/>
  <c r="AB34" i="1"/>
  <c r="AC34" i="1" s="1"/>
  <c r="AB47" i="1"/>
  <c r="AC47" i="1" s="1"/>
  <c r="AB36" i="1"/>
  <c r="AC36" i="1" s="1"/>
  <c r="X26" i="1"/>
  <c r="Y26" i="1" s="1"/>
  <c r="AB26" i="1" s="1"/>
  <c r="AC26" i="1" s="1"/>
  <c r="AB35" i="1"/>
  <c r="AC35" i="1" s="1"/>
  <c r="AB33" i="1"/>
  <c r="AC33" i="1" s="1"/>
  <c r="X9" i="1"/>
  <c r="Y9" i="1" s="1"/>
  <c r="AB9" i="1" s="1"/>
  <c r="AC9" i="1" s="1"/>
  <c r="AB45" i="1"/>
  <c r="AC45" i="1" s="1"/>
  <c r="X11" i="1"/>
  <c r="Y11" i="1" s="1"/>
  <c r="AB11" i="1" s="1"/>
  <c r="AC11" i="1" s="1"/>
  <c r="AB44" i="1"/>
  <c r="AC44" i="1" s="1"/>
  <c r="AB42" i="1"/>
  <c r="AC42" i="1" s="1"/>
  <c r="AB41" i="1"/>
  <c r="AC41" i="1" s="1"/>
  <c r="AB39" i="1"/>
  <c r="AC39" i="1" s="1"/>
  <c r="W15" i="1"/>
  <c r="X15" i="1" s="1"/>
  <c r="Y15" i="1" s="1"/>
  <c r="AB15" i="1" s="1"/>
  <c r="AC15" i="1" s="1"/>
  <c r="W18" i="1"/>
  <c r="X18" i="1" s="1"/>
  <c r="Y18" i="1" s="1"/>
  <c r="AB18" i="1" s="1"/>
  <c r="AC18" i="1" s="1"/>
  <c r="W10" i="1"/>
  <c r="X10" i="1" s="1"/>
  <c r="Y10" i="1" s="1"/>
  <c r="AB10" i="1" s="1"/>
  <c r="AC10" i="1" s="1"/>
  <c r="W5" i="1"/>
  <c r="X5" i="1" s="1"/>
  <c r="Y5" i="1" s="1"/>
  <c r="AB5" i="1" s="1"/>
  <c r="AC5" i="1" s="1"/>
  <c r="W17" i="1"/>
  <c r="X17" i="1" s="1"/>
  <c r="Y17" i="1" s="1"/>
  <c r="AB17" i="1" s="1"/>
  <c r="AC17" i="1" s="1"/>
  <c r="W4" i="1"/>
  <c r="X4" i="1" s="1"/>
  <c r="Y4" i="1" s="1"/>
  <c r="AB4" i="1" s="1"/>
  <c r="AC4" i="1" s="1"/>
  <c r="X27" i="1"/>
  <c r="Y27" i="1" s="1"/>
  <c r="AB27" i="1" s="1"/>
  <c r="AC27" i="1" s="1"/>
  <c r="X20" i="1"/>
  <c r="Y20" i="1" s="1"/>
  <c r="AB20" i="1" s="1"/>
  <c r="AC20" i="1" s="1"/>
  <c r="X28" i="1"/>
  <c r="Y28" i="1" s="1"/>
  <c r="AB28" i="1" s="1"/>
  <c r="AC28" i="1" s="1"/>
  <c r="W6" i="1"/>
  <c r="X6" i="1" s="1"/>
  <c r="Y6" i="1" s="1"/>
  <c r="AB6" i="1" s="1"/>
  <c r="AC6" i="1" s="1"/>
  <c r="X12" i="1"/>
  <c r="Y12" i="1" s="1"/>
  <c r="AB12" i="1" s="1"/>
  <c r="AC12" i="1" s="1"/>
  <c r="X16" i="1"/>
  <c r="Y16" i="1" s="1"/>
  <c r="AB16" i="1" s="1"/>
  <c r="AC16" i="1" s="1"/>
  <c r="W19" i="1"/>
  <c r="X19" i="1" s="1"/>
  <c r="Y19" i="1" s="1"/>
  <c r="W8" i="1"/>
  <c r="X8" i="1" s="1"/>
  <c r="Y8" i="1" s="1"/>
  <c r="AB8" i="1" s="1"/>
  <c r="AC8" i="1" s="1"/>
  <c r="AG4" i="1" l="1"/>
  <c r="AF4" i="1"/>
  <c r="AF6" i="1" s="1"/>
  <c r="AE4" i="1"/>
  <c r="AH4" i="1" l="1"/>
</calcChain>
</file>

<file path=xl/sharedStrings.xml><?xml version="1.0" encoding="utf-8"?>
<sst xmlns="http://schemas.openxmlformats.org/spreadsheetml/2006/main" count="1734" uniqueCount="496">
  <si>
    <t>Evaluación Diagnóstico</t>
  </si>
  <si>
    <t>Evaluaciones Formativas</t>
  </si>
  <si>
    <t>Evaluaciones Sumativas</t>
  </si>
  <si>
    <t>N°</t>
  </si>
  <si>
    <t>RUT</t>
  </si>
  <si>
    <t>Nombre</t>
  </si>
  <si>
    <t>Apellido</t>
  </si>
  <si>
    <t>Cargo</t>
  </si>
  <si>
    <t>Asistencia Día 1</t>
  </si>
  <si>
    <t>Asistencia Día 2</t>
  </si>
  <si>
    <t>Audio</t>
  </si>
  <si>
    <t>Control</t>
  </si>
  <si>
    <t>Role Play conversación inefectiva</t>
  </si>
  <si>
    <t>Lecciones de vida</t>
  </si>
  <si>
    <t>Tuckman duplas</t>
  </si>
  <si>
    <t>Infaltables</t>
  </si>
  <si>
    <t>Plan personal a 60 días (día 1)</t>
  </si>
  <si>
    <t>Resistencias</t>
  </si>
  <si>
    <t>formativas</t>
  </si>
  <si>
    <t>Video/Audio</t>
  </si>
  <si>
    <t>Bitácora (lista de cotejo)</t>
  </si>
  <si>
    <t>Caso 1                       (lista cotejo)             Ptje máx 13</t>
  </si>
  <si>
    <t>Caso 1 (rúbrica) (solo pregunta 3)</t>
  </si>
  <si>
    <t>sumativas sin video</t>
  </si>
  <si>
    <t>Resultado final</t>
  </si>
  <si>
    <t>26357986-0</t>
  </si>
  <si>
    <t>Amarilys</t>
  </si>
  <si>
    <t>Bracho</t>
  </si>
  <si>
    <t>BLUE TEAM PESADO</t>
  </si>
  <si>
    <t>OK</t>
  </si>
  <si>
    <t>SI</t>
  </si>
  <si>
    <t>19032893-7</t>
  </si>
  <si>
    <t>Andrea</t>
  </si>
  <si>
    <t>Ramos</t>
  </si>
  <si>
    <t>ITO MA</t>
  </si>
  <si>
    <t xml:space="preserve">Carolina </t>
  </si>
  <si>
    <t>Larrondo</t>
  </si>
  <si>
    <t>ITO</t>
  </si>
  <si>
    <t>18645651-3</t>
  </si>
  <si>
    <t>Claudia</t>
  </si>
  <si>
    <t>Orellana</t>
  </si>
  <si>
    <t>RESPONSABLE BLUE TEAM</t>
  </si>
  <si>
    <t>15761247-6</t>
  </si>
  <si>
    <t>Cristian</t>
  </si>
  <si>
    <t>Gonzalez</t>
  </si>
  <si>
    <t>P&amp;M</t>
  </si>
  <si>
    <t>15426724-7</t>
  </si>
  <si>
    <t>Elizabeth</t>
  </si>
  <si>
    <t>Salinas</t>
  </si>
  <si>
    <t>25494140-9</t>
  </si>
  <si>
    <t>Francisco</t>
  </si>
  <si>
    <t>Oñate</t>
  </si>
  <si>
    <t>18908098-0</t>
  </si>
  <si>
    <t>Hugo</t>
  </si>
  <si>
    <t>Pastrian</t>
  </si>
  <si>
    <t>ITO HS</t>
  </si>
  <si>
    <t>NO</t>
  </si>
  <si>
    <t>21105026-8</t>
  </si>
  <si>
    <t xml:space="preserve">Ivonne </t>
  </si>
  <si>
    <t>Riquelme</t>
  </si>
  <si>
    <t>18936278-1</t>
  </si>
  <si>
    <t>Javier</t>
  </si>
  <si>
    <t>Mendez</t>
  </si>
  <si>
    <t>19919942-0</t>
  </si>
  <si>
    <t>Joshua</t>
  </si>
  <si>
    <t>Perez</t>
  </si>
  <si>
    <t>Lucas</t>
  </si>
  <si>
    <t>Cáceres</t>
  </si>
  <si>
    <t>ITO BLUE TEAM</t>
  </si>
  <si>
    <t>18613606-3</t>
  </si>
  <si>
    <t>Luis</t>
  </si>
  <si>
    <t>Cortes</t>
  </si>
  <si>
    <t>19064635-1</t>
  </si>
  <si>
    <t>Macarena</t>
  </si>
  <si>
    <t>Adasme</t>
  </si>
  <si>
    <t>ITO COSTUMER CARE</t>
  </si>
  <si>
    <t>18849090-5</t>
  </si>
  <si>
    <t>Mirko</t>
  </si>
  <si>
    <t>Banda</t>
  </si>
  <si>
    <t>16201989-9</t>
  </si>
  <si>
    <t>Nery</t>
  </si>
  <si>
    <t>Retamal</t>
  </si>
  <si>
    <t>25555496-4</t>
  </si>
  <si>
    <t>Yecelys</t>
  </si>
  <si>
    <t>Salazar</t>
  </si>
  <si>
    <t>Día</t>
  </si>
  <si>
    <t>Módulo</t>
  </si>
  <si>
    <t>Evaluación</t>
  </si>
  <si>
    <t>Tipo Evaluación</t>
  </si>
  <si>
    <t>Medio evaluación</t>
  </si>
  <si>
    <t>Escala</t>
  </si>
  <si>
    <t>Peso Aprobación</t>
  </si>
  <si>
    <t>Tipo evaluación</t>
  </si>
  <si>
    <t>Peso</t>
  </si>
  <si>
    <t>Quiz diagnóstico inicial</t>
  </si>
  <si>
    <t>Diagnóstica</t>
  </si>
  <si>
    <t>Respuestas correctas</t>
  </si>
  <si>
    <t xml:space="preserve"> 1 - 10 (con 10 el 100%)</t>
  </si>
  <si>
    <t>Audio evaluación situación</t>
  </si>
  <si>
    <t>Rúbrica</t>
  </si>
  <si>
    <t xml:space="preserve"> 1 - 5 (con 5 el 100%)</t>
  </si>
  <si>
    <t>Formativa</t>
  </si>
  <si>
    <t>Actividad grupal: etapas de una visita y preparación del feedback</t>
  </si>
  <si>
    <t>-</t>
  </si>
  <si>
    <t>Participa (1) o no (0)</t>
  </si>
  <si>
    <t>Sumativa</t>
  </si>
  <si>
    <t>Actividad grupal: rediseño conversación feedback de audio inicial</t>
  </si>
  <si>
    <t>Actividad grupal: presentación rediseño conversación feedback de audio inicial</t>
  </si>
  <si>
    <t>A ctividad grupal: diseño conversación usando distinciones</t>
  </si>
  <si>
    <t>Actividad individual: diseño convsersación de feedback con Tuckman</t>
  </si>
  <si>
    <t>Actividad en duplas: feedback conversación Tuckman</t>
  </si>
  <si>
    <t>Actividad grupal: criterios para un feedback efectivo</t>
  </si>
  <si>
    <t>Actividad individual: completar Plan Personal</t>
  </si>
  <si>
    <t>Evaluación invidual: video simulación</t>
  </si>
  <si>
    <t>Evaluación individual: prueba</t>
  </si>
  <si>
    <t>Parte 1: Respuesta correcta
Parte 2: Lista cotejo
Parte 3: Lista cotejo y rúbrica</t>
  </si>
  <si>
    <t xml:space="preserve">Parte 1: 1 - 10 (con 10 el 100%): 15%
Parte 2: 1 - 10 (con 10 el 100%): 30%
Parte 3 (lc): 1 - 10 (con 10 el 100%): 15%
Parte 3 (r): 1 -5 (con 5 el 100%): 40% </t>
  </si>
  <si>
    <t>Prueba C-Integrada</t>
  </si>
  <si>
    <t>Prueba SE</t>
  </si>
  <si>
    <t>RDO</t>
  </si>
  <si>
    <t>12861959-3</t>
  </si>
  <si>
    <t>19289611-8</t>
  </si>
  <si>
    <t>Pendiente</t>
  </si>
  <si>
    <t>Aníbal</t>
  </si>
  <si>
    <t>Miranda</t>
  </si>
  <si>
    <t>Catalina</t>
  </si>
  <si>
    <t>Llul</t>
  </si>
  <si>
    <t>Cristóbal</t>
  </si>
  <si>
    <t>Monsalve</t>
  </si>
  <si>
    <t>Insotroza</t>
  </si>
  <si>
    <t>Javiera</t>
  </si>
  <si>
    <t>Quiroz</t>
  </si>
  <si>
    <t>Joan</t>
  </si>
  <si>
    <t>Diez</t>
  </si>
  <si>
    <t>Josmer</t>
  </si>
  <si>
    <t>Villegas</t>
  </si>
  <si>
    <t>Juan</t>
  </si>
  <si>
    <t>Urriola</t>
  </si>
  <si>
    <t>Dobobuto</t>
  </si>
  <si>
    <t>Nicolás</t>
  </si>
  <si>
    <t>Patroni</t>
  </si>
  <si>
    <t>Roberto</t>
  </si>
  <si>
    <t>Vera</t>
  </si>
  <si>
    <t>Sergio</t>
  </si>
  <si>
    <t>Mora</t>
  </si>
  <si>
    <t>Wilfer</t>
  </si>
  <si>
    <t>Sánchez</t>
  </si>
  <si>
    <t>18661503-4</t>
  </si>
  <si>
    <t>18273866-2</t>
  </si>
  <si>
    <t>17036745-6</t>
  </si>
  <si>
    <t>13692075-8</t>
  </si>
  <si>
    <t>17951472-9</t>
  </si>
  <si>
    <t>16954557-K</t>
  </si>
  <si>
    <t>26832932-3</t>
  </si>
  <si>
    <t>11296184-4</t>
  </si>
  <si>
    <t>25754920-8</t>
  </si>
  <si>
    <t>19078150-K</t>
  </si>
  <si>
    <t>10635000-0</t>
  </si>
  <si>
    <t>8043090-6</t>
  </si>
  <si>
    <t>27131189-3</t>
  </si>
  <si>
    <t>GRUPO 1</t>
  </si>
  <si>
    <t>GRUPO 2</t>
  </si>
  <si>
    <t>Resultado de Habilitación</t>
  </si>
  <si>
    <t>Pendientes</t>
  </si>
  <si>
    <t>Aprobadas</t>
  </si>
  <si>
    <t>Reprobadas</t>
  </si>
  <si>
    <t>Estado</t>
  </si>
  <si>
    <t>Daniel</t>
  </si>
  <si>
    <t>Apolinar</t>
  </si>
  <si>
    <t>Abelardo</t>
  </si>
  <si>
    <t>Pardo</t>
  </si>
  <si>
    <t>Pablo</t>
  </si>
  <si>
    <t>Díaz</t>
  </si>
  <si>
    <t>Anaximandro</t>
  </si>
  <si>
    <t>Bórquez</t>
  </si>
  <si>
    <t>Milbys</t>
  </si>
  <si>
    <t>Castillo</t>
  </si>
  <si>
    <t>Marcelo</t>
  </si>
  <si>
    <t>José Luis</t>
  </si>
  <si>
    <t>Ortiz</t>
  </si>
  <si>
    <t>Ibar</t>
  </si>
  <si>
    <t>Carvajal</t>
  </si>
  <si>
    <t>David</t>
  </si>
  <si>
    <t>Salas</t>
  </si>
  <si>
    <t>Gustavo</t>
  </si>
  <si>
    <t>Garrido</t>
  </si>
  <si>
    <t>Jiménez</t>
  </si>
  <si>
    <t>Carolina</t>
  </si>
  <si>
    <t>Ríos</t>
  </si>
  <si>
    <t>Brayan</t>
  </si>
  <si>
    <t>Parra</t>
  </si>
  <si>
    <t>Contreras</t>
  </si>
  <si>
    <t>Ignacio</t>
  </si>
  <si>
    <t>Pellizzari</t>
  </si>
  <si>
    <t>GRUPO 3</t>
  </si>
  <si>
    <t>Patricia</t>
  </si>
  <si>
    <t>Urrutia</t>
  </si>
  <si>
    <t>José Antonio</t>
  </si>
  <si>
    <t>Soto</t>
  </si>
  <si>
    <t>Gonzalo</t>
  </si>
  <si>
    <t>Alvarez</t>
  </si>
  <si>
    <t>Italo</t>
  </si>
  <si>
    <t>Berríos</t>
  </si>
  <si>
    <t>Rodrigo</t>
  </si>
  <si>
    <t>GRUPO 4</t>
  </si>
  <si>
    <t>18221712-3</t>
  </si>
  <si>
    <t>19055608-5</t>
  </si>
  <si>
    <t>26583436-1</t>
  </si>
  <si>
    <t>26837314-4</t>
  </si>
  <si>
    <t>17879431-0</t>
  </si>
  <si>
    <t>17936445-K</t>
  </si>
  <si>
    <t>25653678-1</t>
  </si>
  <si>
    <t>15438902-4</t>
  </si>
  <si>
    <t>17242514-3</t>
  </si>
  <si>
    <t>16032513-5</t>
  </si>
  <si>
    <t>17191827-8</t>
  </si>
  <si>
    <t>17411012-3</t>
  </si>
  <si>
    <t>José</t>
  </si>
  <si>
    <t>13896843-K</t>
  </si>
  <si>
    <t>17109718-5</t>
  </si>
  <si>
    <t>10742577-2</t>
  </si>
  <si>
    <t>24815309-1</t>
  </si>
  <si>
    <t>14145717-9</t>
  </si>
  <si>
    <t>17309584-8</t>
  </si>
  <si>
    <t>18639889-0</t>
  </si>
  <si>
    <t>16406300-3</t>
  </si>
  <si>
    <t>12685853-1</t>
  </si>
  <si>
    <t>15468314-3</t>
  </si>
  <si>
    <t>7798415-1</t>
  </si>
  <si>
    <t>19170767-2</t>
  </si>
  <si>
    <t>Vasquez</t>
  </si>
  <si>
    <t>Solis</t>
  </si>
  <si>
    <t>Claudio</t>
  </si>
  <si>
    <t>Acevedo</t>
  </si>
  <si>
    <t>Felipe</t>
  </si>
  <si>
    <t>Nova</t>
  </si>
  <si>
    <t>González</t>
  </si>
  <si>
    <t>Guillermo</t>
  </si>
  <si>
    <t>Plaza</t>
  </si>
  <si>
    <t>Bilbao</t>
  </si>
  <si>
    <t>Iván</t>
  </si>
  <si>
    <t>Fuentealba</t>
  </si>
  <si>
    <t>Muñoz</t>
  </si>
  <si>
    <t>Palacios</t>
  </si>
  <si>
    <t>Miguel</t>
  </si>
  <si>
    <t>Ramírez</t>
  </si>
  <si>
    <t>Ricardo</t>
  </si>
  <si>
    <t>Calderón</t>
  </si>
  <si>
    <t>Herrera</t>
  </si>
  <si>
    <t>Romina</t>
  </si>
  <si>
    <t>Malhue</t>
  </si>
  <si>
    <t>AUSENTE</t>
  </si>
  <si>
    <t>GRUPO 5</t>
  </si>
  <si>
    <t>César</t>
  </si>
  <si>
    <t>Dalponte</t>
  </si>
  <si>
    <t>Edixon</t>
  </si>
  <si>
    <t>Barazarte</t>
  </si>
  <si>
    <t>Esteban</t>
  </si>
  <si>
    <t>Gómez</t>
  </si>
  <si>
    <t>Fernando</t>
  </si>
  <si>
    <t>Saavedra</t>
  </si>
  <si>
    <t>Guido</t>
  </si>
  <si>
    <t>Rodríguez</t>
  </si>
  <si>
    <t>Hernán</t>
  </si>
  <si>
    <t>Juan Pablo</t>
  </si>
  <si>
    <t>López</t>
  </si>
  <si>
    <t>Valdivia</t>
  </si>
  <si>
    <t>García</t>
  </si>
  <si>
    <t>Marco</t>
  </si>
  <si>
    <t>Rojas</t>
  </si>
  <si>
    <t>Matías</t>
  </si>
  <si>
    <t>Núñez</t>
  </si>
  <si>
    <t>Renzo</t>
  </si>
  <si>
    <t>Prelle</t>
  </si>
  <si>
    <t>Silva</t>
  </si>
  <si>
    <t>Huaiquicheo</t>
  </si>
  <si>
    <t>Wendy</t>
  </si>
  <si>
    <t>Galarza</t>
  </si>
  <si>
    <t>13199505-9</t>
  </si>
  <si>
    <t>19841440-9</t>
  </si>
  <si>
    <t>15192581-2</t>
  </si>
  <si>
    <t>16799125-4</t>
  </si>
  <si>
    <t>19176800-0</t>
  </si>
  <si>
    <t>17389438-4</t>
  </si>
  <si>
    <t>18358034-5</t>
  </si>
  <si>
    <t>11867099-K</t>
  </si>
  <si>
    <t>19927782-0</t>
  </si>
  <si>
    <t>17250256-3</t>
  </si>
  <si>
    <t>17177784-4</t>
  </si>
  <si>
    <t>13455420-7</t>
  </si>
  <si>
    <t>20987418-0</t>
  </si>
  <si>
    <t>16844097-9</t>
  </si>
  <si>
    <t>14321397-8</t>
  </si>
  <si>
    <t>26905533-2</t>
  </si>
  <si>
    <t>14469520-8</t>
  </si>
  <si>
    <t>16345798-9</t>
  </si>
  <si>
    <t>18549161-7</t>
  </si>
  <si>
    <t>9706638-8</t>
  </si>
  <si>
    <t>19215795-1</t>
  </si>
  <si>
    <t>9138210-5</t>
  </si>
  <si>
    <t>11256737-2</t>
  </si>
  <si>
    <t>15915257-K</t>
  </si>
  <si>
    <t>13551440-3</t>
  </si>
  <si>
    <t>8250600-4</t>
  </si>
  <si>
    <t>20971052-8</t>
  </si>
  <si>
    <t>16740144-9</t>
  </si>
  <si>
    <t>25328201-0</t>
  </si>
  <si>
    <t>GRUPO 6</t>
  </si>
  <si>
    <t>Especialista technical Teams</t>
  </si>
  <si>
    <t>Especialista</t>
  </si>
  <si>
    <t>Especialista D&amp;S</t>
  </si>
  <si>
    <t>Especialista Sr Dispatching and services</t>
  </si>
  <si>
    <t>ANALISTA D&amp;S</t>
  </si>
  <si>
    <t>Inspector técnico de obras</t>
  </si>
  <si>
    <t>Head of Florida Dispatching and Services</t>
  </si>
  <si>
    <t>INSPECTOR TÉCNICO</t>
  </si>
  <si>
    <t>Head of Florida Technical Team</t>
  </si>
  <si>
    <t>GESTOR COMERCIAL</t>
  </si>
  <si>
    <t>Secretaría Técnica</t>
  </si>
  <si>
    <t>Responsable Equipo Podas</t>
  </si>
  <si>
    <t>Jose</t>
  </si>
  <si>
    <t>Especialista sr technical team</t>
  </si>
  <si>
    <t>Especialista en mantenimiento de red</t>
  </si>
  <si>
    <t>INSPECTOR TECNICO</t>
  </si>
  <si>
    <t>Especialista mantenimiento de la red</t>
  </si>
  <si>
    <t>Especialista technical team</t>
  </si>
  <si>
    <t>Especialista Mantenimiento</t>
  </si>
  <si>
    <t>Especialista Sr. D&amp;S</t>
  </si>
  <si>
    <t>ESPECIALISTA D&amp;S</t>
  </si>
  <si>
    <t>Apoyo Tecnico sistemas ORA</t>
  </si>
  <si>
    <t>JEFE TECNICO DE MANTENIMIENTO</t>
  </si>
  <si>
    <t>Especialista Dispatching and Services</t>
  </si>
  <si>
    <t>Especialista Customer Satisfaction &amp; Quality Management</t>
  </si>
  <si>
    <t>9667833-9</t>
  </si>
  <si>
    <t>Alvaro</t>
  </si>
  <si>
    <t>9495028-7</t>
  </si>
  <si>
    <t>17708946-K</t>
  </si>
  <si>
    <t>15439767-1</t>
  </si>
  <si>
    <t>20581558-9</t>
  </si>
  <si>
    <t>28075301-7</t>
  </si>
  <si>
    <t>Luz Jineht</t>
  </si>
  <si>
    <t>Barrera</t>
  </si>
  <si>
    <t>16571795-3</t>
  </si>
  <si>
    <t>19409854-5</t>
  </si>
  <si>
    <t>15136973-1</t>
  </si>
  <si>
    <t>12017427-4</t>
  </si>
  <si>
    <t>18357650-K</t>
  </si>
  <si>
    <t>10705236-4</t>
  </si>
  <si>
    <t>21492561-3</t>
  </si>
  <si>
    <t>Colette</t>
  </si>
  <si>
    <t>Eduardo</t>
  </si>
  <si>
    <t>19603296-7</t>
  </si>
  <si>
    <t>16953725-9</t>
  </si>
  <si>
    <t>Marcos</t>
  </si>
  <si>
    <t>Ahumada</t>
  </si>
  <si>
    <t>Andrés</t>
  </si>
  <si>
    <t>Lucero</t>
  </si>
  <si>
    <t>Huenchual</t>
  </si>
  <si>
    <t>Couchaux</t>
  </si>
  <si>
    <t>Moraga</t>
  </si>
  <si>
    <t>Elvis</t>
  </si>
  <si>
    <t>Quiñones</t>
  </si>
  <si>
    <t>Fabián</t>
  </si>
  <si>
    <t>Jonathan</t>
  </si>
  <si>
    <t>Norambuena</t>
  </si>
  <si>
    <t>Márquez</t>
  </si>
  <si>
    <t>Saldaño</t>
  </si>
  <si>
    <t>Flores</t>
  </si>
  <si>
    <t>San Martín</t>
  </si>
  <si>
    <t>Rafael</t>
  </si>
  <si>
    <t>Eslava</t>
  </si>
  <si>
    <t>Cortés</t>
  </si>
  <si>
    <t>Santiago</t>
  </si>
  <si>
    <t>Villanueva</t>
  </si>
  <si>
    <t>13887448-6</t>
  </si>
  <si>
    <t>17281865-K</t>
  </si>
  <si>
    <t>Analista Inspections</t>
  </si>
  <si>
    <t>Especialista Obras</t>
  </si>
  <si>
    <t>Especialista SR Mantenimiento de la Red</t>
  </si>
  <si>
    <t>Apoyo Tecnico</t>
  </si>
  <si>
    <t>Especialista Field Operation / FO</t>
  </si>
  <si>
    <t>Inspector Técnico Obras</t>
  </si>
  <si>
    <t>Inspector</t>
  </si>
  <si>
    <t>Coordinador Podas</t>
  </si>
  <si>
    <t>Especialista SMT</t>
  </si>
  <si>
    <t>ESPECIALISTA</t>
  </si>
  <si>
    <t>Especialista en Mantenimiento</t>
  </si>
  <si>
    <t>Head of Network Maintenance</t>
  </si>
  <si>
    <t>Técnico de mantenimiento de la red</t>
  </si>
  <si>
    <t>14612872-6</t>
  </si>
  <si>
    <t>Alejandro</t>
  </si>
  <si>
    <t>Godoy</t>
  </si>
  <si>
    <t>18064724-4</t>
  </si>
  <si>
    <t>12410438-6</t>
  </si>
  <si>
    <t>12242548-7</t>
  </si>
  <si>
    <t>Christian</t>
  </si>
  <si>
    <t>11667828-4</t>
  </si>
  <si>
    <t>Moreno</t>
  </si>
  <si>
    <t>25467604-7</t>
  </si>
  <si>
    <t>Eloy</t>
  </si>
  <si>
    <t>Matheus</t>
  </si>
  <si>
    <t>17670375-k</t>
  </si>
  <si>
    <t>Enrique</t>
  </si>
  <si>
    <t>Bravo</t>
  </si>
  <si>
    <t>17890099-4</t>
  </si>
  <si>
    <t>Gabriel</t>
  </si>
  <si>
    <t>Hurtado</t>
  </si>
  <si>
    <t>17732793-K</t>
  </si>
  <si>
    <t>Vásquez</t>
  </si>
  <si>
    <t>13993012-6</t>
  </si>
  <si>
    <t>Leonardo</t>
  </si>
  <si>
    <t>Córdova</t>
  </si>
  <si>
    <t>17813299-7</t>
  </si>
  <si>
    <t>Mardones</t>
  </si>
  <si>
    <t>20198040-2</t>
  </si>
  <si>
    <t>Mauricio</t>
  </si>
  <si>
    <t>Toraño</t>
  </si>
  <si>
    <t>10361482-1</t>
  </si>
  <si>
    <t>25783886-2</t>
  </si>
  <si>
    <t>Orlando</t>
  </si>
  <si>
    <t>Briceño</t>
  </si>
  <si>
    <t>10780499-4</t>
  </si>
  <si>
    <t>Patricio</t>
  </si>
  <si>
    <t>Gatica</t>
  </si>
  <si>
    <t>17264676-K</t>
  </si>
  <si>
    <t>Pilar</t>
  </si>
  <si>
    <t>12789535-K</t>
  </si>
  <si>
    <t>Medina</t>
  </si>
  <si>
    <t>15756126k</t>
  </si>
  <si>
    <t>Stefanny</t>
  </si>
  <si>
    <t>Higueras</t>
  </si>
  <si>
    <t>17026870-9</t>
  </si>
  <si>
    <t>Tomás</t>
  </si>
  <si>
    <t>Franco</t>
  </si>
  <si>
    <t>Alonso</t>
  </si>
  <si>
    <t>Neculpán</t>
  </si>
  <si>
    <t>Hormazábal</t>
  </si>
  <si>
    <t>Dunimar</t>
  </si>
  <si>
    <t>Marcano</t>
  </si>
  <si>
    <t>Peña</t>
  </si>
  <si>
    <t>Erasmo</t>
  </si>
  <si>
    <t>Héctor</t>
  </si>
  <si>
    <t>Jorge</t>
  </si>
  <si>
    <t>Loyola</t>
  </si>
  <si>
    <t>Marquez</t>
  </si>
  <si>
    <t>Leiva</t>
  </si>
  <si>
    <t>María José</t>
  </si>
  <si>
    <t>Iriarte</t>
  </si>
  <si>
    <t>Oscar</t>
  </si>
  <si>
    <t>Hernández</t>
  </si>
  <si>
    <t>Osmar</t>
  </si>
  <si>
    <t>Pedro</t>
  </si>
  <si>
    <t>Marín</t>
  </si>
  <si>
    <t>Richard</t>
  </si>
  <si>
    <t>Figueroa</t>
  </si>
  <si>
    <t>Avendaño</t>
  </si>
  <si>
    <t>13856169-0</t>
  </si>
  <si>
    <t>19247313-6</t>
  </si>
  <si>
    <t>12871244-5</t>
  </si>
  <si>
    <t>25822427-2</t>
  </si>
  <si>
    <t>Prevencionista de Riesgos</t>
  </si>
  <si>
    <t>17526594-5</t>
  </si>
  <si>
    <t>28047747-8</t>
  </si>
  <si>
    <t>ITO ELECTRICO</t>
  </si>
  <si>
    <t>16715305-4</t>
  </si>
  <si>
    <t>Especialista HS Enel</t>
  </si>
  <si>
    <t>10757601-0</t>
  </si>
  <si>
    <t>Especialista salud y seguridad laboral</t>
  </si>
  <si>
    <t>APR</t>
  </si>
  <si>
    <t>9513370-3</t>
  </si>
  <si>
    <t>HEAD OF</t>
  </si>
  <si>
    <t>ITO podas LLEE</t>
  </si>
  <si>
    <t>11768884-4</t>
  </si>
  <si>
    <t>Especialista Subt.</t>
  </si>
  <si>
    <t>17418693-6</t>
  </si>
  <si>
    <t>Especialista Diseño y Permisos MT</t>
  </si>
  <si>
    <t>16519680-5</t>
  </si>
  <si>
    <t>Inspector Tecnico de Obras</t>
  </si>
  <si>
    <t>18537991-4</t>
  </si>
  <si>
    <t>Especialista ingeniería diseño y Permisos</t>
  </si>
  <si>
    <t>19034351-0</t>
  </si>
  <si>
    <t>13990918-6</t>
  </si>
  <si>
    <t>Especialista Sr HS</t>
  </si>
  <si>
    <t>13292463-5</t>
  </si>
  <si>
    <t>Inspector en Prevencion</t>
  </si>
  <si>
    <t>13824398-2</t>
  </si>
  <si>
    <t>Especialista emergencias</t>
  </si>
  <si>
    <t>20382713-K</t>
  </si>
  <si>
    <t>Especialista Ingeniería</t>
  </si>
  <si>
    <t>8829707-5</t>
  </si>
  <si>
    <t>ciclo 1</t>
  </si>
  <si>
    <t>Ciclo 1</t>
  </si>
  <si>
    <t>Ciclo1</t>
  </si>
  <si>
    <t>GRUPO 7</t>
  </si>
  <si>
    <t>GRUPO 8</t>
  </si>
  <si>
    <t>GRUPO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</si>
</sst>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sz val="9"/>
      <color rgb="FF444444"/>
      <name val="Segoe UI"/>
      <family val="2"/>
    </font>
    <font>
      <sz val="10"/>
      <color rgb="FF00000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2" fillId="0" borderId="0"/>
  </cellStyleXfs>
  <cellXfs count="9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1" fillId="0" borderId="0" xfId="0" applyFont="1"/>
    <xf numFmtId="9" fontId="0" fillId="0" borderId="0" xfId="0" applyNumberFormat="1"/>
    <xf numFmtId="0" fontId="0" fillId="0" borderId="2" xfId="0" applyBorder="1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  <xf numFmtId="9" fontId="3" fillId="6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vertical="center" wrapText="1"/>
    </xf>
    <xf numFmtId="0" fontId="3" fillId="6" borderId="1" xfId="0" applyFont="1" applyFill="1" applyBorder="1" applyAlignment="1">
      <alignment horizontal="left" vertical="center"/>
    </xf>
    <xf numFmtId="9" fontId="2" fillId="0" borderId="2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2" fillId="0" borderId="4" xfId="0" applyNumberFormat="1" applyFont="1" applyBorder="1" applyAlignment="1">
      <alignment horizontal="center"/>
    </xf>
    <xf numFmtId="9" fontId="2" fillId="0" borderId="5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6" xfId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9" fontId="6" fillId="7" borderId="7" xfId="0" applyNumberFormat="1" applyFont="1" applyFill="1" applyBorder="1" applyAlignment="1">
      <alignment horizontal="center" wrapText="1"/>
    </xf>
    <xf numFmtId="9" fontId="5" fillId="0" borderId="7" xfId="0" applyNumberFormat="1" applyFont="1" applyBorder="1" applyAlignment="1">
      <alignment horizontal="center" wrapText="1"/>
    </xf>
    <xf numFmtId="0" fontId="0" fillId="8" borderId="0" xfId="0" applyFill="1"/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/>
    <xf numFmtId="9" fontId="5" fillId="0" borderId="7" xfId="0" applyNumberFormat="1" applyFont="1" applyBorder="1" applyAlignment="1">
      <alignment horizontal="right" wrapText="1"/>
    </xf>
    <xf numFmtId="9" fontId="6" fillId="7" borderId="7" xfId="0" applyNumberFormat="1" applyFont="1" applyFill="1" applyBorder="1" applyAlignment="1">
      <alignment horizontal="right" wrapText="1"/>
    </xf>
    <xf numFmtId="0" fontId="0" fillId="0" borderId="5" xfId="0" applyBorder="1"/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9" borderId="0" xfId="0" applyFill="1"/>
    <xf numFmtId="0" fontId="7" fillId="9" borderId="18" xfId="0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19" xfId="0" applyBorder="1"/>
    <xf numFmtId="0" fontId="0" fillId="0" borderId="3" xfId="0" applyBorder="1"/>
    <xf numFmtId="0" fontId="0" fillId="0" borderId="20" xfId="0" applyBorder="1"/>
    <xf numFmtId="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9" fontId="2" fillId="0" borderId="21" xfId="0" applyNumberFormat="1" applyFont="1" applyBorder="1" applyAlignment="1">
      <alignment horizontal="center"/>
    </xf>
    <xf numFmtId="9" fontId="2" fillId="0" borderId="19" xfId="0" applyNumberFormat="1" applyFont="1" applyBorder="1" applyAlignment="1">
      <alignment horizontal="center"/>
    </xf>
    <xf numFmtId="9" fontId="6" fillId="7" borderId="22" xfId="0" applyNumberFormat="1" applyFont="1" applyFill="1" applyBorder="1" applyAlignment="1">
      <alignment horizontal="right" wrapText="1"/>
    </xf>
    <xf numFmtId="9" fontId="0" fillId="0" borderId="8" xfId="1" applyFont="1" applyBorder="1" applyAlignment="1">
      <alignment horizontal="center"/>
    </xf>
    <xf numFmtId="0" fontId="0" fillId="0" borderId="23" xfId="0" applyBorder="1"/>
    <xf numFmtId="9" fontId="2" fillId="0" borderId="23" xfId="0" applyNumberFormat="1" applyFont="1" applyBorder="1" applyAlignment="1">
      <alignment horizontal="center"/>
    </xf>
    <xf numFmtId="9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9" fontId="2" fillId="0" borderId="24" xfId="0" applyNumberFormat="1" applyFont="1" applyBorder="1" applyAlignment="1">
      <alignment horizontal="center"/>
    </xf>
    <xf numFmtId="9" fontId="2" fillId="0" borderId="25" xfId="0" applyNumberFormat="1" applyFont="1" applyBorder="1" applyAlignment="1">
      <alignment horizontal="center"/>
    </xf>
    <xf numFmtId="9" fontId="2" fillId="0" borderId="26" xfId="0" applyNumberFormat="1" applyFont="1" applyBorder="1" applyAlignment="1">
      <alignment horizontal="center"/>
    </xf>
    <xf numFmtId="9" fontId="6" fillId="7" borderId="27" xfId="0" applyNumberFormat="1" applyFont="1" applyFill="1" applyBorder="1" applyAlignment="1">
      <alignment horizontal="right" wrapText="1"/>
    </xf>
    <xf numFmtId="0" fontId="0" fillId="0" borderId="28" xfId="0" applyBorder="1"/>
    <xf numFmtId="0" fontId="0" fillId="0" borderId="29" xfId="0" applyBorder="1"/>
    <xf numFmtId="9" fontId="2" fillId="0" borderId="28" xfId="0" applyNumberFormat="1" applyFont="1" applyBorder="1" applyAlignment="1">
      <alignment horizontal="center"/>
    </xf>
    <xf numFmtId="9" fontId="0" fillId="0" borderId="28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9" fontId="2" fillId="0" borderId="30" xfId="0" applyNumberFormat="1" applyFont="1" applyBorder="1" applyAlignment="1">
      <alignment horizontal="center"/>
    </xf>
    <xf numFmtId="9" fontId="2" fillId="0" borderId="12" xfId="0" applyNumberFormat="1" applyFont="1" applyBorder="1" applyAlignment="1">
      <alignment horizontal="center"/>
    </xf>
    <xf numFmtId="9" fontId="2" fillId="0" borderId="31" xfId="0" applyNumberFormat="1" applyFont="1" applyBorder="1" applyAlignment="1">
      <alignment horizontal="center"/>
    </xf>
    <xf numFmtId="9" fontId="6" fillId="7" borderId="32" xfId="0" applyNumberFormat="1" applyFont="1" applyFill="1" applyBorder="1" applyAlignment="1">
      <alignment horizontal="right" wrapText="1"/>
    </xf>
    <xf numFmtId="0" fontId="8" fillId="9" borderId="33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4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0" xfId="1" applyFont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</cellXfs>
  <cellStyles count="3">
    <cellStyle name="Normal" xfId="0" builtinId="0"/>
    <cellStyle name="Normal 2" xfId="2" xr:uid="{15074F1B-BF4B-4A6B-82BD-C394751EB9D1}"/>
    <cellStyle name="Porcentaj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46"/>
  <sheetViews>
    <sheetView showGridLines="0" tabSelected="1" zoomScale="115" zoomScaleNormal="115" workbookViewId="0">
      <pane xSplit="6" ySplit="2" topLeftCell="U3" activePane="bottomRight" state="frozen"/>
      <selection pane="topRight"/>
      <selection pane="bottomLeft"/>
      <selection pane="bottomRight" activeCell="AE3" sqref="AE3:AG5"/>
    </sheetView>
  </sheetViews>
  <sheetFormatPr baseColWidth="10" defaultColWidth="8.88671875" defaultRowHeight="15" customHeight="1" x14ac:dyDescent="0.3"/>
  <cols>
    <col min="2" max="2" width="3" bestFit="1" customWidth="1"/>
    <col min="3" max="3" width="11.5546875" bestFit="1" customWidth="1"/>
    <col min="4" max="4" width="11.88671875" bestFit="1" customWidth="1"/>
    <col min="5" max="5" width="10.88671875" bestFit="1" customWidth="1"/>
    <col min="6" max="6" width="50.5546875" hidden="1" customWidth="1"/>
    <col min="7" max="7" width="9.6640625" hidden="1" customWidth="1"/>
    <col min="8" max="8" width="9.33203125" hidden="1" customWidth="1"/>
    <col min="9" max="9" width="8.6640625" hidden="1" customWidth="1"/>
    <col min="10" max="10" width="10" style="5" hidden="1" customWidth="1"/>
    <col min="11" max="13" width="8.88671875" hidden="1" customWidth="1"/>
    <col min="14" max="14" width="10.88671875" hidden="1" customWidth="1"/>
    <col min="15" max="15" width="8.88671875" hidden="1" customWidth="1"/>
    <col min="16" max="16" width="13.44140625" hidden="1" customWidth="1"/>
    <col min="17" max="17" width="8.88671875" hidden="1" customWidth="1"/>
    <col min="18" max="18" width="11.5546875" hidden="1" customWidth="1"/>
    <col min="19" max="19" width="23.6640625" hidden="1" customWidth="1"/>
    <col min="20" max="20" width="10.88671875" hidden="1" customWidth="1"/>
    <col min="21" max="21" width="17.33203125" hidden="1" customWidth="1"/>
    <col min="22" max="22" width="18.33203125" hidden="1" customWidth="1"/>
    <col min="23" max="23" width="9.6640625" hidden="1" customWidth="1"/>
    <col min="24" max="24" width="22.44140625" hidden="1" customWidth="1"/>
    <col min="25" max="25" width="18.109375" bestFit="1" customWidth="1"/>
    <col min="26" max="26" width="9.6640625" bestFit="1" customWidth="1"/>
    <col min="27" max="27" width="9.33203125" customWidth="1"/>
    <col min="28" max="28" width="13" customWidth="1"/>
    <col min="29" max="29" width="10.5546875" bestFit="1" customWidth="1"/>
    <col min="31" max="31" width="11.109375" bestFit="1" customWidth="1"/>
    <col min="32" max="32" width="10.44140625" bestFit="1" customWidth="1"/>
    <col min="33" max="33" width="18.109375" customWidth="1"/>
  </cols>
  <sheetData>
    <row r="1" spans="1:34" s="4" customFormat="1" ht="14.4" x14ac:dyDescent="0.3">
      <c r="B1" s="2"/>
      <c r="C1" s="2"/>
      <c r="D1" s="2"/>
      <c r="E1" s="2"/>
      <c r="F1" s="2"/>
      <c r="G1" s="3"/>
      <c r="H1" s="3"/>
      <c r="I1" s="89" t="s">
        <v>0</v>
      </c>
      <c r="J1" s="89"/>
      <c r="K1" s="90" t="s">
        <v>1</v>
      </c>
      <c r="L1" s="90"/>
      <c r="M1" s="90"/>
      <c r="N1" s="90"/>
      <c r="O1" s="90"/>
      <c r="P1" s="90"/>
      <c r="Q1" s="11"/>
      <c r="R1" s="87" t="s">
        <v>2</v>
      </c>
      <c r="S1" s="87"/>
      <c r="T1" s="87"/>
      <c r="U1" s="87"/>
      <c r="V1" s="87"/>
      <c r="W1" s="12"/>
    </row>
    <row r="2" spans="1:34" s="8" customFormat="1" ht="45.75" customHeight="1" x14ac:dyDescent="0.3"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32" t="s">
        <v>10</v>
      </c>
      <c r="J2" s="33" t="s">
        <v>11</v>
      </c>
      <c r="K2" s="34" t="s">
        <v>12</v>
      </c>
      <c r="L2" s="35" t="s">
        <v>13</v>
      </c>
      <c r="M2" s="35" t="s">
        <v>14</v>
      </c>
      <c r="N2" s="35" t="s">
        <v>15</v>
      </c>
      <c r="O2" s="35" t="s">
        <v>16</v>
      </c>
      <c r="P2" s="35" t="s">
        <v>17</v>
      </c>
      <c r="Q2" s="35" t="s">
        <v>18</v>
      </c>
      <c r="R2" s="10" t="s">
        <v>19</v>
      </c>
      <c r="S2" s="10" t="s">
        <v>11</v>
      </c>
      <c r="T2" s="10" t="s">
        <v>20</v>
      </c>
      <c r="U2" s="9" t="s">
        <v>21</v>
      </c>
      <c r="V2" s="9" t="s">
        <v>22</v>
      </c>
      <c r="W2" s="13" t="s">
        <v>23</v>
      </c>
      <c r="X2" s="36" t="s">
        <v>24</v>
      </c>
      <c r="Y2" s="37" t="s">
        <v>117</v>
      </c>
      <c r="Z2" s="37" t="s">
        <v>118</v>
      </c>
      <c r="AA2" s="37" t="s">
        <v>119</v>
      </c>
      <c r="AB2" s="37" t="s">
        <v>162</v>
      </c>
      <c r="AC2" s="8" t="s">
        <v>166</v>
      </c>
    </row>
    <row r="3" spans="1:34" ht="14.4" x14ac:dyDescent="0.3">
      <c r="A3" s="88" t="s">
        <v>160</v>
      </c>
      <c r="B3" s="38">
        <v>1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6" t="s">
        <v>29</v>
      </c>
      <c r="I3" s="22">
        <v>0.33</v>
      </c>
      <c r="J3" s="23">
        <v>0.90909090909090906</v>
      </c>
      <c r="K3" s="24" t="s">
        <v>30</v>
      </c>
      <c r="L3" s="24" t="s">
        <v>30</v>
      </c>
      <c r="M3" s="24" t="s">
        <v>30</v>
      </c>
      <c r="N3" s="24" t="s">
        <v>30</v>
      </c>
      <c r="O3" s="24" t="s">
        <v>30</v>
      </c>
      <c r="P3" s="24" t="s">
        <v>30</v>
      </c>
      <c r="Q3" s="23">
        <f>+COUNTIF(K3:P3,"SI")/6</f>
        <v>1</v>
      </c>
      <c r="R3" s="23">
        <v>0.51764705882352946</v>
      </c>
      <c r="S3" s="23">
        <f>10/11</f>
        <v>0.90909090909090906</v>
      </c>
      <c r="T3" s="25">
        <f>13/16</f>
        <v>0.8125</v>
      </c>
      <c r="U3" s="23">
        <v>0.38461538461538464</v>
      </c>
      <c r="V3" s="26">
        <v>0.67</v>
      </c>
      <c r="W3" s="27">
        <f>S3*15%+T3*30%+U3*15%+V3*40%</f>
        <v>0.7058059440559441</v>
      </c>
      <c r="X3" s="28">
        <f>I3*2.5%+J3*2.5%+Q3*10%+R3*40%+W3*45%</f>
        <v>0.65564877108185937</v>
      </c>
      <c r="Y3" s="29">
        <f>+X3</f>
        <v>0.65564877108185937</v>
      </c>
      <c r="Z3" s="29">
        <v>0.82220000000000004</v>
      </c>
      <c r="AA3" s="29">
        <v>0.80430000000000001</v>
      </c>
      <c r="AB3" s="29">
        <f>+Y3*0.3+Z3*0.5+AA3*0.2</f>
        <v>0.7686546313245578</v>
      </c>
      <c r="AC3" t="str">
        <f>+IF(AB3="pendiente","Pendiente",IF(AB3&gt;=0.8,"Aprobada","Reprobada"))</f>
        <v>Reprobada</v>
      </c>
      <c r="AE3" s="39" t="s">
        <v>163</v>
      </c>
      <c r="AF3" s="39" t="s">
        <v>164</v>
      </c>
      <c r="AG3" s="39" t="s">
        <v>165</v>
      </c>
    </row>
    <row r="4" spans="1:34" ht="14.4" x14ac:dyDescent="0.3">
      <c r="A4" s="88"/>
      <c r="B4" s="38">
        <v>2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29</v>
      </c>
      <c r="H4" s="6" t="s">
        <v>29</v>
      </c>
      <c r="I4" s="30">
        <v>0.71</v>
      </c>
      <c r="J4" s="23">
        <v>0.81818181818181823</v>
      </c>
      <c r="K4" s="24" t="s">
        <v>30</v>
      </c>
      <c r="L4" s="24" t="s">
        <v>30</v>
      </c>
      <c r="M4" s="24" t="s">
        <v>30</v>
      </c>
      <c r="N4" s="24" t="s">
        <v>30</v>
      </c>
      <c r="O4" s="24" t="s">
        <v>30</v>
      </c>
      <c r="P4" s="24" t="s">
        <v>30</v>
      </c>
      <c r="Q4" s="23">
        <f t="shared" ref="Q4:Q19" si="0">+COUNTIF(K4:P4,"SI")/6</f>
        <v>1</v>
      </c>
      <c r="R4" s="23">
        <v>0.69411764705882351</v>
      </c>
      <c r="S4" s="23">
        <f>11/11</f>
        <v>1</v>
      </c>
      <c r="T4" s="25">
        <f>12/16</f>
        <v>0.75</v>
      </c>
      <c r="U4" s="23">
        <v>0.84615384615384615</v>
      </c>
      <c r="V4" s="26">
        <v>0.8</v>
      </c>
      <c r="W4" s="27">
        <f t="shared" ref="W4:W19" si="1">S4*15%+T4*30%+U4*15%+V4*40%</f>
        <v>0.82192307692307698</v>
      </c>
      <c r="X4" s="28">
        <f t="shared" ref="X4:X19" si="2">I4*2.5%+J4*2.5%+Q4*10%+R4*40%+W4*45%</f>
        <v>0.78571698889345953</v>
      </c>
      <c r="Y4" s="29">
        <f t="shared" ref="Y4:Y64" si="3">+X4</f>
        <v>0.78571698889345953</v>
      </c>
      <c r="Z4" s="29">
        <v>0.86670000000000003</v>
      </c>
      <c r="AA4" s="29">
        <v>0.89129999999999998</v>
      </c>
      <c r="AB4" s="29">
        <f t="shared" ref="AB4:AB48" si="4">+Y4*0.3+Z4*0.5+AA4*0.2</f>
        <v>0.84732509666803779</v>
      </c>
      <c r="AC4" t="str">
        <f t="shared" ref="AC4:AC64" si="5">+IF(AB4="pendiente","Pendiente",IF(AB4&gt;=0.8,"Aprobada","Reprobada"))</f>
        <v>Aprobada</v>
      </c>
      <c r="AE4" s="40">
        <f>+COUNTIF(AC3:AC177,"Pendiente")</f>
        <v>46</v>
      </c>
      <c r="AF4" s="40">
        <f>+COUNTIF(AC3:AC300,"Aprobada")</f>
        <v>71</v>
      </c>
      <c r="AG4" s="40">
        <f>+COUNTIF(AC3:AC285,"Reprobada")</f>
        <v>21</v>
      </c>
      <c r="AH4">
        <f>+AE4+AF4+AG4</f>
        <v>138</v>
      </c>
    </row>
    <row r="5" spans="1:34" ht="14.4" x14ac:dyDescent="0.3">
      <c r="A5" s="88"/>
      <c r="B5" s="38">
        <v>3</v>
      </c>
      <c r="C5" s="1" t="s">
        <v>120</v>
      </c>
      <c r="D5" s="1" t="s">
        <v>35</v>
      </c>
      <c r="E5" s="1" t="s">
        <v>36</v>
      </c>
      <c r="F5" s="1" t="s">
        <v>37</v>
      </c>
      <c r="G5" s="1" t="s">
        <v>29</v>
      </c>
      <c r="H5" s="6" t="s">
        <v>29</v>
      </c>
      <c r="I5" s="30">
        <v>0.82</v>
      </c>
      <c r="J5" s="23">
        <v>0.81818181818181823</v>
      </c>
      <c r="K5" s="24" t="s">
        <v>30</v>
      </c>
      <c r="L5" s="24" t="s">
        <v>30</v>
      </c>
      <c r="M5" s="24" t="s">
        <v>30</v>
      </c>
      <c r="N5" s="24" t="s">
        <v>30</v>
      </c>
      <c r="O5" s="24" t="s">
        <v>30</v>
      </c>
      <c r="P5" s="24" t="s">
        <v>30</v>
      </c>
      <c r="Q5" s="23">
        <f t="shared" si="0"/>
        <v>1</v>
      </c>
      <c r="R5" s="23">
        <v>0.92941176470588238</v>
      </c>
      <c r="S5" s="23">
        <f>10/11</f>
        <v>0.90909090909090906</v>
      </c>
      <c r="T5" s="25">
        <f>S5/16</f>
        <v>5.6818181818181816E-2</v>
      </c>
      <c r="U5" s="23">
        <v>0.69230769230769229</v>
      </c>
      <c r="V5" s="26">
        <v>0.84</v>
      </c>
      <c r="W5" s="27">
        <f t="shared" si="1"/>
        <v>0.59325524475524483</v>
      </c>
      <c r="X5" s="28">
        <f t="shared" si="2"/>
        <v>0.77968411147675865</v>
      </c>
      <c r="Y5" s="29">
        <f t="shared" si="3"/>
        <v>0.77968411147675865</v>
      </c>
      <c r="Z5" s="29">
        <v>0.88890000000000002</v>
      </c>
      <c r="AA5" s="29">
        <v>0.82599999999999996</v>
      </c>
      <c r="AB5" s="29">
        <f t="shared" si="4"/>
        <v>0.84355523344302763</v>
      </c>
      <c r="AC5" t="str">
        <f t="shared" si="5"/>
        <v>Aprobada</v>
      </c>
      <c r="AE5" s="94">
        <f>+AE4+AF4+AG4</f>
        <v>138</v>
      </c>
      <c r="AF5" s="95"/>
      <c r="AG5" s="96"/>
    </row>
    <row r="6" spans="1:34" ht="15" customHeight="1" x14ac:dyDescent="0.3">
      <c r="A6" s="88"/>
      <c r="B6" s="38">
        <v>4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29</v>
      </c>
      <c r="H6" s="6" t="s">
        <v>29</v>
      </c>
      <c r="I6" s="30">
        <v>0.73</v>
      </c>
      <c r="J6" s="23">
        <v>0.90909090909090906</v>
      </c>
      <c r="K6" s="24" t="s">
        <v>30</v>
      </c>
      <c r="L6" s="24" t="s">
        <v>30</v>
      </c>
      <c r="M6" s="24" t="s">
        <v>30</v>
      </c>
      <c r="N6" s="24" t="s">
        <v>30</v>
      </c>
      <c r="O6" s="24" t="s">
        <v>30</v>
      </c>
      <c r="P6" s="24" t="s">
        <v>30</v>
      </c>
      <c r="Q6" s="23">
        <f t="shared" si="0"/>
        <v>1</v>
      </c>
      <c r="R6" s="23">
        <v>0.9882352941176471</v>
      </c>
      <c r="S6" s="23">
        <f>9/11</f>
        <v>0.81818181818181823</v>
      </c>
      <c r="T6" s="25">
        <f t="shared" ref="T6" si="6">13/16</f>
        <v>0.8125</v>
      </c>
      <c r="U6" s="23">
        <v>0.84615384615384615</v>
      </c>
      <c r="V6" s="26">
        <v>0.82</v>
      </c>
      <c r="W6" s="27">
        <f t="shared" si="1"/>
        <v>0.82140034965034969</v>
      </c>
      <c r="X6" s="28">
        <f t="shared" si="2"/>
        <v>0.90590154771698894</v>
      </c>
      <c r="Y6" s="29">
        <f t="shared" si="3"/>
        <v>0.90590154771698894</v>
      </c>
      <c r="Z6" s="29">
        <v>0.84439999999999993</v>
      </c>
      <c r="AA6" s="29">
        <v>0.91300000000000003</v>
      </c>
      <c r="AB6" s="29">
        <f t="shared" si="4"/>
        <v>0.87657046431509655</v>
      </c>
      <c r="AC6" t="str">
        <f t="shared" si="5"/>
        <v>Aprobada</v>
      </c>
      <c r="AF6" s="93">
        <f>AF4/80</f>
        <v>0.88749999999999996</v>
      </c>
    </row>
    <row r="7" spans="1:34" ht="14.4" x14ac:dyDescent="0.3">
      <c r="A7" s="88"/>
      <c r="B7" s="38">
        <v>5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29</v>
      </c>
      <c r="H7" s="6" t="s">
        <v>29</v>
      </c>
      <c r="I7" s="30">
        <v>0.47</v>
      </c>
      <c r="J7" s="23">
        <v>0.81818181818181823</v>
      </c>
      <c r="K7" s="24" t="s">
        <v>30</v>
      </c>
      <c r="L7" s="24" t="s">
        <v>30</v>
      </c>
      <c r="M7" s="24" t="s">
        <v>30</v>
      </c>
      <c r="N7" s="24" t="s">
        <v>30</v>
      </c>
      <c r="O7" s="24" t="s">
        <v>30</v>
      </c>
      <c r="P7" s="24" t="s">
        <v>30</v>
      </c>
      <c r="Q7" s="23">
        <f t="shared" si="0"/>
        <v>1</v>
      </c>
      <c r="R7" s="23">
        <v>0.44705882352941179</v>
      </c>
      <c r="S7" s="23">
        <f>8/11</f>
        <v>0.72727272727272729</v>
      </c>
      <c r="T7" s="25">
        <f t="shared" ref="T7" si="7">12/16</f>
        <v>0.75</v>
      </c>
      <c r="U7" s="23">
        <v>0.76923076923076927</v>
      </c>
      <c r="V7" s="26">
        <v>0.8</v>
      </c>
      <c r="W7" s="27">
        <f t="shared" si="1"/>
        <v>0.76947552447552447</v>
      </c>
      <c r="X7" s="28">
        <f t="shared" si="2"/>
        <v>0.65729206088029613</v>
      </c>
      <c r="Y7" s="29">
        <f t="shared" si="3"/>
        <v>0.65729206088029613</v>
      </c>
      <c r="Z7" s="29">
        <v>0.86670000000000003</v>
      </c>
      <c r="AA7" s="29">
        <v>0.8478</v>
      </c>
      <c r="AB7" s="29">
        <f t="shared" si="4"/>
        <v>0.80009761826408887</v>
      </c>
      <c r="AC7" t="str">
        <f t="shared" si="5"/>
        <v>Aprobada</v>
      </c>
    </row>
    <row r="8" spans="1:34" ht="14.4" x14ac:dyDescent="0.3">
      <c r="A8" s="88"/>
      <c r="B8" s="38">
        <v>6</v>
      </c>
      <c r="C8" s="1" t="s">
        <v>46</v>
      </c>
      <c r="D8" s="1" t="s">
        <v>47</v>
      </c>
      <c r="E8" s="1" t="s">
        <v>48</v>
      </c>
      <c r="F8" s="1" t="s">
        <v>37</v>
      </c>
      <c r="G8" s="1" t="s">
        <v>29</v>
      </c>
      <c r="H8" s="6" t="s">
        <v>29</v>
      </c>
      <c r="I8" s="30">
        <v>0.69</v>
      </c>
      <c r="J8" s="23">
        <v>0.81818181818181823</v>
      </c>
      <c r="K8" s="24" t="s">
        <v>30</v>
      </c>
      <c r="L8" s="24" t="s">
        <v>30</v>
      </c>
      <c r="M8" s="24" t="s">
        <v>30</v>
      </c>
      <c r="N8" s="24" t="s">
        <v>30</v>
      </c>
      <c r="O8" s="24" t="s">
        <v>30</v>
      </c>
      <c r="P8" s="24" t="s">
        <v>30</v>
      </c>
      <c r="Q8" s="23">
        <f t="shared" si="0"/>
        <v>1</v>
      </c>
      <c r="R8" s="23">
        <v>1</v>
      </c>
      <c r="S8" s="23">
        <f>10/11</f>
        <v>0.90909090909090906</v>
      </c>
      <c r="T8" s="25">
        <f t="shared" ref="T8" si="8">S8/16</f>
        <v>5.6818181818181816E-2</v>
      </c>
      <c r="U8" s="23">
        <v>0.46153846153846156</v>
      </c>
      <c r="V8" s="26">
        <v>0.44</v>
      </c>
      <c r="W8" s="27">
        <f t="shared" si="1"/>
        <v>0.39863986013986014</v>
      </c>
      <c r="X8" s="28">
        <f t="shared" si="2"/>
        <v>0.71709248251748259</v>
      </c>
      <c r="Y8" s="29">
        <f t="shared" si="3"/>
        <v>0.71709248251748259</v>
      </c>
      <c r="Z8" s="29">
        <v>0.93330000000000002</v>
      </c>
      <c r="AA8" s="29">
        <v>0.95650000000000002</v>
      </c>
      <c r="AB8" s="29">
        <f t="shared" si="4"/>
        <v>0.8730777447552448</v>
      </c>
      <c r="AC8" t="str">
        <f t="shared" si="5"/>
        <v>Aprobada</v>
      </c>
    </row>
    <row r="9" spans="1:34" ht="14.4" x14ac:dyDescent="0.3">
      <c r="A9" s="88"/>
      <c r="B9" s="38">
        <v>7</v>
      </c>
      <c r="C9" s="1" t="s">
        <v>49</v>
      </c>
      <c r="D9" s="1" t="s">
        <v>50</v>
      </c>
      <c r="E9" s="1" t="s">
        <v>51</v>
      </c>
      <c r="F9" s="1" t="s">
        <v>37</v>
      </c>
      <c r="G9" s="1" t="s">
        <v>29</v>
      </c>
      <c r="H9" s="6" t="s">
        <v>29</v>
      </c>
      <c r="I9" s="30">
        <v>0.42</v>
      </c>
      <c r="J9" s="23">
        <v>0.63636363636363635</v>
      </c>
      <c r="K9" s="24" t="s">
        <v>30</v>
      </c>
      <c r="L9" s="24" t="s">
        <v>30</v>
      </c>
      <c r="M9" s="24" t="s">
        <v>30</v>
      </c>
      <c r="N9" s="24" t="s">
        <v>30</v>
      </c>
      <c r="O9" s="24" t="s">
        <v>30</v>
      </c>
      <c r="P9" s="24" t="s">
        <v>30</v>
      </c>
      <c r="Q9" s="23">
        <f t="shared" si="0"/>
        <v>1</v>
      </c>
      <c r="R9" s="23">
        <v>0.49411764705882355</v>
      </c>
      <c r="S9" s="23">
        <f>9/11</f>
        <v>0.81818181818181823</v>
      </c>
      <c r="T9" s="25">
        <f t="shared" ref="T9" si="9">13/16</f>
        <v>0.8125</v>
      </c>
      <c r="U9" s="23">
        <v>0.92307692307692313</v>
      </c>
      <c r="V9" s="26">
        <v>0.85</v>
      </c>
      <c r="W9" s="27">
        <f t="shared" si="1"/>
        <v>0.8449388111888112</v>
      </c>
      <c r="X9" s="28">
        <f t="shared" si="2"/>
        <v>0.70427861476758535</v>
      </c>
      <c r="Y9" s="29">
        <f t="shared" si="3"/>
        <v>0.70427861476758535</v>
      </c>
      <c r="Z9" s="29">
        <v>0.8</v>
      </c>
      <c r="AA9" s="29">
        <v>0.86950000000000005</v>
      </c>
      <c r="AB9" s="29">
        <f t="shared" si="4"/>
        <v>0.78518358443027569</v>
      </c>
      <c r="AC9" t="str">
        <f t="shared" si="5"/>
        <v>Reprobada</v>
      </c>
    </row>
    <row r="10" spans="1:34" ht="14.4" x14ac:dyDescent="0.3">
      <c r="A10" s="88"/>
      <c r="B10" s="38">
        <v>8</v>
      </c>
      <c r="C10" s="1" t="s">
        <v>52</v>
      </c>
      <c r="D10" s="1" t="s">
        <v>53</v>
      </c>
      <c r="E10" s="1" t="s">
        <v>54</v>
      </c>
      <c r="F10" s="1" t="s">
        <v>55</v>
      </c>
      <c r="G10" s="1" t="s">
        <v>29</v>
      </c>
      <c r="H10" s="6" t="s">
        <v>29</v>
      </c>
      <c r="I10" s="30">
        <v>0.96</v>
      </c>
      <c r="J10" s="23">
        <f>9/11</f>
        <v>0.81818181818181823</v>
      </c>
      <c r="K10" s="24" t="s">
        <v>30</v>
      </c>
      <c r="L10" s="24" t="s">
        <v>30</v>
      </c>
      <c r="M10" s="24" t="s">
        <v>30</v>
      </c>
      <c r="N10" s="24" t="s">
        <v>56</v>
      </c>
      <c r="O10" s="24" t="s">
        <v>30</v>
      </c>
      <c r="P10" s="24" t="s">
        <v>30</v>
      </c>
      <c r="Q10" s="23">
        <f t="shared" si="0"/>
        <v>0.83333333333333337</v>
      </c>
      <c r="R10" s="23">
        <v>0.89411764705882357</v>
      </c>
      <c r="S10" s="23">
        <f>11/11</f>
        <v>1</v>
      </c>
      <c r="T10" s="25">
        <f t="shared" ref="T10" si="10">12/16</f>
        <v>0.75</v>
      </c>
      <c r="U10" s="23">
        <v>0.76923076923076927</v>
      </c>
      <c r="V10" s="26">
        <v>0.8</v>
      </c>
      <c r="W10" s="27">
        <f t="shared" si="1"/>
        <v>0.81038461538461548</v>
      </c>
      <c r="X10" s="28">
        <f t="shared" si="2"/>
        <v>0.85010801453448526</v>
      </c>
      <c r="Y10" s="29">
        <f t="shared" si="3"/>
        <v>0.85010801453448526</v>
      </c>
      <c r="Z10" s="29">
        <v>0.86670000000000003</v>
      </c>
      <c r="AA10" s="29">
        <v>0.91300000000000003</v>
      </c>
      <c r="AB10" s="29">
        <f t="shared" si="4"/>
        <v>0.87098240436034557</v>
      </c>
      <c r="AC10" t="str">
        <f t="shared" si="5"/>
        <v>Aprobada</v>
      </c>
    </row>
    <row r="11" spans="1:34" ht="14.4" x14ac:dyDescent="0.3">
      <c r="A11" s="88"/>
      <c r="B11" s="38">
        <v>9</v>
      </c>
      <c r="C11" s="1" t="s">
        <v>57</v>
      </c>
      <c r="D11" s="1" t="s">
        <v>58</v>
      </c>
      <c r="E11" s="1" t="s">
        <v>59</v>
      </c>
      <c r="F11" s="1" t="s">
        <v>37</v>
      </c>
      <c r="G11" s="1" t="s">
        <v>29</v>
      </c>
      <c r="H11" s="6" t="s">
        <v>29</v>
      </c>
      <c r="I11" s="30">
        <v>0.73</v>
      </c>
      <c r="J11" s="23">
        <v>0.81818181818181823</v>
      </c>
      <c r="K11" s="24" t="s">
        <v>30</v>
      </c>
      <c r="L11" s="24" t="s">
        <v>30</v>
      </c>
      <c r="M11" s="24" t="s">
        <v>30</v>
      </c>
      <c r="N11" s="24" t="s">
        <v>30</v>
      </c>
      <c r="O11" s="24" t="s">
        <v>30</v>
      </c>
      <c r="P11" s="24" t="s">
        <v>30</v>
      </c>
      <c r="Q11" s="23">
        <f t="shared" si="0"/>
        <v>1</v>
      </c>
      <c r="R11" s="23">
        <v>0.9882352941176471</v>
      </c>
      <c r="S11" s="23">
        <f>10/11</f>
        <v>0.90909090909090906</v>
      </c>
      <c r="T11" s="25">
        <f t="shared" ref="T11" si="11">S11/16</f>
        <v>5.6818181818181816E-2</v>
      </c>
      <c r="U11" s="23">
        <v>0.76923076923076927</v>
      </c>
      <c r="V11" s="26">
        <v>0.65</v>
      </c>
      <c r="W11" s="27">
        <f t="shared" si="1"/>
        <v>0.52879370629370626</v>
      </c>
      <c r="X11" s="28">
        <f t="shared" si="2"/>
        <v>0.77195583093377207</v>
      </c>
      <c r="Y11" s="29">
        <f t="shared" si="3"/>
        <v>0.77195583093377207</v>
      </c>
      <c r="Z11" s="29">
        <v>0.82220000000000004</v>
      </c>
      <c r="AA11" s="29">
        <v>0.89129999999999998</v>
      </c>
      <c r="AB11" s="29">
        <f t="shared" si="4"/>
        <v>0.82094674928013156</v>
      </c>
      <c r="AC11" t="str">
        <f t="shared" si="5"/>
        <v>Aprobada</v>
      </c>
    </row>
    <row r="12" spans="1:34" ht="14.4" x14ac:dyDescent="0.3">
      <c r="A12" s="88"/>
      <c r="B12" s="38">
        <v>10</v>
      </c>
      <c r="C12" s="1" t="s">
        <v>60</v>
      </c>
      <c r="D12" s="1" t="s">
        <v>61</v>
      </c>
      <c r="E12" s="1" t="s">
        <v>62</v>
      </c>
      <c r="F12" s="1" t="s">
        <v>55</v>
      </c>
      <c r="G12" s="1" t="s">
        <v>29</v>
      </c>
      <c r="H12" s="6" t="s">
        <v>29</v>
      </c>
      <c r="I12" s="30">
        <v>1</v>
      </c>
      <c r="J12" s="23">
        <v>0.81818181818181823</v>
      </c>
      <c r="K12" s="24" t="s">
        <v>30</v>
      </c>
      <c r="L12" s="24" t="s">
        <v>30</v>
      </c>
      <c r="M12" s="24" t="s">
        <v>30</v>
      </c>
      <c r="N12" s="24" t="s">
        <v>56</v>
      </c>
      <c r="O12" s="24" t="s">
        <v>30</v>
      </c>
      <c r="P12" s="24" t="s">
        <v>30</v>
      </c>
      <c r="Q12" s="23">
        <f t="shared" si="0"/>
        <v>0.83333333333333337</v>
      </c>
      <c r="R12" s="23">
        <v>0.95294117647058818</v>
      </c>
      <c r="S12" s="23">
        <f>11/11</f>
        <v>1</v>
      </c>
      <c r="T12" s="25">
        <f t="shared" ref="T12" si="12">13/16</f>
        <v>0.8125</v>
      </c>
      <c r="U12" s="23">
        <v>0.92307692307692313</v>
      </c>
      <c r="V12" s="26">
        <v>0.64</v>
      </c>
      <c r="W12" s="27">
        <f t="shared" si="1"/>
        <v>0.78821153846153846</v>
      </c>
      <c r="X12" s="28">
        <f t="shared" si="2"/>
        <v>0.86465954168380643</v>
      </c>
      <c r="Y12" s="29">
        <f t="shared" si="3"/>
        <v>0.86465954168380643</v>
      </c>
      <c r="Z12" s="29">
        <v>0.88890000000000002</v>
      </c>
      <c r="AA12" s="29">
        <v>0.97799999999999998</v>
      </c>
      <c r="AB12" s="29">
        <f t="shared" si="4"/>
        <v>0.89944786250514186</v>
      </c>
      <c r="AC12" t="str">
        <f t="shared" si="5"/>
        <v>Aprobada</v>
      </c>
    </row>
    <row r="13" spans="1:34" ht="14.4" x14ac:dyDescent="0.3">
      <c r="A13" s="88"/>
      <c r="B13" s="38">
        <v>11</v>
      </c>
      <c r="C13" s="1" t="s">
        <v>63</v>
      </c>
      <c r="D13" s="1" t="s">
        <v>64</v>
      </c>
      <c r="E13" s="1" t="s">
        <v>65</v>
      </c>
      <c r="F13" s="1" t="s">
        <v>45</v>
      </c>
      <c r="G13" s="1" t="s">
        <v>29</v>
      </c>
      <c r="H13" s="6" t="s">
        <v>29</v>
      </c>
      <c r="I13" s="31">
        <v>0.84</v>
      </c>
      <c r="J13" s="23">
        <v>0.54545454545454541</v>
      </c>
      <c r="K13" s="24" t="s">
        <v>30</v>
      </c>
      <c r="L13" s="24" t="s">
        <v>30</v>
      </c>
      <c r="M13" s="24" t="s">
        <v>30</v>
      </c>
      <c r="N13" s="24" t="s">
        <v>30</v>
      </c>
      <c r="O13" s="24" t="s">
        <v>30</v>
      </c>
      <c r="P13" s="24" t="s">
        <v>30</v>
      </c>
      <c r="Q13" s="23">
        <f t="shared" si="0"/>
        <v>1</v>
      </c>
      <c r="R13" s="23">
        <v>0.90588235294117647</v>
      </c>
      <c r="S13" s="23">
        <f>10/11</f>
        <v>0.90909090909090906</v>
      </c>
      <c r="T13" s="25">
        <f t="shared" ref="T13" si="13">12/16</f>
        <v>0.75</v>
      </c>
      <c r="U13" s="23">
        <v>0.84615384615384615</v>
      </c>
      <c r="V13" s="26">
        <v>0.78</v>
      </c>
      <c r="W13" s="27">
        <f t="shared" si="1"/>
        <v>0.8002867132867133</v>
      </c>
      <c r="X13" s="28">
        <f t="shared" si="2"/>
        <v>0.85711832579185521</v>
      </c>
      <c r="Y13" s="29">
        <f t="shared" si="3"/>
        <v>0.85711832579185521</v>
      </c>
      <c r="Z13" s="29">
        <v>0.77780000000000005</v>
      </c>
      <c r="AA13" s="29">
        <v>0.73909999999999998</v>
      </c>
      <c r="AB13" s="29">
        <f t="shared" si="4"/>
        <v>0.7938554977375567</v>
      </c>
      <c r="AC13" t="str">
        <f t="shared" si="5"/>
        <v>Reprobada</v>
      </c>
    </row>
    <row r="14" spans="1:34" ht="14.4" hidden="1" x14ac:dyDescent="0.3">
      <c r="A14" s="88"/>
      <c r="B14" s="38">
        <v>12</v>
      </c>
      <c r="C14" s="1" t="s">
        <v>121</v>
      </c>
      <c r="D14" s="1" t="s">
        <v>66</v>
      </c>
      <c r="E14" s="1" t="s">
        <v>67</v>
      </c>
      <c r="F14" s="1" t="s">
        <v>68</v>
      </c>
      <c r="G14" s="1" t="s">
        <v>29</v>
      </c>
      <c r="H14" s="6" t="s">
        <v>29</v>
      </c>
      <c r="I14" s="31">
        <v>0.64</v>
      </c>
      <c r="J14" s="23">
        <v>1</v>
      </c>
      <c r="K14" s="24" t="s">
        <v>30</v>
      </c>
      <c r="L14" s="24" t="s">
        <v>30</v>
      </c>
      <c r="M14" s="24" t="s">
        <v>30</v>
      </c>
      <c r="N14" s="24" t="s">
        <v>30</v>
      </c>
      <c r="O14" s="24" t="s">
        <v>30</v>
      </c>
      <c r="P14" s="24" t="s">
        <v>30</v>
      </c>
      <c r="Q14" s="23">
        <v>1</v>
      </c>
      <c r="R14" s="23">
        <v>0.86</v>
      </c>
      <c r="S14" s="23">
        <v>0.73</v>
      </c>
      <c r="T14" s="25">
        <v>0.05</v>
      </c>
      <c r="U14" s="23">
        <v>0.77</v>
      </c>
      <c r="V14" s="26">
        <v>0.44</v>
      </c>
      <c r="W14" s="27">
        <v>0.41</v>
      </c>
      <c r="X14" s="28">
        <v>0.67</v>
      </c>
      <c r="Y14" s="29">
        <f t="shared" si="3"/>
        <v>0.67</v>
      </c>
      <c r="Z14" s="29">
        <v>0.8</v>
      </c>
      <c r="AA14" s="29">
        <v>0.93</v>
      </c>
      <c r="AB14" s="29">
        <f t="shared" si="4"/>
        <v>0.78700000000000003</v>
      </c>
      <c r="AC14" t="s">
        <v>491</v>
      </c>
    </row>
    <row r="15" spans="1:34" ht="14.4" x14ac:dyDescent="0.3">
      <c r="A15" s="88"/>
      <c r="B15" s="38">
        <v>13</v>
      </c>
      <c r="C15" s="1" t="s">
        <v>69</v>
      </c>
      <c r="D15" s="1" t="s">
        <v>70</v>
      </c>
      <c r="E15" s="1" t="s">
        <v>71</v>
      </c>
      <c r="F15" s="1" t="s">
        <v>34</v>
      </c>
      <c r="G15" s="1" t="s">
        <v>29</v>
      </c>
      <c r="H15" s="6" t="s">
        <v>29</v>
      </c>
      <c r="I15" s="22">
        <v>0.93</v>
      </c>
      <c r="J15" s="23">
        <v>0.81818181818181823</v>
      </c>
      <c r="K15" s="24" t="s">
        <v>30</v>
      </c>
      <c r="L15" s="24" t="s">
        <v>30</v>
      </c>
      <c r="M15" s="24" t="s">
        <v>56</v>
      </c>
      <c r="N15" s="24" t="s">
        <v>30</v>
      </c>
      <c r="O15" s="24" t="s">
        <v>30</v>
      </c>
      <c r="P15" s="24" t="s">
        <v>30</v>
      </c>
      <c r="Q15" s="23">
        <f t="shared" si="0"/>
        <v>0.83333333333333337</v>
      </c>
      <c r="R15" s="23">
        <v>0.6705882352941176</v>
      </c>
      <c r="S15" s="23">
        <f>11/11</f>
        <v>1</v>
      </c>
      <c r="T15" s="25">
        <f t="shared" ref="T15" si="14">13/16</f>
        <v>0.8125</v>
      </c>
      <c r="U15" s="23">
        <v>0.61538461538461542</v>
      </c>
      <c r="V15" s="26">
        <v>0.57999999999999996</v>
      </c>
      <c r="W15" s="27">
        <f t="shared" si="1"/>
        <v>0.71805769230769223</v>
      </c>
      <c r="X15" s="28">
        <f t="shared" si="2"/>
        <v>0.7183991344439874</v>
      </c>
      <c r="Y15" s="29">
        <f t="shared" si="3"/>
        <v>0.7183991344439874</v>
      </c>
      <c r="Z15" s="29">
        <v>0.91110000000000002</v>
      </c>
      <c r="AA15" s="29">
        <v>0.86950000000000005</v>
      </c>
      <c r="AB15" s="29">
        <f t="shared" si="4"/>
        <v>0.84496974033319627</v>
      </c>
      <c r="AC15" t="str">
        <f t="shared" si="5"/>
        <v>Aprobada</v>
      </c>
    </row>
    <row r="16" spans="1:34" ht="14.4" x14ac:dyDescent="0.3">
      <c r="A16" s="88"/>
      <c r="B16" s="38">
        <v>14</v>
      </c>
      <c r="C16" s="1" t="s">
        <v>72</v>
      </c>
      <c r="D16" s="1" t="s">
        <v>73</v>
      </c>
      <c r="E16" s="1" t="s">
        <v>74</v>
      </c>
      <c r="F16" s="1" t="s">
        <v>75</v>
      </c>
      <c r="G16" s="1" t="s">
        <v>29</v>
      </c>
      <c r="H16" s="6" t="s">
        <v>29</v>
      </c>
      <c r="I16" s="30">
        <v>0.38</v>
      </c>
      <c r="J16" s="23">
        <v>0.90909090909090906</v>
      </c>
      <c r="K16" s="24" t="s">
        <v>30</v>
      </c>
      <c r="L16" s="24" t="s">
        <v>30</v>
      </c>
      <c r="M16" s="24" t="s">
        <v>30</v>
      </c>
      <c r="N16" s="24" t="s">
        <v>30</v>
      </c>
      <c r="O16" s="24" t="s">
        <v>30</v>
      </c>
      <c r="P16" s="24" t="s">
        <v>30</v>
      </c>
      <c r="Q16" s="23">
        <f t="shared" si="0"/>
        <v>1</v>
      </c>
      <c r="R16" s="23">
        <v>0.82352941176470584</v>
      </c>
      <c r="S16" s="23">
        <v>0.81818181818181823</v>
      </c>
      <c r="T16" s="25">
        <f t="shared" ref="T16" si="15">12/16</f>
        <v>0.75</v>
      </c>
      <c r="U16" s="23">
        <v>0.76923076923076927</v>
      </c>
      <c r="V16" s="26">
        <v>0.8</v>
      </c>
      <c r="W16" s="27">
        <f t="shared" si="1"/>
        <v>0.78311188811188814</v>
      </c>
      <c r="X16" s="28">
        <f t="shared" si="2"/>
        <v>0.81403938708350476</v>
      </c>
      <c r="Y16" s="29">
        <f t="shared" si="3"/>
        <v>0.81403938708350476</v>
      </c>
      <c r="Z16" s="29">
        <v>0.86670000000000003</v>
      </c>
      <c r="AA16" s="29">
        <v>0.89129999999999998</v>
      </c>
      <c r="AB16" s="29">
        <f t="shared" si="4"/>
        <v>0.85582181612505137</v>
      </c>
      <c r="AC16" t="str">
        <f t="shared" si="5"/>
        <v>Aprobada</v>
      </c>
    </row>
    <row r="17" spans="1:29" ht="14.4" x14ac:dyDescent="0.3">
      <c r="A17" s="88"/>
      <c r="B17" s="38">
        <v>16</v>
      </c>
      <c r="C17" s="1" t="s">
        <v>76</v>
      </c>
      <c r="D17" s="1" t="s">
        <v>77</v>
      </c>
      <c r="E17" s="1" t="s">
        <v>78</v>
      </c>
      <c r="F17" s="1" t="s">
        <v>45</v>
      </c>
      <c r="G17" s="1" t="s">
        <v>29</v>
      </c>
      <c r="H17" s="6" t="s">
        <v>29</v>
      </c>
      <c r="I17" s="30">
        <v>0.53</v>
      </c>
      <c r="J17" s="23">
        <v>0.90909090909090906</v>
      </c>
      <c r="K17" s="24" t="s">
        <v>30</v>
      </c>
      <c r="L17" s="24" t="s">
        <v>30</v>
      </c>
      <c r="M17" s="24" t="s">
        <v>30</v>
      </c>
      <c r="N17" s="24" t="s">
        <v>30</v>
      </c>
      <c r="O17" s="24" t="s">
        <v>30</v>
      </c>
      <c r="P17" s="24" t="s">
        <v>30</v>
      </c>
      <c r="Q17" s="23">
        <f t="shared" si="0"/>
        <v>1</v>
      </c>
      <c r="R17" s="23">
        <v>0.84705882352941175</v>
      </c>
      <c r="S17" s="23">
        <f>9/11</f>
        <v>0.81818181818181823</v>
      </c>
      <c r="T17" s="25">
        <f t="shared" ref="T17" si="16">13/16</f>
        <v>0.8125</v>
      </c>
      <c r="U17" s="23">
        <v>0.69230769230769229</v>
      </c>
      <c r="V17" s="26">
        <v>0.75</v>
      </c>
      <c r="W17" s="27">
        <f t="shared" si="1"/>
        <v>0.77032342657342656</v>
      </c>
      <c r="X17" s="28">
        <f t="shared" si="2"/>
        <v>0.8214463440970794</v>
      </c>
      <c r="Y17" s="29">
        <f t="shared" si="3"/>
        <v>0.8214463440970794</v>
      </c>
      <c r="Z17" s="29">
        <v>0.86670000000000003</v>
      </c>
      <c r="AA17" s="29">
        <v>0.93469999999999998</v>
      </c>
      <c r="AB17" s="29">
        <f t="shared" si="4"/>
        <v>0.86672390322912385</v>
      </c>
      <c r="AC17" t="str">
        <f t="shared" si="5"/>
        <v>Aprobada</v>
      </c>
    </row>
    <row r="18" spans="1:29" ht="14.4" x14ac:dyDescent="0.3">
      <c r="A18" s="88"/>
      <c r="B18" s="38">
        <v>17</v>
      </c>
      <c r="C18" s="1" t="s">
        <v>79</v>
      </c>
      <c r="D18" s="1" t="s">
        <v>80</v>
      </c>
      <c r="E18" s="1" t="s">
        <v>81</v>
      </c>
      <c r="F18" s="1" t="s">
        <v>55</v>
      </c>
      <c r="G18" s="1" t="s">
        <v>29</v>
      </c>
      <c r="H18" s="6" t="s">
        <v>29</v>
      </c>
      <c r="I18" s="30">
        <v>1</v>
      </c>
      <c r="J18" s="23">
        <v>0.63636363636363635</v>
      </c>
      <c r="K18" s="24" t="s">
        <v>30</v>
      </c>
      <c r="L18" s="24" t="s">
        <v>30</v>
      </c>
      <c r="M18" s="24" t="s">
        <v>30</v>
      </c>
      <c r="N18" s="24" t="s">
        <v>56</v>
      </c>
      <c r="O18" s="24" t="s">
        <v>30</v>
      </c>
      <c r="P18" s="24" t="s">
        <v>30</v>
      </c>
      <c r="Q18" s="23">
        <f t="shared" si="0"/>
        <v>0.83333333333333337</v>
      </c>
      <c r="R18" s="23">
        <v>0.81176470588235294</v>
      </c>
      <c r="S18" s="23">
        <f>10/11</f>
        <v>0.90909090909090906</v>
      </c>
      <c r="T18" s="25">
        <f t="shared" ref="T18" si="17">12/16</f>
        <v>0.75</v>
      </c>
      <c r="U18" s="23">
        <v>0.84615384615384615</v>
      </c>
      <c r="V18" s="26">
        <v>0.69</v>
      </c>
      <c r="W18" s="27">
        <f t="shared" si="1"/>
        <v>0.76428671328671327</v>
      </c>
      <c r="X18" s="28">
        <f t="shared" si="2"/>
        <v>0.79287732757438645</v>
      </c>
      <c r="Y18" s="29">
        <f t="shared" si="3"/>
        <v>0.79287732757438645</v>
      </c>
      <c r="Z18" s="29">
        <v>0.84439999999999993</v>
      </c>
      <c r="AA18" s="29">
        <v>0.91300000000000003</v>
      </c>
      <c r="AB18" s="29">
        <f t="shared" si="4"/>
        <v>0.84266319827231584</v>
      </c>
      <c r="AC18" t="str">
        <f t="shared" si="5"/>
        <v>Aprobada</v>
      </c>
    </row>
    <row r="19" spans="1:29" ht="14.4" x14ac:dyDescent="0.3">
      <c r="A19" s="88"/>
      <c r="B19" s="38">
        <v>18</v>
      </c>
      <c r="C19" s="1" t="s">
        <v>82</v>
      </c>
      <c r="D19" s="1" t="s">
        <v>83</v>
      </c>
      <c r="E19" s="1" t="s">
        <v>84</v>
      </c>
      <c r="F19" s="1" t="s">
        <v>68</v>
      </c>
      <c r="G19" s="1" t="s">
        <v>29</v>
      </c>
      <c r="H19" s="6" t="s">
        <v>29</v>
      </c>
      <c r="I19" s="30">
        <v>0.62</v>
      </c>
      <c r="J19" s="23">
        <v>0.72727272727272729</v>
      </c>
      <c r="K19" s="24" t="s">
        <v>30</v>
      </c>
      <c r="L19" s="24" t="s">
        <v>30</v>
      </c>
      <c r="M19" s="24" t="s">
        <v>30</v>
      </c>
      <c r="N19" s="24" t="s">
        <v>30</v>
      </c>
      <c r="O19" s="24" t="s">
        <v>30</v>
      </c>
      <c r="P19" s="24" t="s">
        <v>30</v>
      </c>
      <c r="Q19" s="23">
        <f t="shared" si="0"/>
        <v>1</v>
      </c>
      <c r="R19" s="23">
        <v>0.63529411764705879</v>
      </c>
      <c r="S19" s="23">
        <f>10/11</f>
        <v>0.90909090909090906</v>
      </c>
      <c r="T19" s="25">
        <f t="shared" ref="T19" si="18">S19/16</f>
        <v>5.6818181818181816E-2</v>
      </c>
      <c r="U19" s="23">
        <v>0.76923076923076927</v>
      </c>
      <c r="V19" s="26">
        <v>0.44</v>
      </c>
      <c r="W19" s="27">
        <f t="shared" si="1"/>
        <v>0.44479370629370629</v>
      </c>
      <c r="X19" s="28">
        <f t="shared" si="2"/>
        <v>0.58795663307280954</v>
      </c>
      <c r="Y19" s="29">
        <f t="shared" si="3"/>
        <v>0.58795663307280954</v>
      </c>
      <c r="Z19" s="29">
        <v>0.93330000000000002</v>
      </c>
      <c r="AA19" s="29"/>
      <c r="AB19" s="29" t="s">
        <v>122</v>
      </c>
      <c r="AC19" t="str">
        <f t="shared" si="5"/>
        <v>Pendiente</v>
      </c>
    </row>
    <row r="20" spans="1:29" ht="14.4" x14ac:dyDescent="0.3">
      <c r="A20" s="88" t="s">
        <v>161</v>
      </c>
      <c r="B20" s="38">
        <v>1</v>
      </c>
      <c r="C20" t="s">
        <v>147</v>
      </c>
      <c r="D20" s="1" t="s">
        <v>123</v>
      </c>
      <c r="E20" s="1" t="s">
        <v>124</v>
      </c>
      <c r="F20" s="1" t="s">
        <v>37</v>
      </c>
      <c r="G20" s="1" t="s">
        <v>29</v>
      </c>
      <c r="H20" s="6" t="s">
        <v>29</v>
      </c>
      <c r="I20" s="30">
        <v>0.63076923076923075</v>
      </c>
      <c r="J20" s="23">
        <v>0.90909090909090906</v>
      </c>
      <c r="K20" s="24" t="s">
        <v>30</v>
      </c>
      <c r="L20" s="24" t="s">
        <v>30</v>
      </c>
      <c r="M20" s="24" t="s">
        <v>30</v>
      </c>
      <c r="N20" s="24" t="s">
        <v>30</v>
      </c>
      <c r="O20" s="24" t="s">
        <v>30</v>
      </c>
      <c r="P20" s="24" t="s">
        <v>30</v>
      </c>
      <c r="Q20" s="23">
        <f t="shared" ref="Q20:Q32" si="19">+COUNTIF(K20:P20,"SI")/6</f>
        <v>1</v>
      </c>
      <c r="R20" s="23">
        <v>0.59047619047619049</v>
      </c>
      <c r="S20" s="23">
        <v>0.90909090909090906</v>
      </c>
      <c r="T20" s="25">
        <v>0.9375</v>
      </c>
      <c r="U20" s="23">
        <v>0.46153846153846156</v>
      </c>
      <c r="V20" s="26">
        <v>0.81818181818181823</v>
      </c>
      <c r="W20" s="27">
        <f t="shared" ref="W20:W32" si="20">S20*15%+T20*30%+U20*15%+V20*40%</f>
        <v>0.81411713286713283</v>
      </c>
      <c r="X20" s="28">
        <f t="shared" ref="X20:X32" si="21">I20*2.5%+J20*2.5%+Q20*10%+R20*40%+W20*45%</f>
        <v>0.74103968947718957</v>
      </c>
      <c r="Y20" s="29">
        <f t="shared" si="3"/>
        <v>0.74103968947718957</v>
      </c>
      <c r="Z20" s="29">
        <v>0.86670000000000003</v>
      </c>
      <c r="AA20" s="29">
        <v>0.93469999999999998</v>
      </c>
      <c r="AB20" s="29">
        <f t="shared" si="4"/>
        <v>0.84260190684315683</v>
      </c>
      <c r="AC20" t="str">
        <f t="shared" si="5"/>
        <v>Aprobada</v>
      </c>
    </row>
    <row r="21" spans="1:29" ht="14.4" x14ac:dyDescent="0.3">
      <c r="A21" s="88"/>
      <c r="B21" s="38">
        <v>2</v>
      </c>
      <c r="C21" t="s">
        <v>148</v>
      </c>
      <c r="D21" s="1" t="s">
        <v>125</v>
      </c>
      <c r="E21" s="1" t="s">
        <v>126</v>
      </c>
      <c r="F21" s="1" t="s">
        <v>37</v>
      </c>
      <c r="G21" s="1" t="s">
        <v>29</v>
      </c>
      <c r="H21" s="6" t="s">
        <v>29</v>
      </c>
      <c r="I21" s="30">
        <v>0.66153846153846152</v>
      </c>
      <c r="J21" s="23">
        <v>0.90909090909090906</v>
      </c>
      <c r="K21" s="24" t="s">
        <v>30</v>
      </c>
      <c r="L21" s="24" t="s">
        <v>30</v>
      </c>
      <c r="M21" s="24" t="s">
        <v>30</v>
      </c>
      <c r="N21" s="24" t="s">
        <v>30</v>
      </c>
      <c r="O21" s="24" t="s">
        <v>30</v>
      </c>
      <c r="P21" s="24" t="s">
        <v>30</v>
      </c>
      <c r="Q21" s="23">
        <f t="shared" si="19"/>
        <v>1</v>
      </c>
      <c r="R21" s="23">
        <v>0.78095238095238095</v>
      </c>
      <c r="S21" s="23">
        <v>1</v>
      </c>
      <c r="T21" s="25">
        <v>0.875</v>
      </c>
      <c r="U21" s="23">
        <v>0.15384615384615385</v>
      </c>
      <c r="V21" s="26">
        <v>0.58181818181818179</v>
      </c>
      <c r="W21" s="27">
        <f t="shared" si="20"/>
        <v>0.66830419580419576</v>
      </c>
      <c r="X21" s="28">
        <f t="shared" si="21"/>
        <v>0.75238357475857476</v>
      </c>
      <c r="Y21" s="29">
        <f t="shared" si="3"/>
        <v>0.75238357475857476</v>
      </c>
      <c r="Z21" s="29">
        <v>0.86670000000000003</v>
      </c>
      <c r="AA21" s="29">
        <v>0.86950000000000005</v>
      </c>
      <c r="AB21" s="29">
        <f t="shared" si="4"/>
        <v>0.83296507242757245</v>
      </c>
      <c r="AC21" t="str">
        <f t="shared" si="5"/>
        <v>Aprobada</v>
      </c>
    </row>
    <row r="22" spans="1:29" ht="15" customHeight="1" x14ac:dyDescent="0.3">
      <c r="A22" s="88"/>
      <c r="B22" s="38">
        <v>3</v>
      </c>
      <c r="C22" t="s">
        <v>149</v>
      </c>
      <c r="D22" s="1" t="s">
        <v>127</v>
      </c>
      <c r="E22" s="1" t="s">
        <v>128</v>
      </c>
      <c r="F22" s="1" t="s">
        <v>37</v>
      </c>
      <c r="G22" s="1" t="s">
        <v>29</v>
      </c>
      <c r="H22" s="6" t="s">
        <v>29</v>
      </c>
      <c r="I22" s="30">
        <v>0.64615384615384619</v>
      </c>
      <c r="J22" s="23">
        <v>0.81818181818181823</v>
      </c>
      <c r="K22" s="24" t="s">
        <v>30</v>
      </c>
      <c r="L22" s="24" t="s">
        <v>30</v>
      </c>
      <c r="M22" s="24" t="s">
        <v>30</v>
      </c>
      <c r="N22" s="24" t="s">
        <v>30</v>
      </c>
      <c r="O22" s="24" t="s">
        <v>30</v>
      </c>
      <c r="P22" s="24" t="s">
        <v>30</v>
      </c>
      <c r="Q22" s="23">
        <f t="shared" si="19"/>
        <v>1</v>
      </c>
      <c r="R22" s="23">
        <v>0.83809523809523812</v>
      </c>
      <c r="S22" s="23">
        <v>0.90909090909090906</v>
      </c>
      <c r="T22" s="25">
        <v>1</v>
      </c>
      <c r="U22" s="23">
        <v>0.76923076923076927</v>
      </c>
      <c r="V22" s="26">
        <v>0.87272727272727268</v>
      </c>
      <c r="W22" s="27">
        <f t="shared" si="20"/>
        <v>0.90083916083916082</v>
      </c>
      <c r="X22" s="28">
        <f t="shared" si="21"/>
        <v>0.87722410922410932</v>
      </c>
      <c r="Y22" s="29">
        <f t="shared" si="3"/>
        <v>0.87722410922410932</v>
      </c>
      <c r="Z22" s="29">
        <v>0.84439999999999993</v>
      </c>
      <c r="AA22" s="29">
        <v>0.93100000000000005</v>
      </c>
      <c r="AB22" s="29">
        <f t="shared" si="4"/>
        <v>0.8715672327672328</v>
      </c>
      <c r="AC22" t="str">
        <f t="shared" si="5"/>
        <v>Aprobada</v>
      </c>
    </row>
    <row r="23" spans="1:29" ht="15" customHeight="1" x14ac:dyDescent="0.3">
      <c r="A23" s="88"/>
      <c r="B23" s="38">
        <v>4</v>
      </c>
      <c r="C23" t="s">
        <v>150</v>
      </c>
      <c r="D23" s="1" t="s">
        <v>61</v>
      </c>
      <c r="E23" s="1" t="s">
        <v>129</v>
      </c>
      <c r="F23" s="1" t="s">
        <v>37</v>
      </c>
      <c r="G23" s="1" t="s">
        <v>29</v>
      </c>
      <c r="H23" s="6" t="s">
        <v>29</v>
      </c>
      <c r="I23" s="30">
        <v>0.64615384615384619</v>
      </c>
      <c r="J23" s="23">
        <v>0.54545454545454541</v>
      </c>
      <c r="K23" s="24" t="s">
        <v>30</v>
      </c>
      <c r="L23" s="24" t="s">
        <v>30</v>
      </c>
      <c r="M23" s="24" t="s">
        <v>30</v>
      </c>
      <c r="N23" s="24" t="s">
        <v>30</v>
      </c>
      <c r="O23" s="24" t="s">
        <v>30</v>
      </c>
      <c r="P23" s="24" t="s">
        <v>30</v>
      </c>
      <c r="Q23" s="23">
        <f t="shared" si="19"/>
        <v>1</v>
      </c>
      <c r="R23" s="23">
        <v>0.46666666666666667</v>
      </c>
      <c r="S23" s="23">
        <v>0.72727272727272729</v>
      </c>
      <c r="T23" s="25">
        <v>0.9375</v>
      </c>
      <c r="U23" s="23">
        <v>0.38461538461538464</v>
      </c>
      <c r="V23" s="26">
        <v>0.58181818181818179</v>
      </c>
      <c r="W23" s="27">
        <f t="shared" si="20"/>
        <v>0.68076048951048951</v>
      </c>
      <c r="X23" s="28">
        <f t="shared" si="21"/>
        <v>0.62279909673659684</v>
      </c>
      <c r="Y23" s="29">
        <f t="shared" si="3"/>
        <v>0.62279909673659684</v>
      </c>
      <c r="Z23" s="29">
        <v>0.73329999999999995</v>
      </c>
      <c r="AA23" s="29">
        <v>0.79310000000000003</v>
      </c>
      <c r="AB23" s="29">
        <f t="shared" si="4"/>
        <v>0.71210972902097902</v>
      </c>
      <c r="AC23" t="str">
        <f t="shared" si="5"/>
        <v>Reprobada</v>
      </c>
    </row>
    <row r="24" spans="1:29" ht="15" hidden="1" customHeight="1" x14ac:dyDescent="0.3">
      <c r="A24" s="88"/>
      <c r="B24" s="38">
        <v>5</v>
      </c>
      <c r="C24" t="s">
        <v>151</v>
      </c>
      <c r="D24" s="1" t="s">
        <v>130</v>
      </c>
      <c r="E24" s="1" t="s">
        <v>131</v>
      </c>
      <c r="F24" s="1" t="s">
        <v>37</v>
      </c>
      <c r="G24" s="1" t="s">
        <v>29</v>
      </c>
      <c r="H24" s="6" t="s">
        <v>29</v>
      </c>
      <c r="I24" s="30">
        <v>0.84615384615384615</v>
      </c>
      <c r="J24" s="23">
        <v>0.72727272727272729</v>
      </c>
      <c r="K24" s="24" t="s">
        <v>30</v>
      </c>
      <c r="L24" s="24" t="s">
        <v>30</v>
      </c>
      <c r="M24" s="24" t="s">
        <v>30</v>
      </c>
      <c r="N24" s="24" t="s">
        <v>30</v>
      </c>
      <c r="O24" s="24" t="s">
        <v>30</v>
      </c>
      <c r="P24" s="24" t="s">
        <v>30</v>
      </c>
      <c r="Q24" s="23">
        <f t="shared" si="19"/>
        <v>1</v>
      </c>
      <c r="R24" s="23">
        <v>0.69523809523809521</v>
      </c>
      <c r="S24" s="23">
        <v>0.90909090909090906</v>
      </c>
      <c r="T24" s="25">
        <v>0.8125</v>
      </c>
      <c r="U24" s="23">
        <v>0.23076923076923078</v>
      </c>
      <c r="V24" s="26">
        <v>0.50909090909090904</v>
      </c>
      <c r="W24" s="27">
        <f t="shared" si="20"/>
        <v>0.61836538461538459</v>
      </c>
      <c r="X24" s="28">
        <f t="shared" si="21"/>
        <v>0.69569532550782553</v>
      </c>
      <c r="Y24" s="29">
        <f t="shared" si="3"/>
        <v>0.69569532550782553</v>
      </c>
      <c r="Z24" s="29">
        <v>0.82220000000000004</v>
      </c>
      <c r="AA24" s="29">
        <v>0.82220000000000004</v>
      </c>
      <c r="AB24" s="29">
        <f t="shared" si="4"/>
        <v>0.78424859765234767</v>
      </c>
      <c r="AC24" t="s">
        <v>491</v>
      </c>
    </row>
    <row r="25" spans="1:29" ht="15" customHeight="1" x14ac:dyDescent="0.3">
      <c r="A25" s="88"/>
      <c r="B25" s="38">
        <v>6</v>
      </c>
      <c r="C25" t="s">
        <v>152</v>
      </c>
      <c r="D25" s="1" t="s">
        <v>132</v>
      </c>
      <c r="E25" s="1" t="s">
        <v>133</v>
      </c>
      <c r="F25" s="1" t="s">
        <v>37</v>
      </c>
      <c r="G25" s="1" t="s">
        <v>29</v>
      </c>
      <c r="H25" s="6" t="s">
        <v>29</v>
      </c>
      <c r="I25" s="30">
        <v>0.49230769230769234</v>
      </c>
      <c r="J25" s="23">
        <v>0.72727272727272729</v>
      </c>
      <c r="K25" s="24" t="s">
        <v>30</v>
      </c>
      <c r="L25" s="24" t="s">
        <v>30</v>
      </c>
      <c r="M25" s="24" t="s">
        <v>30</v>
      </c>
      <c r="N25" s="24" t="s">
        <v>30</v>
      </c>
      <c r="O25" s="24" t="s">
        <v>30</v>
      </c>
      <c r="P25" s="24" t="s">
        <v>30</v>
      </c>
      <c r="Q25" s="23">
        <f t="shared" si="19"/>
        <v>1</v>
      </c>
      <c r="R25" s="23">
        <v>0.94285714285714284</v>
      </c>
      <c r="S25" s="23">
        <v>0.72727272727272729</v>
      </c>
      <c r="T25" s="25">
        <v>0.875</v>
      </c>
      <c r="U25" s="23">
        <v>0.15384615384615385</v>
      </c>
      <c r="V25" s="26">
        <v>0.58181818181818179</v>
      </c>
      <c r="W25" s="27">
        <f t="shared" si="20"/>
        <v>0.62739510489510497</v>
      </c>
      <c r="X25" s="28">
        <f t="shared" si="21"/>
        <v>0.78996016483516485</v>
      </c>
      <c r="Y25" s="29">
        <f t="shared" si="3"/>
        <v>0.78996016483516485</v>
      </c>
      <c r="Z25" s="29">
        <v>0.88890000000000002</v>
      </c>
      <c r="AA25" s="29">
        <v>0.86199999999999999</v>
      </c>
      <c r="AB25" s="29">
        <f t="shared" si="4"/>
        <v>0.85383804945054942</v>
      </c>
      <c r="AC25" t="str">
        <f t="shared" si="5"/>
        <v>Aprobada</v>
      </c>
    </row>
    <row r="26" spans="1:29" ht="15" customHeight="1" x14ac:dyDescent="0.3">
      <c r="A26" s="88"/>
      <c r="B26" s="38">
        <v>7</v>
      </c>
      <c r="C26" t="s">
        <v>153</v>
      </c>
      <c r="D26" s="1" t="s">
        <v>134</v>
      </c>
      <c r="E26" s="1" t="s">
        <v>135</v>
      </c>
      <c r="F26" s="1" t="s">
        <v>37</v>
      </c>
      <c r="G26" s="1" t="s">
        <v>29</v>
      </c>
      <c r="H26" s="6" t="s">
        <v>29</v>
      </c>
      <c r="I26" s="30">
        <v>0.86153846153846159</v>
      </c>
      <c r="J26" s="23">
        <v>0.72727272727272729</v>
      </c>
      <c r="K26" s="24" t="s">
        <v>30</v>
      </c>
      <c r="L26" s="24" t="s">
        <v>30</v>
      </c>
      <c r="M26" s="24" t="s">
        <v>30</v>
      </c>
      <c r="N26" s="24" t="s">
        <v>30</v>
      </c>
      <c r="O26" s="24" t="s">
        <v>30</v>
      </c>
      <c r="P26" s="24" t="s">
        <v>30</v>
      </c>
      <c r="Q26" s="23">
        <f t="shared" si="19"/>
        <v>1</v>
      </c>
      <c r="R26" s="23">
        <v>0.89523809523809528</v>
      </c>
      <c r="S26" s="23">
        <v>0.90909090909090906</v>
      </c>
      <c r="T26" s="25">
        <v>0.9375</v>
      </c>
      <c r="U26" s="23">
        <v>0.30769230769230771</v>
      </c>
      <c r="V26" s="26">
        <v>0.63636363636363635</v>
      </c>
      <c r="W26" s="27">
        <f t="shared" si="20"/>
        <v>0.71831293706293708</v>
      </c>
      <c r="X26" s="28">
        <f t="shared" si="21"/>
        <v>0.82105633949383949</v>
      </c>
      <c r="Y26" s="29">
        <f t="shared" si="3"/>
        <v>0.82105633949383949</v>
      </c>
      <c r="Z26" s="29">
        <v>0.82220000000000004</v>
      </c>
      <c r="AA26" s="29">
        <v>0.82220000000000004</v>
      </c>
      <c r="AB26" s="29">
        <f t="shared" si="4"/>
        <v>0.82185690184815186</v>
      </c>
      <c r="AC26" t="str">
        <f t="shared" si="5"/>
        <v>Aprobada</v>
      </c>
    </row>
    <row r="27" spans="1:29" ht="15" customHeight="1" x14ac:dyDescent="0.3">
      <c r="A27" s="88"/>
      <c r="B27" s="38">
        <v>8</v>
      </c>
      <c r="C27" t="s">
        <v>154</v>
      </c>
      <c r="D27" s="1" t="s">
        <v>136</v>
      </c>
      <c r="E27" s="1" t="s">
        <v>137</v>
      </c>
      <c r="F27" s="1" t="s">
        <v>37</v>
      </c>
      <c r="G27" s="1" t="s">
        <v>29</v>
      </c>
      <c r="H27" s="6" t="s">
        <v>29</v>
      </c>
      <c r="I27" s="30">
        <v>0.61538461538461542</v>
      </c>
      <c r="J27" s="23">
        <v>0.72727272727272729</v>
      </c>
      <c r="K27" s="24" t="s">
        <v>30</v>
      </c>
      <c r="L27" s="24" t="s">
        <v>30</v>
      </c>
      <c r="M27" s="24" t="s">
        <v>30</v>
      </c>
      <c r="N27" s="24" t="s">
        <v>30</v>
      </c>
      <c r="O27" s="24" t="s">
        <v>30</v>
      </c>
      <c r="P27" s="24" t="s">
        <v>30</v>
      </c>
      <c r="Q27" s="23">
        <f t="shared" si="19"/>
        <v>1</v>
      </c>
      <c r="R27" s="23">
        <v>0.80952380952380953</v>
      </c>
      <c r="S27" s="23">
        <v>1</v>
      </c>
      <c r="T27" s="25">
        <v>0.875</v>
      </c>
      <c r="U27" s="23">
        <v>0.15384615384615385</v>
      </c>
      <c r="V27" s="26">
        <v>0.58181818181818179</v>
      </c>
      <c r="W27" s="27">
        <f t="shared" si="20"/>
        <v>0.66830419580419576</v>
      </c>
      <c r="X27" s="28">
        <f t="shared" si="21"/>
        <v>0.75811284548784541</v>
      </c>
      <c r="Y27" s="29">
        <f t="shared" si="3"/>
        <v>0.75811284548784541</v>
      </c>
      <c r="Z27" s="29">
        <v>0.9556</v>
      </c>
      <c r="AA27" s="29">
        <v>0.86950000000000005</v>
      </c>
      <c r="AB27" s="29">
        <f t="shared" si="4"/>
        <v>0.87913385364635366</v>
      </c>
      <c r="AC27" t="str">
        <f t="shared" si="5"/>
        <v>Aprobada</v>
      </c>
    </row>
    <row r="28" spans="1:29" ht="15" customHeight="1" x14ac:dyDescent="0.3">
      <c r="A28" s="88"/>
      <c r="B28" s="38">
        <v>9</v>
      </c>
      <c r="C28" t="s">
        <v>155</v>
      </c>
      <c r="D28" s="1" t="s">
        <v>70</v>
      </c>
      <c r="E28" s="1" t="s">
        <v>138</v>
      </c>
      <c r="F28" s="1" t="s">
        <v>37</v>
      </c>
      <c r="G28" s="1" t="s">
        <v>29</v>
      </c>
      <c r="H28" s="6" t="s">
        <v>29</v>
      </c>
      <c r="I28" s="30">
        <v>0.58461538461538465</v>
      </c>
      <c r="J28" s="23">
        <v>0.72727272727272729</v>
      </c>
      <c r="K28" s="24" t="s">
        <v>30</v>
      </c>
      <c r="L28" s="24" t="s">
        <v>30</v>
      </c>
      <c r="M28" s="24" t="s">
        <v>30</v>
      </c>
      <c r="N28" s="24" t="s">
        <v>30</v>
      </c>
      <c r="O28" s="24" t="s">
        <v>30</v>
      </c>
      <c r="P28" s="24" t="s">
        <v>30</v>
      </c>
      <c r="Q28" s="23">
        <f t="shared" si="19"/>
        <v>1</v>
      </c>
      <c r="R28" s="23">
        <v>0.53333333333333333</v>
      </c>
      <c r="S28" s="23">
        <v>0.81818181818181823</v>
      </c>
      <c r="T28" s="25">
        <v>0.8125</v>
      </c>
      <c r="U28" s="23">
        <v>0.23076923076923078</v>
      </c>
      <c r="V28" s="26">
        <v>0.6</v>
      </c>
      <c r="W28" s="27">
        <f t="shared" si="20"/>
        <v>0.6410926573426573</v>
      </c>
      <c r="X28" s="28">
        <f t="shared" si="21"/>
        <v>0.63462223193473188</v>
      </c>
      <c r="Y28" s="29">
        <f t="shared" si="3"/>
        <v>0.63462223193473188</v>
      </c>
      <c r="Z28" s="29">
        <v>0.82220000000000004</v>
      </c>
      <c r="AA28" s="29">
        <v>0.93469999999999998</v>
      </c>
      <c r="AB28" s="29">
        <f t="shared" si="4"/>
        <v>0.78842666958041951</v>
      </c>
      <c r="AC28" t="str">
        <f t="shared" si="5"/>
        <v>Reprobada</v>
      </c>
    </row>
    <row r="29" spans="1:29" ht="15" customHeight="1" x14ac:dyDescent="0.3">
      <c r="A29" s="88"/>
      <c r="B29" s="38">
        <v>10</v>
      </c>
      <c r="C29" t="s">
        <v>156</v>
      </c>
      <c r="D29" s="1" t="s">
        <v>139</v>
      </c>
      <c r="E29" s="1" t="s">
        <v>140</v>
      </c>
      <c r="F29" s="1" t="s">
        <v>37</v>
      </c>
      <c r="G29" s="1" t="s">
        <v>29</v>
      </c>
      <c r="H29" s="6" t="s">
        <v>29</v>
      </c>
      <c r="I29" s="30">
        <v>0.6</v>
      </c>
      <c r="J29" s="23">
        <v>0.81818181818181823</v>
      </c>
      <c r="K29" s="24" t="s">
        <v>30</v>
      </c>
      <c r="L29" s="24" t="s">
        <v>30</v>
      </c>
      <c r="M29" s="24" t="s">
        <v>30</v>
      </c>
      <c r="N29" s="24" t="s">
        <v>30</v>
      </c>
      <c r="O29" s="24" t="s">
        <v>30</v>
      </c>
      <c r="P29" s="24" t="s">
        <v>30</v>
      </c>
      <c r="Q29" s="23">
        <f t="shared" si="19"/>
        <v>1</v>
      </c>
      <c r="R29" s="23">
        <v>0.84761904761904761</v>
      </c>
      <c r="S29" s="23">
        <v>1</v>
      </c>
      <c r="T29" s="25">
        <v>0.9375</v>
      </c>
      <c r="U29" s="23">
        <v>0.30769230769230771</v>
      </c>
      <c r="V29" s="26">
        <v>0.58181818181818179</v>
      </c>
      <c r="W29" s="27">
        <f t="shared" si="20"/>
        <v>0.71013111888111891</v>
      </c>
      <c r="X29" s="28">
        <f t="shared" si="21"/>
        <v>0.79406116799866799</v>
      </c>
      <c r="Y29" s="29">
        <f t="shared" si="3"/>
        <v>0.79406116799866799</v>
      </c>
      <c r="Z29" s="29">
        <v>0.91110000000000002</v>
      </c>
      <c r="AA29" s="29">
        <v>0.91110000000000002</v>
      </c>
      <c r="AB29" s="29">
        <f t="shared" si="4"/>
        <v>0.87598835039960044</v>
      </c>
      <c r="AC29" t="str">
        <f t="shared" si="5"/>
        <v>Aprobada</v>
      </c>
    </row>
    <row r="30" spans="1:29" ht="15" customHeight="1" x14ac:dyDescent="0.3">
      <c r="A30" s="88"/>
      <c r="B30" s="38">
        <v>11</v>
      </c>
      <c r="C30" t="s">
        <v>157</v>
      </c>
      <c r="D30" s="1" t="s">
        <v>141</v>
      </c>
      <c r="E30" s="1" t="s">
        <v>142</v>
      </c>
      <c r="F30" s="1" t="s">
        <v>37</v>
      </c>
      <c r="G30" s="1" t="s">
        <v>29</v>
      </c>
      <c r="H30" s="6" t="s">
        <v>29</v>
      </c>
      <c r="I30" s="30">
        <v>0.64615384615384619</v>
      </c>
      <c r="J30" s="23">
        <v>0.81818181818181823</v>
      </c>
      <c r="K30" s="24" t="s">
        <v>30</v>
      </c>
      <c r="L30" s="24" t="s">
        <v>30</v>
      </c>
      <c r="M30" s="24" t="s">
        <v>30</v>
      </c>
      <c r="N30" s="24" t="s">
        <v>30</v>
      </c>
      <c r="O30" s="24" t="s">
        <v>30</v>
      </c>
      <c r="P30" s="24" t="s">
        <v>30</v>
      </c>
      <c r="Q30" s="23">
        <f t="shared" si="19"/>
        <v>1</v>
      </c>
      <c r="R30" s="23">
        <v>0.88571428571428568</v>
      </c>
      <c r="S30" s="23">
        <v>0.90909090909090906</v>
      </c>
      <c r="T30" s="25">
        <v>1</v>
      </c>
      <c r="U30" s="23">
        <v>0.69230769230769229</v>
      </c>
      <c r="V30" s="26">
        <v>0.8545454545454545</v>
      </c>
      <c r="W30" s="27">
        <f t="shared" si="20"/>
        <v>0.88202797202797201</v>
      </c>
      <c r="X30" s="28">
        <f t="shared" si="21"/>
        <v>0.88780669330669326</v>
      </c>
      <c r="Y30" s="29">
        <f t="shared" si="3"/>
        <v>0.88780669330669326</v>
      </c>
      <c r="Z30" s="29">
        <v>0.8</v>
      </c>
      <c r="AA30" s="29">
        <v>0.86950000000000005</v>
      </c>
      <c r="AB30" s="29">
        <f t="shared" si="4"/>
        <v>0.84024200799200799</v>
      </c>
      <c r="AC30" t="str">
        <f t="shared" si="5"/>
        <v>Aprobada</v>
      </c>
    </row>
    <row r="31" spans="1:29" ht="15" customHeight="1" x14ac:dyDescent="0.3">
      <c r="A31" s="88"/>
      <c r="B31" s="38">
        <v>12</v>
      </c>
      <c r="C31" t="s">
        <v>158</v>
      </c>
      <c r="D31" s="1" t="s">
        <v>143</v>
      </c>
      <c r="E31" s="1" t="s">
        <v>144</v>
      </c>
      <c r="F31" s="1" t="s">
        <v>37</v>
      </c>
      <c r="G31" s="1" t="s">
        <v>29</v>
      </c>
      <c r="H31" s="6" t="s">
        <v>29</v>
      </c>
      <c r="I31" s="30">
        <v>0.49230769230769234</v>
      </c>
      <c r="J31" s="23">
        <v>0.81818181818181823</v>
      </c>
      <c r="K31" s="24" t="s">
        <v>30</v>
      </c>
      <c r="L31" s="24" t="s">
        <v>30</v>
      </c>
      <c r="M31" s="24" t="s">
        <v>30</v>
      </c>
      <c r="N31" s="24" t="s">
        <v>30</v>
      </c>
      <c r="O31" s="24" t="s">
        <v>30</v>
      </c>
      <c r="P31" s="24" t="s">
        <v>30</v>
      </c>
      <c r="Q31" s="23">
        <f t="shared" si="19"/>
        <v>1</v>
      </c>
      <c r="R31" s="23">
        <v>0.63809523809523805</v>
      </c>
      <c r="S31" s="23">
        <v>0.90909090909090906</v>
      </c>
      <c r="T31" s="25">
        <v>0.9375</v>
      </c>
      <c r="U31" s="23">
        <v>0.61538461538461542</v>
      </c>
      <c r="V31" s="26">
        <v>0.58181818181818179</v>
      </c>
      <c r="W31" s="27">
        <f t="shared" si="20"/>
        <v>0.74264860139860134</v>
      </c>
      <c r="X31" s="28">
        <f t="shared" si="21"/>
        <v>0.7221922036297036</v>
      </c>
      <c r="Y31" s="29">
        <f t="shared" si="3"/>
        <v>0.7221922036297036</v>
      </c>
      <c r="Z31" s="29">
        <v>0.82220000000000004</v>
      </c>
      <c r="AA31" s="29">
        <v>0.73909999999999998</v>
      </c>
      <c r="AB31" s="29">
        <f t="shared" si="4"/>
        <v>0.77557766108891113</v>
      </c>
      <c r="AC31" t="str">
        <f t="shared" si="5"/>
        <v>Reprobada</v>
      </c>
    </row>
    <row r="32" spans="1:29" ht="15" customHeight="1" thickBot="1" x14ac:dyDescent="0.35">
      <c r="A32" s="88"/>
      <c r="B32" s="38">
        <v>13</v>
      </c>
      <c r="C32" t="s">
        <v>159</v>
      </c>
      <c r="D32" s="1" t="s">
        <v>145</v>
      </c>
      <c r="E32" s="1" t="s">
        <v>146</v>
      </c>
      <c r="F32" s="1" t="s">
        <v>37</v>
      </c>
      <c r="G32" s="1" t="s">
        <v>29</v>
      </c>
      <c r="H32" s="6" t="s">
        <v>29</v>
      </c>
      <c r="I32" s="30">
        <v>0.83076923076923082</v>
      </c>
      <c r="J32" s="23">
        <v>0.72727272727272729</v>
      </c>
      <c r="K32" s="24" t="s">
        <v>30</v>
      </c>
      <c r="L32" s="24" t="s">
        <v>30</v>
      </c>
      <c r="M32" s="24" t="s">
        <v>30</v>
      </c>
      <c r="N32" s="24" t="s">
        <v>30</v>
      </c>
      <c r="O32" s="24" t="s">
        <v>30</v>
      </c>
      <c r="P32" s="24" t="s">
        <v>30</v>
      </c>
      <c r="Q32" s="23">
        <f t="shared" si="19"/>
        <v>1</v>
      </c>
      <c r="R32" s="23">
        <v>0.96190476190476193</v>
      </c>
      <c r="S32" s="23">
        <v>1</v>
      </c>
      <c r="T32" s="25">
        <v>1</v>
      </c>
      <c r="U32" s="23">
        <v>0.53846153846153844</v>
      </c>
      <c r="V32" s="26">
        <v>0.54545454545454541</v>
      </c>
      <c r="W32" s="27">
        <f t="shared" si="20"/>
        <v>0.7489510489510488</v>
      </c>
      <c r="X32" s="28">
        <f t="shared" si="21"/>
        <v>0.86074092574092576</v>
      </c>
      <c r="Y32" s="29">
        <f t="shared" si="3"/>
        <v>0.86074092574092576</v>
      </c>
      <c r="Z32" s="29">
        <v>0.82220000000000004</v>
      </c>
      <c r="AA32" s="29">
        <v>0.86950000000000005</v>
      </c>
      <c r="AB32" s="29">
        <f t="shared" si="4"/>
        <v>0.84322227772227787</v>
      </c>
      <c r="AC32" t="str">
        <f t="shared" si="5"/>
        <v>Aprobada</v>
      </c>
    </row>
    <row r="33" spans="1:29" ht="15" customHeight="1" thickBot="1" x14ac:dyDescent="0.35">
      <c r="A33" s="84" t="s">
        <v>194</v>
      </c>
      <c r="B33" s="38">
        <v>1</v>
      </c>
      <c r="C33" t="s">
        <v>207</v>
      </c>
      <c r="D33" s="1" t="s">
        <v>167</v>
      </c>
      <c r="E33" s="1" t="s">
        <v>168</v>
      </c>
      <c r="F33" s="1" t="s">
        <v>37</v>
      </c>
      <c r="G33" s="1" t="s">
        <v>29</v>
      </c>
      <c r="H33" s="6" t="s">
        <v>29</v>
      </c>
      <c r="I33" s="30">
        <v>0.92</v>
      </c>
      <c r="J33" s="23">
        <v>0.91</v>
      </c>
      <c r="K33" s="24" t="s">
        <v>30</v>
      </c>
      <c r="L33" s="24" t="s">
        <v>30</v>
      </c>
      <c r="M33" s="24" t="s">
        <v>30</v>
      </c>
      <c r="N33" s="24" t="s">
        <v>30</v>
      </c>
      <c r="O33" s="24" t="s">
        <v>30</v>
      </c>
      <c r="P33" s="24" t="s">
        <v>30</v>
      </c>
      <c r="Q33" s="23">
        <v>1</v>
      </c>
      <c r="R33" s="23">
        <v>0.8</v>
      </c>
      <c r="S33" s="23">
        <v>0.91</v>
      </c>
      <c r="T33" s="25">
        <v>1</v>
      </c>
      <c r="U33" s="23">
        <v>0.92</v>
      </c>
      <c r="V33" s="26">
        <v>0.8</v>
      </c>
      <c r="W33" s="27">
        <v>0.89</v>
      </c>
      <c r="X33" s="41">
        <v>0.87</v>
      </c>
      <c r="Y33" s="29">
        <f t="shared" si="3"/>
        <v>0.87</v>
      </c>
      <c r="Z33" s="29">
        <v>0.88890000000000002</v>
      </c>
      <c r="AA33" s="29">
        <v>0.97799999999999998</v>
      </c>
      <c r="AB33" s="29">
        <f t="shared" si="4"/>
        <v>0.90105000000000002</v>
      </c>
      <c r="AC33" t="str">
        <f t="shared" si="5"/>
        <v>Aprobada</v>
      </c>
    </row>
    <row r="34" spans="1:29" ht="15" customHeight="1" thickBot="1" x14ac:dyDescent="0.35">
      <c r="A34" s="85"/>
      <c r="B34" s="38">
        <v>2</v>
      </c>
      <c r="C34" t="s">
        <v>220</v>
      </c>
      <c r="D34" s="1" t="s">
        <v>169</v>
      </c>
      <c r="E34" s="1" t="s">
        <v>170</v>
      </c>
      <c r="F34" s="1" t="s">
        <v>37</v>
      </c>
      <c r="G34" s="1" t="s">
        <v>29</v>
      </c>
      <c r="H34" s="6" t="s">
        <v>29</v>
      </c>
      <c r="I34" s="30">
        <v>0.63</v>
      </c>
      <c r="J34" s="23">
        <v>0.64</v>
      </c>
      <c r="K34" s="24" t="s">
        <v>30</v>
      </c>
      <c r="L34" s="24" t="s">
        <v>30</v>
      </c>
      <c r="M34" s="24" t="s">
        <v>30</v>
      </c>
      <c r="N34" s="24" t="s">
        <v>30</v>
      </c>
      <c r="O34" s="24" t="s">
        <v>30</v>
      </c>
      <c r="P34" s="24" t="s">
        <v>30</v>
      </c>
      <c r="Q34" s="23">
        <v>1</v>
      </c>
      <c r="R34" s="23">
        <v>0.64</v>
      </c>
      <c r="S34" s="23">
        <v>0.73</v>
      </c>
      <c r="T34" s="25">
        <v>1</v>
      </c>
      <c r="U34" s="23">
        <v>1</v>
      </c>
      <c r="V34" s="26">
        <v>0.87</v>
      </c>
      <c r="W34" s="27">
        <v>0.91</v>
      </c>
      <c r="X34" s="41">
        <v>0.8</v>
      </c>
      <c r="Y34" s="29">
        <f t="shared" si="3"/>
        <v>0.8</v>
      </c>
      <c r="Z34" s="29">
        <v>0.75560000000000005</v>
      </c>
      <c r="AA34" s="29">
        <v>0.63039999999999996</v>
      </c>
      <c r="AB34" s="29">
        <f t="shared" si="4"/>
        <v>0.74387999999999999</v>
      </c>
      <c r="AC34" t="str">
        <f t="shared" si="5"/>
        <v>Reprobada</v>
      </c>
    </row>
    <row r="35" spans="1:29" ht="15" customHeight="1" thickBot="1" x14ac:dyDescent="0.35">
      <c r="A35" s="85"/>
      <c r="B35" s="38">
        <v>3</v>
      </c>
      <c r="C35" t="s">
        <v>213</v>
      </c>
      <c r="D35" s="1" t="s">
        <v>171</v>
      </c>
      <c r="E35" s="1" t="s">
        <v>172</v>
      </c>
      <c r="F35" s="1" t="s">
        <v>37</v>
      </c>
      <c r="G35" s="1" t="s">
        <v>29</v>
      </c>
      <c r="H35" s="6" t="s">
        <v>29</v>
      </c>
      <c r="I35" s="30">
        <v>0.54</v>
      </c>
      <c r="J35" s="23">
        <v>0.36</v>
      </c>
      <c r="K35" s="24" t="s">
        <v>30</v>
      </c>
      <c r="L35" s="24" t="s">
        <v>30</v>
      </c>
      <c r="M35" s="24" t="s">
        <v>30</v>
      </c>
      <c r="N35" s="24" t="s">
        <v>30</v>
      </c>
      <c r="O35" s="24" t="s">
        <v>30</v>
      </c>
      <c r="P35" s="24" t="s">
        <v>30</v>
      </c>
      <c r="Q35" s="23">
        <v>1</v>
      </c>
      <c r="R35" s="23">
        <v>0.46</v>
      </c>
      <c r="S35" s="23">
        <v>0.73</v>
      </c>
      <c r="T35" s="25">
        <v>0.89</v>
      </c>
      <c r="U35" s="23">
        <v>0.92</v>
      </c>
      <c r="V35" s="26">
        <v>0.83</v>
      </c>
      <c r="W35" s="27">
        <v>0.85</v>
      </c>
      <c r="X35" s="42">
        <v>0.69</v>
      </c>
      <c r="Y35" s="29">
        <f t="shared" si="3"/>
        <v>0.69</v>
      </c>
      <c r="Z35" s="29">
        <v>0.82220000000000004</v>
      </c>
      <c r="AA35" s="29">
        <v>0.8478</v>
      </c>
      <c r="AB35" s="29">
        <f t="shared" si="4"/>
        <v>0.78766000000000003</v>
      </c>
      <c r="AC35" t="str">
        <f t="shared" si="5"/>
        <v>Reprobada</v>
      </c>
    </row>
    <row r="36" spans="1:29" ht="15" customHeight="1" thickBot="1" x14ac:dyDescent="0.35">
      <c r="A36" s="85"/>
      <c r="B36" s="38">
        <v>4</v>
      </c>
      <c r="C36" t="s">
        <v>214</v>
      </c>
      <c r="D36" s="1" t="s">
        <v>173</v>
      </c>
      <c r="E36" s="1" t="s">
        <v>174</v>
      </c>
      <c r="F36" s="1" t="s">
        <v>37</v>
      </c>
      <c r="G36" s="1" t="s">
        <v>29</v>
      </c>
      <c r="H36" s="6" t="s">
        <v>29</v>
      </c>
      <c r="I36" s="30">
        <v>0.74</v>
      </c>
      <c r="J36" s="23">
        <v>0.82</v>
      </c>
      <c r="K36" s="24" t="s">
        <v>30</v>
      </c>
      <c r="L36" s="24" t="s">
        <v>30</v>
      </c>
      <c r="M36" s="24" t="s">
        <v>30</v>
      </c>
      <c r="N36" s="24" t="s">
        <v>30</v>
      </c>
      <c r="O36" s="24" t="s">
        <v>30</v>
      </c>
      <c r="P36" s="24" t="s">
        <v>30</v>
      </c>
      <c r="Q36" s="23">
        <v>1</v>
      </c>
      <c r="R36" s="23">
        <v>0.77</v>
      </c>
      <c r="S36" s="23">
        <v>0.82</v>
      </c>
      <c r="T36" s="25">
        <v>0.89</v>
      </c>
      <c r="U36" s="23">
        <v>0.92</v>
      </c>
      <c r="V36" s="26">
        <v>0.78</v>
      </c>
      <c r="W36" s="27">
        <v>0.84</v>
      </c>
      <c r="X36" s="41">
        <v>0.82</v>
      </c>
      <c r="Y36" s="29">
        <f t="shared" si="3"/>
        <v>0.82</v>
      </c>
      <c r="Z36" s="29">
        <v>0.91110000000000002</v>
      </c>
      <c r="AA36" s="29">
        <v>0.86950000000000005</v>
      </c>
      <c r="AB36" s="29">
        <f t="shared" si="4"/>
        <v>0.87545000000000006</v>
      </c>
      <c r="AC36" t="str">
        <f t="shared" si="5"/>
        <v>Aprobada</v>
      </c>
    </row>
    <row r="37" spans="1:29" ht="15" customHeight="1" thickBot="1" x14ac:dyDescent="0.35">
      <c r="A37" s="85"/>
      <c r="B37" s="38">
        <v>5</v>
      </c>
      <c r="C37" t="s">
        <v>211</v>
      </c>
      <c r="D37" s="1" t="s">
        <v>175</v>
      </c>
      <c r="E37" s="1" t="s">
        <v>176</v>
      </c>
      <c r="F37" s="1" t="s">
        <v>37</v>
      </c>
      <c r="G37" s="1" t="s">
        <v>29</v>
      </c>
      <c r="H37" s="6" t="s">
        <v>29</v>
      </c>
      <c r="I37" s="30">
        <v>0.54</v>
      </c>
      <c r="J37" s="23">
        <v>0.82</v>
      </c>
      <c r="K37" s="24" t="s">
        <v>30</v>
      </c>
      <c r="L37" s="24" t="s">
        <v>30</v>
      </c>
      <c r="M37" s="24" t="s">
        <v>30</v>
      </c>
      <c r="N37" s="24" t="s">
        <v>30</v>
      </c>
      <c r="O37" s="24" t="s">
        <v>30</v>
      </c>
      <c r="P37" s="24" t="s">
        <v>30</v>
      </c>
      <c r="Q37" s="23">
        <v>1</v>
      </c>
      <c r="R37" s="23">
        <v>0.62</v>
      </c>
      <c r="S37" s="23">
        <v>0.73</v>
      </c>
      <c r="T37" s="25">
        <v>0.94</v>
      </c>
      <c r="U37" s="23">
        <v>0.92</v>
      </c>
      <c r="V37" s="26">
        <v>0.78</v>
      </c>
      <c r="W37" s="27">
        <v>0.84</v>
      </c>
      <c r="X37" s="42">
        <v>0.76</v>
      </c>
      <c r="Y37" s="29">
        <f t="shared" si="3"/>
        <v>0.76</v>
      </c>
      <c r="Z37" s="29">
        <v>0.84439999999999993</v>
      </c>
      <c r="AA37" s="29">
        <v>0.95650000000000002</v>
      </c>
      <c r="AB37" s="29">
        <f t="shared" si="4"/>
        <v>0.84149999999999991</v>
      </c>
      <c r="AC37" t="str">
        <f t="shared" si="5"/>
        <v>Aprobada</v>
      </c>
    </row>
    <row r="38" spans="1:29" ht="15" customHeight="1" thickBot="1" x14ac:dyDescent="0.35">
      <c r="A38" s="85"/>
      <c r="B38" s="38">
        <v>7</v>
      </c>
      <c r="C38" t="s">
        <v>218</v>
      </c>
      <c r="D38" s="1" t="s">
        <v>178</v>
      </c>
      <c r="E38" s="1" t="s">
        <v>179</v>
      </c>
      <c r="F38" s="1" t="s">
        <v>37</v>
      </c>
      <c r="G38" s="1" t="s">
        <v>29</v>
      </c>
      <c r="H38" s="6" t="s">
        <v>29</v>
      </c>
      <c r="I38" s="30">
        <v>0.69</v>
      </c>
      <c r="J38" s="23">
        <v>0.82</v>
      </c>
      <c r="K38" s="24" t="s">
        <v>30</v>
      </c>
      <c r="L38" s="24" t="s">
        <v>30</v>
      </c>
      <c r="M38" s="24" t="s">
        <v>30</v>
      </c>
      <c r="N38" s="24" t="s">
        <v>30</v>
      </c>
      <c r="O38" s="24" t="s">
        <v>30</v>
      </c>
      <c r="P38" s="24" t="s">
        <v>30</v>
      </c>
      <c r="Q38" s="23">
        <v>1</v>
      </c>
      <c r="R38" s="23">
        <v>0.82</v>
      </c>
      <c r="S38" s="23">
        <v>1</v>
      </c>
      <c r="T38" s="25">
        <v>0.94</v>
      </c>
      <c r="U38" s="23">
        <v>0.92</v>
      </c>
      <c r="V38" s="26">
        <v>0.87</v>
      </c>
      <c r="W38" s="27">
        <v>0.92</v>
      </c>
      <c r="X38" s="41">
        <v>0.88</v>
      </c>
      <c r="Y38" s="29">
        <f t="shared" si="3"/>
        <v>0.88</v>
      </c>
      <c r="Z38" s="29">
        <v>0.8</v>
      </c>
      <c r="AA38" s="29">
        <v>0.93469999999999998</v>
      </c>
      <c r="AB38" s="29">
        <f t="shared" si="4"/>
        <v>0.85094000000000003</v>
      </c>
      <c r="AC38" t="str">
        <f t="shared" si="5"/>
        <v>Aprobada</v>
      </c>
    </row>
    <row r="39" spans="1:29" ht="15" customHeight="1" thickBot="1" x14ac:dyDescent="0.35">
      <c r="A39" s="85"/>
      <c r="B39" s="38">
        <v>8</v>
      </c>
      <c r="C39" t="s">
        <v>210</v>
      </c>
      <c r="D39" s="1" t="s">
        <v>180</v>
      </c>
      <c r="E39" s="1" t="s">
        <v>181</v>
      </c>
      <c r="F39" s="1" t="s">
        <v>37</v>
      </c>
      <c r="G39" s="1" t="s">
        <v>29</v>
      </c>
      <c r="H39" s="6" t="s">
        <v>29</v>
      </c>
      <c r="I39" s="30">
        <v>0.62</v>
      </c>
      <c r="J39" s="23">
        <v>0.91</v>
      </c>
      <c r="K39" s="24" t="s">
        <v>30</v>
      </c>
      <c r="L39" s="24" t="s">
        <v>30</v>
      </c>
      <c r="M39" s="24" t="s">
        <v>30</v>
      </c>
      <c r="N39" s="24" t="s">
        <v>30</v>
      </c>
      <c r="O39" s="24" t="s">
        <v>30</v>
      </c>
      <c r="P39" s="24" t="s">
        <v>30</v>
      </c>
      <c r="Q39" s="23">
        <v>1</v>
      </c>
      <c r="R39" s="23">
        <v>0.65</v>
      </c>
      <c r="S39" s="23">
        <v>1</v>
      </c>
      <c r="T39" s="25">
        <v>0.94</v>
      </c>
      <c r="U39" s="23">
        <v>0.92</v>
      </c>
      <c r="V39" s="26">
        <v>0.93</v>
      </c>
      <c r="W39" s="27">
        <v>0.94</v>
      </c>
      <c r="X39" s="41">
        <v>0.82</v>
      </c>
      <c r="Y39" s="29">
        <f t="shared" si="3"/>
        <v>0.82</v>
      </c>
      <c r="Z39" s="29">
        <v>0.86670000000000003</v>
      </c>
      <c r="AA39" s="29">
        <v>0.91300000000000003</v>
      </c>
      <c r="AB39" s="29">
        <f t="shared" si="4"/>
        <v>0.86194999999999999</v>
      </c>
      <c r="AC39" t="str">
        <f t="shared" si="5"/>
        <v>Aprobada</v>
      </c>
    </row>
    <row r="40" spans="1:29" ht="15" customHeight="1" thickBot="1" x14ac:dyDescent="0.35">
      <c r="A40" s="85"/>
      <c r="B40" s="38">
        <v>9</v>
      </c>
      <c r="C40" t="s">
        <v>227</v>
      </c>
      <c r="D40" s="1" t="s">
        <v>182</v>
      </c>
      <c r="E40" s="1" t="s">
        <v>183</v>
      </c>
      <c r="F40" s="1" t="s">
        <v>37</v>
      </c>
      <c r="G40" s="1" t="s">
        <v>29</v>
      </c>
      <c r="H40" s="6" t="s">
        <v>56</v>
      </c>
      <c r="I40" s="30">
        <v>0.68</v>
      </c>
      <c r="J40" s="23">
        <v>0.91</v>
      </c>
      <c r="K40" s="24" t="s">
        <v>30</v>
      </c>
      <c r="L40" s="24" t="s">
        <v>30</v>
      </c>
      <c r="M40" s="24" t="s">
        <v>30</v>
      </c>
      <c r="N40" s="24" t="s">
        <v>30</v>
      </c>
      <c r="O40" s="24" t="s">
        <v>30</v>
      </c>
      <c r="P40" s="24" t="s">
        <v>30</v>
      </c>
      <c r="Q40" s="23">
        <v>1</v>
      </c>
      <c r="R40" s="23">
        <v>0</v>
      </c>
      <c r="S40" s="23">
        <v>0</v>
      </c>
      <c r="T40" s="25">
        <v>0</v>
      </c>
      <c r="U40" s="23">
        <v>0</v>
      </c>
      <c r="V40" s="26">
        <v>0</v>
      </c>
      <c r="W40" s="27">
        <v>0</v>
      </c>
      <c r="X40" s="42">
        <v>0.14000000000000001</v>
      </c>
      <c r="Y40" s="29">
        <f t="shared" si="3"/>
        <v>0.14000000000000001</v>
      </c>
      <c r="Z40" s="29"/>
      <c r="AA40" s="29"/>
      <c r="AB40" s="29" t="s">
        <v>122</v>
      </c>
      <c r="AC40" t="str">
        <f t="shared" si="5"/>
        <v>Pendiente</v>
      </c>
    </row>
    <row r="41" spans="1:29" ht="15" customHeight="1" thickBot="1" x14ac:dyDescent="0.35">
      <c r="A41" s="85"/>
      <c r="B41" s="38">
        <v>10</v>
      </c>
      <c r="C41" t="s">
        <v>215</v>
      </c>
      <c r="D41" s="1" t="s">
        <v>184</v>
      </c>
      <c r="E41" s="1" t="s">
        <v>185</v>
      </c>
      <c r="F41" s="1" t="s">
        <v>37</v>
      </c>
      <c r="G41" s="1" t="s">
        <v>29</v>
      </c>
      <c r="H41" s="6" t="s">
        <v>29</v>
      </c>
      <c r="I41" s="30">
        <v>0.56999999999999995</v>
      </c>
      <c r="J41" s="23">
        <v>1</v>
      </c>
      <c r="K41" s="24" t="s">
        <v>30</v>
      </c>
      <c r="L41" s="24" t="s">
        <v>30</v>
      </c>
      <c r="M41" s="24" t="s">
        <v>30</v>
      </c>
      <c r="N41" s="24" t="s">
        <v>30</v>
      </c>
      <c r="O41" s="24" t="s">
        <v>30</v>
      </c>
      <c r="P41" s="24" t="s">
        <v>30</v>
      </c>
      <c r="Q41" s="23">
        <v>1</v>
      </c>
      <c r="R41" s="23">
        <v>0.66</v>
      </c>
      <c r="S41" s="23">
        <v>1</v>
      </c>
      <c r="T41" s="25">
        <v>0.84</v>
      </c>
      <c r="U41" s="23">
        <v>0.92</v>
      </c>
      <c r="V41" s="26">
        <v>0.93</v>
      </c>
      <c r="W41" s="27">
        <v>0.91</v>
      </c>
      <c r="X41" s="41">
        <v>0.81</v>
      </c>
      <c r="Y41" s="29">
        <f t="shared" si="3"/>
        <v>0.81</v>
      </c>
      <c r="Z41" s="29">
        <v>0.91110000000000002</v>
      </c>
      <c r="AA41" s="29">
        <v>0.78259999999999996</v>
      </c>
      <c r="AB41" s="29">
        <f t="shared" si="4"/>
        <v>0.85507</v>
      </c>
      <c r="AC41" t="str">
        <f t="shared" si="5"/>
        <v>Aprobada</v>
      </c>
    </row>
    <row r="42" spans="1:29" ht="15" customHeight="1" thickBot="1" x14ac:dyDescent="0.35">
      <c r="A42" s="85"/>
      <c r="B42" s="38">
        <v>11</v>
      </c>
      <c r="C42" t="s">
        <v>216</v>
      </c>
      <c r="D42" s="1" t="s">
        <v>184</v>
      </c>
      <c r="E42" s="1" t="s">
        <v>186</v>
      </c>
      <c r="F42" s="1" t="s">
        <v>37</v>
      </c>
      <c r="G42" s="1" t="s">
        <v>29</v>
      </c>
      <c r="H42" s="6" t="s">
        <v>29</v>
      </c>
      <c r="I42" s="30">
        <v>0.72</v>
      </c>
      <c r="J42" s="23">
        <v>0.91</v>
      </c>
      <c r="K42" s="24" t="s">
        <v>30</v>
      </c>
      <c r="L42" s="24" t="s">
        <v>30</v>
      </c>
      <c r="M42" s="24" t="s">
        <v>30</v>
      </c>
      <c r="N42" s="24" t="s">
        <v>30</v>
      </c>
      <c r="O42" s="24" t="s">
        <v>30</v>
      </c>
      <c r="P42" s="24" t="s">
        <v>30</v>
      </c>
      <c r="Q42" s="23">
        <v>1</v>
      </c>
      <c r="R42" s="23">
        <v>0.66</v>
      </c>
      <c r="S42" s="23">
        <v>1</v>
      </c>
      <c r="T42" s="25">
        <v>1</v>
      </c>
      <c r="U42" s="23">
        <v>0.92</v>
      </c>
      <c r="V42" s="26">
        <v>0.82</v>
      </c>
      <c r="W42" s="27">
        <v>0.92</v>
      </c>
      <c r="X42" s="41">
        <v>0.82</v>
      </c>
      <c r="Y42" s="29">
        <f t="shared" si="3"/>
        <v>0.82</v>
      </c>
      <c r="Z42" s="29">
        <v>0.84439999999999993</v>
      </c>
      <c r="AA42" s="29">
        <v>0.8478</v>
      </c>
      <c r="AB42" s="29">
        <f t="shared" si="4"/>
        <v>0.83775999999999995</v>
      </c>
      <c r="AC42" t="str">
        <f t="shared" si="5"/>
        <v>Aprobada</v>
      </c>
    </row>
    <row r="43" spans="1:29" ht="15" hidden="1" customHeight="1" thickBot="1" x14ac:dyDescent="0.35">
      <c r="A43" s="85"/>
      <c r="B43" s="38">
        <v>12</v>
      </c>
      <c r="C43" s="83" t="s">
        <v>225</v>
      </c>
      <c r="D43" s="1" t="s">
        <v>187</v>
      </c>
      <c r="E43" s="1" t="s">
        <v>188</v>
      </c>
      <c r="F43" s="1" t="s">
        <v>328</v>
      </c>
      <c r="G43" s="1" t="s">
        <v>29</v>
      </c>
      <c r="H43" s="6" t="s">
        <v>56</v>
      </c>
      <c r="I43" s="30">
        <v>0.52</v>
      </c>
      <c r="J43" s="23">
        <v>0.55000000000000004</v>
      </c>
      <c r="K43" s="24" t="s">
        <v>30</v>
      </c>
      <c r="L43" s="24" t="s">
        <v>30</v>
      </c>
      <c r="M43" s="24" t="s">
        <v>30</v>
      </c>
      <c r="N43" s="24" t="s">
        <v>30</v>
      </c>
      <c r="O43" s="24" t="s">
        <v>30</v>
      </c>
      <c r="P43" s="24" t="s">
        <v>30</v>
      </c>
      <c r="Q43" s="23">
        <v>1</v>
      </c>
      <c r="R43" s="23">
        <v>0.64</v>
      </c>
      <c r="S43" s="23">
        <v>0</v>
      </c>
      <c r="T43" s="25">
        <v>0</v>
      </c>
      <c r="U43" s="23">
        <v>0</v>
      </c>
      <c r="V43" s="26">
        <v>0</v>
      </c>
      <c r="W43" s="27">
        <v>0</v>
      </c>
      <c r="X43" s="41">
        <v>0.38</v>
      </c>
      <c r="Y43" s="29">
        <f t="shared" si="3"/>
        <v>0.38</v>
      </c>
      <c r="Z43" s="29">
        <v>0.8</v>
      </c>
      <c r="AA43" s="29">
        <v>0.78180000000000005</v>
      </c>
      <c r="AB43" s="29">
        <f t="shared" si="4"/>
        <v>0.67036000000000007</v>
      </c>
      <c r="AC43" t="s">
        <v>491</v>
      </c>
    </row>
    <row r="44" spans="1:29" ht="15" customHeight="1" thickBot="1" x14ac:dyDescent="0.35">
      <c r="A44" s="85"/>
      <c r="B44" s="38">
        <v>13</v>
      </c>
      <c r="C44" s="43" t="s">
        <v>221</v>
      </c>
      <c r="D44" s="1" t="s">
        <v>189</v>
      </c>
      <c r="E44" s="1" t="s">
        <v>190</v>
      </c>
      <c r="F44" s="1" t="s">
        <v>37</v>
      </c>
      <c r="G44" s="1" t="s">
        <v>29</v>
      </c>
      <c r="H44" s="6" t="s">
        <v>29</v>
      </c>
      <c r="I44" s="30">
        <v>0.77</v>
      </c>
      <c r="J44" s="23">
        <v>0.45</v>
      </c>
      <c r="K44" s="24" t="s">
        <v>30</v>
      </c>
      <c r="L44" s="24" t="s">
        <v>30</v>
      </c>
      <c r="M44" s="24" t="s">
        <v>30</v>
      </c>
      <c r="N44" s="24" t="s">
        <v>30</v>
      </c>
      <c r="O44" s="24" t="s">
        <v>30</v>
      </c>
      <c r="P44" s="24" t="s">
        <v>30</v>
      </c>
      <c r="Q44" s="23">
        <v>1</v>
      </c>
      <c r="R44" s="23">
        <v>0.71</v>
      </c>
      <c r="S44" s="23">
        <v>0.82</v>
      </c>
      <c r="T44" s="25">
        <v>0.89</v>
      </c>
      <c r="U44" s="23">
        <v>0.92</v>
      </c>
      <c r="V44" s="26">
        <v>0.78</v>
      </c>
      <c r="W44" s="27">
        <v>0.84</v>
      </c>
      <c r="X44" s="41">
        <v>0.79</v>
      </c>
      <c r="Y44" s="29">
        <f t="shared" si="3"/>
        <v>0.79</v>
      </c>
      <c r="Z44" s="29">
        <v>0.84439999999999993</v>
      </c>
      <c r="AA44" s="29">
        <v>0.82599999999999996</v>
      </c>
      <c r="AB44" s="29">
        <f t="shared" si="4"/>
        <v>0.82440000000000002</v>
      </c>
      <c r="AC44" t="str">
        <f t="shared" si="5"/>
        <v>Aprobada</v>
      </c>
    </row>
    <row r="45" spans="1:29" ht="15" customHeight="1" thickBot="1" x14ac:dyDescent="0.35">
      <c r="A45" s="86"/>
      <c r="B45" s="38">
        <v>15</v>
      </c>
      <c r="C45" t="s">
        <v>223</v>
      </c>
      <c r="D45" s="1" t="s">
        <v>192</v>
      </c>
      <c r="E45" s="1" t="s">
        <v>193</v>
      </c>
      <c r="F45" s="1" t="s">
        <v>37</v>
      </c>
      <c r="G45" s="1" t="s">
        <v>29</v>
      </c>
      <c r="H45" s="6" t="s">
        <v>29</v>
      </c>
      <c r="I45" s="30">
        <v>0.62</v>
      </c>
      <c r="J45" s="23">
        <v>1</v>
      </c>
      <c r="K45" s="24" t="s">
        <v>30</v>
      </c>
      <c r="L45" s="24" t="s">
        <v>30</v>
      </c>
      <c r="M45" s="24" t="s">
        <v>30</v>
      </c>
      <c r="N45" s="24" t="s">
        <v>30</v>
      </c>
      <c r="O45" s="24" t="s">
        <v>30</v>
      </c>
      <c r="P45" s="24" t="s">
        <v>30</v>
      </c>
      <c r="Q45" s="23">
        <v>1</v>
      </c>
      <c r="R45" s="23">
        <v>0.75</v>
      </c>
      <c r="S45" s="23">
        <v>0.91</v>
      </c>
      <c r="T45" s="25">
        <v>0.94</v>
      </c>
      <c r="U45" s="23">
        <v>0.92</v>
      </c>
      <c r="V45" s="26">
        <v>0.93</v>
      </c>
      <c r="W45" s="27">
        <v>0.93</v>
      </c>
      <c r="X45" s="41">
        <v>0.86</v>
      </c>
      <c r="Y45" s="29">
        <f t="shared" si="3"/>
        <v>0.86</v>
      </c>
      <c r="Z45" s="29">
        <v>0.88890000000000002</v>
      </c>
      <c r="AA45" s="29">
        <v>0.93469999999999998</v>
      </c>
      <c r="AB45" s="29">
        <f t="shared" si="4"/>
        <v>0.88939000000000001</v>
      </c>
      <c r="AC45" t="str">
        <f t="shared" si="5"/>
        <v>Aprobada</v>
      </c>
    </row>
    <row r="46" spans="1:29" ht="15" customHeight="1" thickBot="1" x14ac:dyDescent="0.35">
      <c r="A46" s="84" t="s">
        <v>204</v>
      </c>
      <c r="B46" s="38">
        <v>1</v>
      </c>
      <c r="C46" s="44" t="s">
        <v>229</v>
      </c>
      <c r="D46" s="1" t="s">
        <v>195</v>
      </c>
      <c r="E46" s="1" t="s">
        <v>196</v>
      </c>
      <c r="F46" s="1" t="s">
        <v>37</v>
      </c>
      <c r="G46" s="1" t="s">
        <v>29</v>
      </c>
      <c r="H46" s="6" t="s">
        <v>29</v>
      </c>
      <c r="I46" s="30">
        <v>0.86</v>
      </c>
      <c r="J46" s="23">
        <v>0.82</v>
      </c>
      <c r="K46" s="24" t="s">
        <v>30</v>
      </c>
      <c r="L46" s="24" t="s">
        <v>30</v>
      </c>
      <c r="M46" s="24" t="s">
        <v>30</v>
      </c>
      <c r="N46" s="24" t="s">
        <v>30</v>
      </c>
      <c r="O46" s="24" t="s">
        <v>30</v>
      </c>
      <c r="P46" s="24" t="s">
        <v>30</v>
      </c>
      <c r="Q46" s="23">
        <v>1</v>
      </c>
      <c r="R46" s="23">
        <v>0.82</v>
      </c>
      <c r="S46" s="23">
        <v>0.82</v>
      </c>
      <c r="T46" s="25">
        <v>1</v>
      </c>
      <c r="U46" s="23">
        <v>1</v>
      </c>
      <c r="V46" s="26">
        <v>0.93</v>
      </c>
      <c r="W46" s="27">
        <v>0.94</v>
      </c>
      <c r="X46" s="41">
        <v>0.89</v>
      </c>
      <c r="Y46" s="29">
        <f t="shared" si="3"/>
        <v>0.89</v>
      </c>
      <c r="Z46" s="29">
        <v>0.91110000000000002</v>
      </c>
      <c r="AA46" s="29">
        <v>0.78259999999999996</v>
      </c>
      <c r="AB46" s="29">
        <f t="shared" si="4"/>
        <v>0.87907000000000002</v>
      </c>
      <c r="AC46" t="str">
        <f t="shared" si="5"/>
        <v>Aprobada</v>
      </c>
    </row>
    <row r="47" spans="1:29" ht="15" customHeight="1" thickBot="1" x14ac:dyDescent="0.35">
      <c r="A47" s="85"/>
      <c r="B47" s="38">
        <v>2</v>
      </c>
      <c r="C47" s="44" t="s">
        <v>228</v>
      </c>
      <c r="D47" s="1" t="s">
        <v>197</v>
      </c>
      <c r="E47" s="1" t="s">
        <v>198</v>
      </c>
      <c r="F47" s="1" t="s">
        <v>37</v>
      </c>
      <c r="G47" s="1" t="s">
        <v>29</v>
      </c>
      <c r="H47" s="6" t="s">
        <v>29</v>
      </c>
      <c r="I47" s="30">
        <v>0.63</v>
      </c>
      <c r="J47" s="23">
        <v>0.91</v>
      </c>
      <c r="K47" s="24" t="s">
        <v>30</v>
      </c>
      <c r="L47" s="24" t="s">
        <v>30</v>
      </c>
      <c r="M47" s="24" t="s">
        <v>30</v>
      </c>
      <c r="N47" s="24" t="s">
        <v>30</v>
      </c>
      <c r="O47" s="24" t="s">
        <v>30</v>
      </c>
      <c r="P47" s="24" t="s">
        <v>30</v>
      </c>
      <c r="Q47" s="23">
        <v>1</v>
      </c>
      <c r="R47" s="23">
        <v>0.61</v>
      </c>
      <c r="S47" s="23">
        <v>0.82</v>
      </c>
      <c r="T47" s="25">
        <v>0.94</v>
      </c>
      <c r="U47" s="23">
        <v>0.92</v>
      </c>
      <c r="V47" s="26">
        <v>0.8</v>
      </c>
      <c r="W47" s="27">
        <v>0.86</v>
      </c>
      <c r="X47" s="42">
        <v>0.77</v>
      </c>
      <c r="Y47" s="29">
        <f t="shared" si="3"/>
        <v>0.77</v>
      </c>
      <c r="Z47" s="29">
        <v>0.93330000000000002</v>
      </c>
      <c r="AA47" s="29">
        <v>0.89129999999999998</v>
      </c>
      <c r="AB47" s="29">
        <f t="shared" si="4"/>
        <v>0.87590999999999997</v>
      </c>
      <c r="AC47" t="str">
        <f t="shared" si="5"/>
        <v>Aprobada</v>
      </c>
    </row>
    <row r="48" spans="1:29" ht="15" customHeight="1" thickBot="1" x14ac:dyDescent="0.35">
      <c r="A48" s="85"/>
      <c r="B48" s="38">
        <v>3</v>
      </c>
      <c r="C48" s="44" t="s">
        <v>206</v>
      </c>
      <c r="D48" s="1" t="s">
        <v>199</v>
      </c>
      <c r="E48" s="1" t="s">
        <v>200</v>
      </c>
      <c r="F48" s="1" t="s">
        <v>37</v>
      </c>
      <c r="G48" s="1" t="s">
        <v>29</v>
      </c>
      <c r="H48" s="6" t="s">
        <v>29</v>
      </c>
      <c r="I48" s="30">
        <v>0.46</v>
      </c>
      <c r="J48" s="23">
        <v>0.73</v>
      </c>
      <c r="K48" s="24" t="s">
        <v>30</v>
      </c>
      <c r="L48" s="24" t="s">
        <v>30</v>
      </c>
      <c r="M48" s="24" t="s">
        <v>30</v>
      </c>
      <c r="N48" s="24" t="s">
        <v>30</v>
      </c>
      <c r="O48" s="24" t="s">
        <v>30</v>
      </c>
      <c r="P48" s="24" t="s">
        <v>30</v>
      </c>
      <c r="Q48" s="23">
        <v>1</v>
      </c>
      <c r="R48" s="23">
        <v>0.78</v>
      </c>
      <c r="S48" s="23">
        <v>0.73</v>
      </c>
      <c r="T48" s="25">
        <v>0.89</v>
      </c>
      <c r="U48" s="23">
        <v>0.92</v>
      </c>
      <c r="V48" s="26">
        <v>0.8</v>
      </c>
      <c r="W48" s="27">
        <v>0.83</v>
      </c>
      <c r="X48" s="41">
        <v>0.82</v>
      </c>
      <c r="Y48" s="29">
        <f t="shared" si="3"/>
        <v>0.82</v>
      </c>
      <c r="Z48" s="29">
        <v>0.82220000000000004</v>
      </c>
      <c r="AA48" s="29">
        <v>0.91300000000000003</v>
      </c>
      <c r="AB48" s="29">
        <f t="shared" si="4"/>
        <v>0.8397</v>
      </c>
      <c r="AC48" t="str">
        <f t="shared" si="5"/>
        <v>Aprobada</v>
      </c>
    </row>
    <row r="49" spans="1:29" ht="15" customHeight="1" thickBot="1" x14ac:dyDescent="0.35">
      <c r="A49" s="85"/>
      <c r="B49" s="38">
        <v>4</v>
      </c>
      <c r="C49" s="44" t="s">
        <v>209</v>
      </c>
      <c r="D49" s="1" t="s">
        <v>201</v>
      </c>
      <c r="E49" s="1" t="s">
        <v>202</v>
      </c>
      <c r="F49" s="1" t="s">
        <v>37</v>
      </c>
      <c r="G49" s="1" t="s">
        <v>29</v>
      </c>
      <c r="H49" s="6" t="s">
        <v>56</v>
      </c>
      <c r="I49" s="30">
        <v>0.77</v>
      </c>
      <c r="J49" s="23">
        <v>0.82</v>
      </c>
      <c r="K49" s="24" t="s">
        <v>30</v>
      </c>
      <c r="L49" s="24" t="s">
        <v>30</v>
      </c>
      <c r="M49" s="24" t="s">
        <v>30</v>
      </c>
      <c r="N49" s="24" t="s">
        <v>30</v>
      </c>
      <c r="O49" s="24" t="s">
        <v>30</v>
      </c>
      <c r="P49" s="24" t="s">
        <v>56</v>
      </c>
      <c r="Q49" s="23">
        <v>0.83</v>
      </c>
      <c r="R49" s="23">
        <v>0.68</v>
      </c>
      <c r="S49" s="23">
        <v>0</v>
      </c>
      <c r="T49" s="25">
        <v>0</v>
      </c>
      <c r="U49" s="23">
        <v>0</v>
      </c>
      <c r="V49" s="26">
        <v>0</v>
      </c>
      <c r="W49" s="27">
        <v>0</v>
      </c>
      <c r="X49" s="42">
        <v>0.4</v>
      </c>
      <c r="Y49" s="29">
        <f t="shared" si="3"/>
        <v>0.4</v>
      </c>
      <c r="Z49" s="29"/>
      <c r="AA49" s="29">
        <v>0.80430000000000001</v>
      </c>
      <c r="AB49" s="29" t="s">
        <v>122</v>
      </c>
      <c r="AC49" t="str">
        <f t="shared" si="5"/>
        <v>Pendiente</v>
      </c>
    </row>
    <row r="50" spans="1:29" ht="15" customHeight="1" thickBot="1" x14ac:dyDescent="0.35">
      <c r="A50" s="86"/>
      <c r="B50" s="45">
        <v>5</v>
      </c>
      <c r="C50" s="46" t="s">
        <v>222</v>
      </c>
      <c r="D50" s="1" t="s">
        <v>203</v>
      </c>
      <c r="E50" s="1" t="s">
        <v>190</v>
      </c>
      <c r="F50" s="1" t="s">
        <v>37</v>
      </c>
      <c r="G50" s="1" t="s">
        <v>29</v>
      </c>
      <c r="H50" s="6" t="s">
        <v>56</v>
      </c>
      <c r="I50" s="30">
        <v>0.62</v>
      </c>
      <c r="J50" s="23">
        <v>0.91</v>
      </c>
      <c r="K50" s="24" t="s">
        <v>30</v>
      </c>
      <c r="L50" s="24" t="s">
        <v>30</v>
      </c>
      <c r="M50" s="24" t="s">
        <v>30</v>
      </c>
      <c r="N50" s="24" t="s">
        <v>30</v>
      </c>
      <c r="O50" s="24" t="s">
        <v>30</v>
      </c>
      <c r="P50" s="24" t="s">
        <v>56</v>
      </c>
      <c r="Q50" s="23">
        <v>0.83</v>
      </c>
      <c r="R50" s="23">
        <v>0.8</v>
      </c>
      <c r="S50" s="23">
        <v>0</v>
      </c>
      <c r="T50" s="25">
        <v>0</v>
      </c>
      <c r="U50" s="23">
        <v>0</v>
      </c>
      <c r="V50" s="26">
        <v>0</v>
      </c>
      <c r="W50" s="27">
        <v>0</v>
      </c>
      <c r="X50" s="42">
        <v>0.44</v>
      </c>
      <c r="Y50" s="29">
        <f t="shared" si="3"/>
        <v>0.44</v>
      </c>
      <c r="Z50" s="29"/>
      <c r="AA50" s="29">
        <v>0.91300000000000003</v>
      </c>
      <c r="AB50" s="29" t="s">
        <v>122</v>
      </c>
      <c r="AC50" t="str">
        <f t="shared" si="5"/>
        <v>Pendiente</v>
      </c>
    </row>
    <row r="51" spans="1:29" ht="15" customHeight="1" thickBot="1" x14ac:dyDescent="0.35">
      <c r="A51" s="84" t="s">
        <v>252</v>
      </c>
      <c r="B51" s="50">
        <v>1</v>
      </c>
      <c r="C51" s="51" t="s">
        <v>291</v>
      </c>
      <c r="D51" s="49" t="s">
        <v>320</v>
      </c>
      <c r="E51" s="1" t="s">
        <v>230</v>
      </c>
      <c r="F51" s="1" t="s">
        <v>321</v>
      </c>
      <c r="G51" s="1" t="s">
        <v>29</v>
      </c>
      <c r="H51" s="6" t="s">
        <v>29</v>
      </c>
      <c r="I51" s="30">
        <v>0.65</v>
      </c>
      <c r="J51" s="23">
        <v>1</v>
      </c>
      <c r="K51" s="24" t="s">
        <v>30</v>
      </c>
      <c r="L51" s="24" t="s">
        <v>30</v>
      </c>
      <c r="M51" s="24" t="s">
        <v>30</v>
      </c>
      <c r="N51" s="24" t="s">
        <v>30</v>
      </c>
      <c r="O51" s="24" t="s">
        <v>30</v>
      </c>
      <c r="P51" s="24" t="s">
        <v>30</v>
      </c>
      <c r="Q51" s="23">
        <v>1</v>
      </c>
      <c r="R51" s="23">
        <v>0.69</v>
      </c>
      <c r="S51" s="23">
        <v>1</v>
      </c>
      <c r="T51" s="25">
        <v>1</v>
      </c>
      <c r="U51" s="23">
        <v>0.46</v>
      </c>
      <c r="V51" s="26">
        <v>0.96</v>
      </c>
      <c r="W51" s="27">
        <v>0.9</v>
      </c>
      <c r="X51" s="48">
        <v>0.82</v>
      </c>
      <c r="Y51" s="29">
        <f t="shared" si="3"/>
        <v>0.82</v>
      </c>
      <c r="Z51" s="29">
        <v>0.8</v>
      </c>
      <c r="AA51" s="29">
        <v>0.85450000000000004</v>
      </c>
      <c r="AB51" s="29">
        <f t="shared" ref="AB51:AB53" si="22">+Y51*0.3+Z51*0.5+AA51*0.2</f>
        <v>0.81690000000000007</v>
      </c>
      <c r="AC51" t="str">
        <f t="shared" si="5"/>
        <v>Aprobada</v>
      </c>
    </row>
    <row r="52" spans="1:29" ht="15" customHeight="1" thickBot="1" x14ac:dyDescent="0.35">
      <c r="A52" s="85"/>
      <c r="B52" s="45">
        <v>2</v>
      </c>
      <c r="C52" s="52" t="s">
        <v>290</v>
      </c>
      <c r="D52" s="49" t="s">
        <v>39</v>
      </c>
      <c r="E52" s="1" t="s">
        <v>231</v>
      </c>
      <c r="F52" s="1" t="s">
        <v>322</v>
      </c>
      <c r="G52" s="1" t="s">
        <v>29</v>
      </c>
      <c r="H52" s="6" t="s">
        <v>29</v>
      </c>
      <c r="I52" s="30">
        <v>0.48</v>
      </c>
      <c r="J52" s="23">
        <v>1</v>
      </c>
      <c r="K52" s="24" t="s">
        <v>30</v>
      </c>
      <c r="L52" s="24" t="s">
        <v>30</v>
      </c>
      <c r="M52" s="24" t="s">
        <v>30</v>
      </c>
      <c r="N52" s="24" t="s">
        <v>30</v>
      </c>
      <c r="O52" s="24" t="s">
        <v>30</v>
      </c>
      <c r="P52" s="24" t="s">
        <v>30</v>
      </c>
      <c r="Q52" s="23">
        <v>1</v>
      </c>
      <c r="R52" s="23">
        <v>0.62</v>
      </c>
      <c r="S52" s="23">
        <v>1</v>
      </c>
      <c r="T52" s="25">
        <v>1</v>
      </c>
      <c r="U52" s="23">
        <v>0.62</v>
      </c>
      <c r="V52" s="26">
        <v>1</v>
      </c>
      <c r="W52" s="27">
        <v>0.94</v>
      </c>
      <c r="X52" s="48">
        <v>0.81</v>
      </c>
      <c r="Y52" s="29">
        <f t="shared" si="3"/>
        <v>0.81</v>
      </c>
      <c r="Z52" s="29">
        <v>0.86670000000000003</v>
      </c>
      <c r="AA52" s="29"/>
      <c r="AB52" s="29" t="s">
        <v>122</v>
      </c>
      <c r="AC52" t="str">
        <f t="shared" si="5"/>
        <v>Pendiente</v>
      </c>
    </row>
    <row r="53" spans="1:29" ht="15" hidden="1" customHeight="1" thickBot="1" x14ac:dyDescent="0.35">
      <c r="A53" s="85"/>
      <c r="B53" s="45">
        <v>3</v>
      </c>
      <c r="C53" s="52" t="s">
        <v>278</v>
      </c>
      <c r="D53" s="49" t="s">
        <v>232</v>
      </c>
      <c r="E53" s="1" t="s">
        <v>233</v>
      </c>
      <c r="F53" s="1" t="s">
        <v>323</v>
      </c>
      <c r="G53" s="1" t="s">
        <v>29</v>
      </c>
      <c r="H53" s="6" t="s">
        <v>29</v>
      </c>
      <c r="I53" s="30">
        <v>0.62</v>
      </c>
      <c r="J53" s="23">
        <v>0.64</v>
      </c>
      <c r="K53" s="24" t="s">
        <v>30</v>
      </c>
      <c r="L53" s="24" t="s">
        <v>30</v>
      </c>
      <c r="M53" s="24" t="s">
        <v>30</v>
      </c>
      <c r="N53" s="24" t="s">
        <v>30</v>
      </c>
      <c r="O53" s="24" t="s">
        <v>30</v>
      </c>
      <c r="P53" s="24" t="s">
        <v>30</v>
      </c>
      <c r="Q53" s="23">
        <v>1</v>
      </c>
      <c r="R53" s="23">
        <v>0.74</v>
      </c>
      <c r="S53" s="23">
        <v>0.82</v>
      </c>
      <c r="T53" s="25">
        <v>0.81</v>
      </c>
      <c r="U53" s="23">
        <v>0.23</v>
      </c>
      <c r="V53" s="26">
        <v>0.56000000000000005</v>
      </c>
      <c r="W53" s="27">
        <v>0.62</v>
      </c>
      <c r="X53" s="47">
        <v>0.71</v>
      </c>
      <c r="Y53" s="29">
        <f t="shared" si="3"/>
        <v>0.71</v>
      </c>
      <c r="Z53" s="29">
        <v>0.71109999999999995</v>
      </c>
      <c r="AA53" s="29">
        <v>0.89900000000000002</v>
      </c>
      <c r="AB53" s="29">
        <f t="shared" si="22"/>
        <v>0.74835000000000007</v>
      </c>
      <c r="AC53" t="s">
        <v>490</v>
      </c>
    </row>
    <row r="54" spans="1:29" ht="15" customHeight="1" thickBot="1" x14ac:dyDescent="0.35">
      <c r="A54" s="85"/>
      <c r="B54" s="45">
        <v>4</v>
      </c>
      <c r="C54" s="52" t="s">
        <v>286</v>
      </c>
      <c r="D54" s="49" t="s">
        <v>234</v>
      </c>
      <c r="E54" s="1" t="s">
        <v>235</v>
      </c>
      <c r="F54" s="1" t="s">
        <v>324</v>
      </c>
      <c r="G54" s="1" t="s">
        <v>29</v>
      </c>
      <c r="H54" s="6" t="s">
        <v>29</v>
      </c>
      <c r="I54" s="30">
        <v>0.46</v>
      </c>
      <c r="J54" s="23">
        <v>0.91</v>
      </c>
      <c r="K54" s="24" t="s">
        <v>30</v>
      </c>
      <c r="L54" s="24" t="s">
        <v>30</v>
      </c>
      <c r="M54" s="24" t="s">
        <v>30</v>
      </c>
      <c r="N54" s="24" t="s">
        <v>30</v>
      </c>
      <c r="O54" s="24" t="s">
        <v>30</v>
      </c>
      <c r="P54" s="24" t="s">
        <v>30</v>
      </c>
      <c r="Q54" s="23">
        <v>1</v>
      </c>
      <c r="R54" s="23">
        <v>0.63</v>
      </c>
      <c r="S54" s="23">
        <v>1</v>
      </c>
      <c r="T54" s="25">
        <v>0.94</v>
      </c>
      <c r="U54" s="23">
        <v>0.38</v>
      </c>
      <c r="V54" s="26">
        <v>0.76</v>
      </c>
      <c r="W54" s="27">
        <v>0.79</v>
      </c>
      <c r="X54" s="47">
        <v>0.74</v>
      </c>
      <c r="Y54" s="29">
        <f t="shared" si="3"/>
        <v>0.74</v>
      </c>
      <c r="Z54" s="29">
        <v>0.8</v>
      </c>
      <c r="AA54" s="29"/>
      <c r="AB54" s="29" t="s">
        <v>122</v>
      </c>
      <c r="AC54" t="str">
        <f t="shared" si="5"/>
        <v>Pendiente</v>
      </c>
    </row>
    <row r="55" spans="1:29" ht="15" customHeight="1" thickBot="1" x14ac:dyDescent="0.35">
      <c r="A55" s="85"/>
      <c r="B55" s="45">
        <v>5</v>
      </c>
      <c r="C55" s="52" t="s">
        <v>281</v>
      </c>
      <c r="D55" s="49" t="s">
        <v>50</v>
      </c>
      <c r="E55" s="1" t="s">
        <v>236</v>
      </c>
      <c r="F55" s="1" t="s">
        <v>325</v>
      </c>
      <c r="G55" s="1" t="s">
        <v>29</v>
      </c>
      <c r="H55" s="6" t="s">
        <v>29</v>
      </c>
      <c r="I55" s="30">
        <v>0.62</v>
      </c>
      <c r="J55" s="23">
        <v>0.91</v>
      </c>
      <c r="K55" s="24" t="s">
        <v>30</v>
      </c>
      <c r="L55" s="24" t="s">
        <v>30</v>
      </c>
      <c r="M55" s="24" t="s">
        <v>30</v>
      </c>
      <c r="N55" s="24" t="s">
        <v>30</v>
      </c>
      <c r="O55" s="24" t="s">
        <v>30</v>
      </c>
      <c r="P55" s="24" t="s">
        <v>30</v>
      </c>
      <c r="Q55" s="23">
        <v>1</v>
      </c>
      <c r="R55" s="23">
        <v>0.8</v>
      </c>
      <c r="S55" s="23">
        <v>0.7</v>
      </c>
      <c r="T55" s="25">
        <v>0.88</v>
      </c>
      <c r="U55" s="23">
        <v>0.31</v>
      </c>
      <c r="V55" s="26">
        <v>0.66</v>
      </c>
      <c r="W55" s="27">
        <v>0.68</v>
      </c>
      <c r="X55" s="47">
        <v>0.76</v>
      </c>
      <c r="Y55" s="29">
        <f t="shared" si="3"/>
        <v>0.76</v>
      </c>
      <c r="Z55" s="29">
        <v>0.75560000000000005</v>
      </c>
      <c r="AA55" s="29">
        <v>0.89090000000000003</v>
      </c>
      <c r="AB55" s="29">
        <f t="shared" ref="AB55" si="23">+Y55*0.3+Z55*0.5+AA55*0.2</f>
        <v>0.78398000000000001</v>
      </c>
      <c r="AC55" t="str">
        <f t="shared" si="5"/>
        <v>Reprobada</v>
      </c>
    </row>
    <row r="56" spans="1:29" ht="15" customHeight="1" thickBot="1" x14ac:dyDescent="0.35">
      <c r="A56" s="85"/>
      <c r="B56" s="45">
        <v>6</v>
      </c>
      <c r="C56" s="52" t="s">
        <v>287</v>
      </c>
      <c r="D56" s="49" t="s">
        <v>237</v>
      </c>
      <c r="E56" s="1" t="s">
        <v>238</v>
      </c>
      <c r="F56" s="1" t="s">
        <v>326</v>
      </c>
      <c r="G56" s="1" t="s">
        <v>29</v>
      </c>
      <c r="H56" s="6" t="s">
        <v>29</v>
      </c>
      <c r="I56" s="30">
        <v>0.28000000000000003</v>
      </c>
      <c r="J56" s="23">
        <v>0.82</v>
      </c>
      <c r="K56" s="24" t="s">
        <v>30</v>
      </c>
      <c r="L56" s="24" t="s">
        <v>30</v>
      </c>
      <c r="M56" s="24" t="s">
        <v>30</v>
      </c>
      <c r="N56" s="24" t="s">
        <v>30</v>
      </c>
      <c r="O56" s="24" t="s">
        <v>30</v>
      </c>
      <c r="P56" s="24" t="s">
        <v>30</v>
      </c>
      <c r="Q56" s="23">
        <v>1</v>
      </c>
      <c r="R56" s="23">
        <v>0.56999999999999995</v>
      </c>
      <c r="S56" s="23">
        <v>0.73</v>
      </c>
      <c r="T56" s="25">
        <v>0.94</v>
      </c>
      <c r="U56" s="23">
        <v>0.85</v>
      </c>
      <c r="V56" s="26">
        <v>0.84</v>
      </c>
      <c r="W56" s="27">
        <v>0.85</v>
      </c>
      <c r="X56" s="47">
        <v>0.74</v>
      </c>
      <c r="Y56" s="29">
        <f t="shared" si="3"/>
        <v>0.74</v>
      </c>
      <c r="Z56" s="29">
        <v>0.82220000000000004</v>
      </c>
      <c r="AA56" s="29">
        <v>0.87270000000000003</v>
      </c>
      <c r="AB56" s="29">
        <f t="shared" ref="AB56:AB60" si="24">+Y56*0.3+Z56*0.5+AA56*0.2</f>
        <v>0.80764000000000002</v>
      </c>
      <c r="AC56" t="str">
        <f t="shared" si="5"/>
        <v>Aprobada</v>
      </c>
    </row>
    <row r="57" spans="1:29" ht="15" customHeight="1" thickBot="1" x14ac:dyDescent="0.35">
      <c r="A57" s="85"/>
      <c r="B57" s="45">
        <v>7</v>
      </c>
      <c r="C57" s="52" t="s">
        <v>279</v>
      </c>
      <c r="D57" s="49" t="s">
        <v>192</v>
      </c>
      <c r="E57" s="1" t="s">
        <v>239</v>
      </c>
      <c r="F57" s="1" t="s">
        <v>324</v>
      </c>
      <c r="G57" s="1" t="s">
        <v>29</v>
      </c>
      <c r="H57" s="6" t="s">
        <v>29</v>
      </c>
      <c r="I57" s="30">
        <v>0.43</v>
      </c>
      <c r="J57" s="23">
        <v>0.91</v>
      </c>
      <c r="K57" s="24" t="s">
        <v>30</v>
      </c>
      <c r="L57" s="24" t="s">
        <v>30</v>
      </c>
      <c r="M57" s="24" t="s">
        <v>30</v>
      </c>
      <c r="N57" s="24" t="s">
        <v>30</v>
      </c>
      <c r="O57" s="24" t="s">
        <v>30</v>
      </c>
      <c r="P57" s="24" t="s">
        <v>30</v>
      </c>
      <c r="Q57" s="23">
        <v>1</v>
      </c>
      <c r="R57" s="23">
        <v>0.56000000000000005</v>
      </c>
      <c r="S57" s="23">
        <v>0.9</v>
      </c>
      <c r="T57" s="25">
        <v>0.88</v>
      </c>
      <c r="U57" s="23">
        <v>0.54</v>
      </c>
      <c r="V57" s="26">
        <v>0.82</v>
      </c>
      <c r="W57" s="27">
        <v>0.81</v>
      </c>
      <c r="X57" s="47">
        <v>0.72</v>
      </c>
      <c r="Y57" s="29">
        <f t="shared" si="3"/>
        <v>0.72</v>
      </c>
      <c r="Z57" s="29">
        <v>0.82220000000000004</v>
      </c>
      <c r="AA57" s="29">
        <v>0.81820000000000004</v>
      </c>
      <c r="AB57" s="29">
        <f t="shared" si="24"/>
        <v>0.79074</v>
      </c>
      <c r="AC57" t="str">
        <f t="shared" si="5"/>
        <v>Reprobada</v>
      </c>
    </row>
    <row r="58" spans="1:29" ht="15" customHeight="1" thickBot="1" x14ac:dyDescent="0.35">
      <c r="A58" s="85"/>
      <c r="B58" s="45">
        <v>8</v>
      </c>
      <c r="C58" s="52" t="s">
        <v>280</v>
      </c>
      <c r="D58" s="49" t="s">
        <v>240</v>
      </c>
      <c r="E58" s="1" t="s">
        <v>241</v>
      </c>
      <c r="F58" s="1" t="s">
        <v>327</v>
      </c>
      <c r="G58" s="1" t="s">
        <v>29</v>
      </c>
      <c r="H58" s="6" t="s">
        <v>29</v>
      </c>
      <c r="I58" s="30">
        <v>0.69</v>
      </c>
      <c r="J58" s="23">
        <v>0.91</v>
      </c>
      <c r="K58" s="24" t="s">
        <v>30</v>
      </c>
      <c r="L58" s="24" t="s">
        <v>30</v>
      </c>
      <c r="M58" s="24" t="s">
        <v>30</v>
      </c>
      <c r="N58" s="24" t="s">
        <v>30</v>
      </c>
      <c r="O58" s="24" t="s">
        <v>30</v>
      </c>
      <c r="P58" s="24" t="s">
        <v>30</v>
      </c>
      <c r="Q58" s="23">
        <v>1</v>
      </c>
      <c r="R58" s="23">
        <v>0.61</v>
      </c>
      <c r="S58" s="23">
        <v>0.9</v>
      </c>
      <c r="T58" s="25">
        <v>0.94</v>
      </c>
      <c r="U58" s="23">
        <v>0.23</v>
      </c>
      <c r="V58" s="26">
        <v>0.89</v>
      </c>
      <c r="W58" s="27">
        <v>0.81</v>
      </c>
      <c r="X58" s="47">
        <v>0.75</v>
      </c>
      <c r="Y58" s="29">
        <f t="shared" si="3"/>
        <v>0.75</v>
      </c>
      <c r="Z58" s="29">
        <v>0.8</v>
      </c>
      <c r="AA58" s="29">
        <v>0.86250000000000004</v>
      </c>
      <c r="AB58" s="29">
        <f t="shared" si="24"/>
        <v>0.79749999999999999</v>
      </c>
      <c r="AC58" t="str">
        <f t="shared" si="5"/>
        <v>Reprobada</v>
      </c>
    </row>
    <row r="59" spans="1:29" ht="15" customHeight="1" thickBot="1" x14ac:dyDescent="0.35">
      <c r="A59" s="85"/>
      <c r="B59" s="45">
        <v>9</v>
      </c>
      <c r="C59" s="52" t="s">
        <v>284</v>
      </c>
      <c r="D59" s="49" t="s">
        <v>61</v>
      </c>
      <c r="E59" s="1" t="s">
        <v>242</v>
      </c>
      <c r="F59" s="1" t="s">
        <v>328</v>
      </c>
      <c r="G59" s="1" t="s">
        <v>29</v>
      </c>
      <c r="H59" s="6" t="s">
        <v>29</v>
      </c>
      <c r="I59" s="30">
        <v>0.66</v>
      </c>
      <c r="J59" s="23">
        <v>0.91</v>
      </c>
      <c r="K59" s="24" t="s">
        <v>30</v>
      </c>
      <c r="L59" s="24" t="s">
        <v>30</v>
      </c>
      <c r="M59" s="24" t="s">
        <v>30</v>
      </c>
      <c r="N59" s="24" t="s">
        <v>30</v>
      </c>
      <c r="O59" s="24" t="s">
        <v>30</v>
      </c>
      <c r="P59" s="24" t="s">
        <v>30</v>
      </c>
      <c r="Q59" s="23">
        <v>1</v>
      </c>
      <c r="R59" s="23">
        <v>0.66</v>
      </c>
      <c r="S59" s="23">
        <v>1</v>
      </c>
      <c r="T59" s="25">
        <v>1</v>
      </c>
      <c r="U59" s="23">
        <v>0.62</v>
      </c>
      <c r="V59" s="26">
        <v>1</v>
      </c>
      <c r="W59" s="27">
        <v>0.94</v>
      </c>
      <c r="X59" s="48">
        <v>0.83</v>
      </c>
      <c r="Y59" s="29">
        <f t="shared" si="3"/>
        <v>0.83</v>
      </c>
      <c r="Z59" s="29">
        <v>0.9556</v>
      </c>
      <c r="AA59" s="29">
        <v>0.87270000000000003</v>
      </c>
      <c r="AB59" s="29">
        <f t="shared" si="24"/>
        <v>0.90134000000000003</v>
      </c>
      <c r="AC59" t="str">
        <f t="shared" si="5"/>
        <v>Aprobada</v>
      </c>
    </row>
    <row r="60" spans="1:29" ht="15" customHeight="1" thickBot="1" x14ac:dyDescent="0.35">
      <c r="A60" s="85"/>
      <c r="B60" s="45">
        <v>10</v>
      </c>
      <c r="C60" s="52" t="s">
        <v>205</v>
      </c>
      <c r="D60" s="49" t="s">
        <v>61</v>
      </c>
      <c r="E60" s="1" t="s">
        <v>191</v>
      </c>
      <c r="F60" s="1" t="s">
        <v>37</v>
      </c>
      <c r="G60" s="1" t="s">
        <v>29</v>
      </c>
      <c r="H60" s="6" t="s">
        <v>29</v>
      </c>
      <c r="I60" s="30">
        <v>0.69</v>
      </c>
      <c r="J60" s="23">
        <v>0.91</v>
      </c>
      <c r="K60" s="24" t="s">
        <v>30</v>
      </c>
      <c r="L60" s="24" t="s">
        <v>30</v>
      </c>
      <c r="M60" s="24" t="s">
        <v>30</v>
      </c>
      <c r="N60" s="24" t="s">
        <v>30</v>
      </c>
      <c r="O60" s="24" t="s">
        <v>30</v>
      </c>
      <c r="P60" s="24" t="s">
        <v>30</v>
      </c>
      <c r="Q60" s="23">
        <v>1</v>
      </c>
      <c r="R60" s="23">
        <v>0.8</v>
      </c>
      <c r="S60" s="23">
        <v>1</v>
      </c>
      <c r="T60" s="25">
        <v>0.88</v>
      </c>
      <c r="U60" s="23">
        <v>0.31</v>
      </c>
      <c r="V60" s="26">
        <v>1</v>
      </c>
      <c r="W60" s="27">
        <v>0.86</v>
      </c>
      <c r="X60" s="48">
        <v>0.85</v>
      </c>
      <c r="Y60" s="29">
        <f t="shared" si="3"/>
        <v>0.85</v>
      </c>
      <c r="Z60" s="29">
        <v>0.93</v>
      </c>
      <c r="AA60" s="29">
        <v>0.87270000000000003</v>
      </c>
      <c r="AB60" s="29">
        <f t="shared" si="24"/>
        <v>0.89454</v>
      </c>
      <c r="AC60" t="str">
        <f t="shared" si="5"/>
        <v>Aprobada</v>
      </c>
    </row>
    <row r="61" spans="1:29" ht="15" customHeight="1" thickBot="1" x14ac:dyDescent="0.35">
      <c r="A61" s="85"/>
      <c r="B61" s="45">
        <v>11</v>
      </c>
      <c r="C61" s="52" t="s">
        <v>219</v>
      </c>
      <c r="D61" s="49" t="s">
        <v>217</v>
      </c>
      <c r="E61" s="1" t="s">
        <v>243</v>
      </c>
      <c r="F61" s="1" t="s">
        <v>37</v>
      </c>
      <c r="G61" s="1" t="s">
        <v>29</v>
      </c>
      <c r="H61" s="6" t="s">
        <v>29</v>
      </c>
      <c r="I61" s="30">
        <v>0.89</v>
      </c>
      <c r="J61" s="23">
        <v>0.73</v>
      </c>
      <c r="K61" s="24" t="s">
        <v>30</v>
      </c>
      <c r="L61" s="24" t="s">
        <v>30</v>
      </c>
      <c r="M61" s="24" t="s">
        <v>30</v>
      </c>
      <c r="N61" s="24" t="s">
        <v>30</v>
      </c>
      <c r="O61" s="24" t="s">
        <v>30</v>
      </c>
      <c r="P61" s="24" t="s">
        <v>30</v>
      </c>
      <c r="Q61" s="23">
        <v>1</v>
      </c>
      <c r="R61" s="23">
        <v>0.77</v>
      </c>
      <c r="S61" s="23">
        <v>1</v>
      </c>
      <c r="T61" s="25">
        <v>0.94</v>
      </c>
      <c r="U61" s="23">
        <v>0.46</v>
      </c>
      <c r="V61" s="26">
        <v>0.8</v>
      </c>
      <c r="W61" s="27">
        <v>0.82</v>
      </c>
      <c r="X61" s="48">
        <v>0.82</v>
      </c>
      <c r="Y61" s="29">
        <f t="shared" si="3"/>
        <v>0.82</v>
      </c>
      <c r="Z61" s="29">
        <v>0.86670000000000003</v>
      </c>
      <c r="AA61" s="29">
        <v>0.87270000000000003</v>
      </c>
      <c r="AB61" s="29">
        <f t="shared" ref="AB61:AB62" si="25">+Y61*0.3+Z61*0.5+AA61*0.2</f>
        <v>0.85389000000000004</v>
      </c>
      <c r="AC61" t="str">
        <f t="shared" si="5"/>
        <v>Aprobada</v>
      </c>
    </row>
    <row r="62" spans="1:29" ht="15" customHeight="1" thickBot="1" x14ac:dyDescent="0.35">
      <c r="A62" s="85"/>
      <c r="B62" s="45">
        <v>12</v>
      </c>
      <c r="C62" s="52" t="s">
        <v>285</v>
      </c>
      <c r="D62" s="49" t="s">
        <v>217</v>
      </c>
      <c r="E62" s="1" t="s">
        <v>242</v>
      </c>
      <c r="F62" s="1" t="s">
        <v>37</v>
      </c>
      <c r="G62" s="1" t="s">
        <v>29</v>
      </c>
      <c r="H62" s="6" t="s">
        <v>29</v>
      </c>
      <c r="I62" s="30">
        <v>0.34</v>
      </c>
      <c r="J62" s="23">
        <v>0.55000000000000004</v>
      </c>
      <c r="K62" s="24" t="s">
        <v>30</v>
      </c>
      <c r="L62" s="24" t="s">
        <v>30</v>
      </c>
      <c r="M62" s="24" t="s">
        <v>30</v>
      </c>
      <c r="N62" s="24" t="s">
        <v>30</v>
      </c>
      <c r="O62" s="24" t="s">
        <v>30</v>
      </c>
      <c r="P62" s="24" t="s">
        <v>30</v>
      </c>
      <c r="Q62" s="23">
        <v>1</v>
      </c>
      <c r="R62" s="23">
        <v>0.69</v>
      </c>
      <c r="S62" s="23">
        <v>0.73</v>
      </c>
      <c r="T62" s="25">
        <v>0.88</v>
      </c>
      <c r="U62" s="23">
        <v>0.31</v>
      </c>
      <c r="V62" s="26">
        <v>0.73</v>
      </c>
      <c r="W62" s="27">
        <v>0.71</v>
      </c>
      <c r="X62" s="47">
        <v>0.72</v>
      </c>
      <c r="Y62" s="29">
        <f t="shared" si="3"/>
        <v>0.72</v>
      </c>
      <c r="Z62" s="29">
        <v>0.82220000000000004</v>
      </c>
      <c r="AA62" s="29">
        <v>0.8</v>
      </c>
      <c r="AB62" s="29">
        <f t="shared" si="25"/>
        <v>0.78710000000000002</v>
      </c>
      <c r="AC62" t="str">
        <f t="shared" si="5"/>
        <v>Reprobada</v>
      </c>
    </row>
    <row r="63" spans="1:29" ht="15" customHeight="1" thickBot="1" x14ac:dyDescent="0.35">
      <c r="A63" s="85"/>
      <c r="B63" s="45">
        <v>13</v>
      </c>
      <c r="C63" s="52" t="s">
        <v>288</v>
      </c>
      <c r="D63" s="49" t="s">
        <v>244</v>
      </c>
      <c r="E63" s="1" t="s">
        <v>245</v>
      </c>
      <c r="F63" s="1" t="s">
        <v>329</v>
      </c>
      <c r="G63" s="1" t="s">
        <v>29</v>
      </c>
      <c r="H63" s="6" t="s">
        <v>29</v>
      </c>
      <c r="I63" s="30">
        <v>0.55000000000000004</v>
      </c>
      <c r="J63" s="23">
        <v>0.82</v>
      </c>
      <c r="K63" s="24" t="s">
        <v>30</v>
      </c>
      <c r="L63" s="24" t="s">
        <v>30</v>
      </c>
      <c r="M63" s="24" t="s">
        <v>30</v>
      </c>
      <c r="N63" s="24" t="s">
        <v>30</v>
      </c>
      <c r="O63" s="24" t="s">
        <v>30</v>
      </c>
      <c r="P63" s="24" t="s">
        <v>30</v>
      </c>
      <c r="Q63" s="23">
        <v>1</v>
      </c>
      <c r="R63" s="23">
        <v>0.82</v>
      </c>
      <c r="S63" s="23">
        <v>0.91</v>
      </c>
      <c r="T63" s="25">
        <v>0.94</v>
      </c>
      <c r="U63" s="23">
        <v>0.54</v>
      </c>
      <c r="V63" s="26">
        <v>0.8</v>
      </c>
      <c r="W63" s="27">
        <v>0.82</v>
      </c>
      <c r="X63" s="48">
        <v>0.83</v>
      </c>
      <c r="Y63" s="29">
        <f t="shared" si="3"/>
        <v>0.83</v>
      </c>
      <c r="Z63" s="29">
        <v>0.75560000000000005</v>
      </c>
      <c r="AA63" s="29"/>
      <c r="AB63" s="29" t="s">
        <v>122</v>
      </c>
      <c r="AC63" t="str">
        <f t="shared" si="5"/>
        <v>Pendiente</v>
      </c>
    </row>
    <row r="64" spans="1:29" ht="15" customHeight="1" thickBot="1" x14ac:dyDescent="0.35">
      <c r="A64" s="85"/>
      <c r="B64" s="45">
        <v>14</v>
      </c>
      <c r="C64" s="52" t="s">
        <v>289</v>
      </c>
      <c r="D64" s="49" t="s">
        <v>171</v>
      </c>
      <c r="E64" s="1" t="s">
        <v>183</v>
      </c>
      <c r="F64" s="1" t="s">
        <v>330</v>
      </c>
      <c r="G64" s="1" t="s">
        <v>29</v>
      </c>
      <c r="H64" s="6" t="s">
        <v>29</v>
      </c>
      <c r="I64" s="30">
        <v>0.77</v>
      </c>
      <c r="J64" s="23">
        <v>0.82</v>
      </c>
      <c r="K64" s="24" t="s">
        <v>30</v>
      </c>
      <c r="L64" s="24" t="s">
        <v>30</v>
      </c>
      <c r="M64" s="24" t="s">
        <v>30</v>
      </c>
      <c r="N64" s="24" t="s">
        <v>30</v>
      </c>
      <c r="O64" s="24" t="s">
        <v>30</v>
      </c>
      <c r="P64" s="24" t="s">
        <v>30</v>
      </c>
      <c r="Q64" s="23">
        <v>1</v>
      </c>
      <c r="R64" s="23">
        <v>0.94</v>
      </c>
      <c r="S64" s="23">
        <v>0.82</v>
      </c>
      <c r="T64" s="25">
        <v>0.88</v>
      </c>
      <c r="U64" s="23">
        <v>0.38</v>
      </c>
      <c r="V64" s="26">
        <v>0.67</v>
      </c>
      <c r="W64" s="27">
        <v>0.71</v>
      </c>
      <c r="X64" s="48">
        <v>0.84</v>
      </c>
      <c r="Y64" s="29">
        <f t="shared" si="3"/>
        <v>0.84</v>
      </c>
      <c r="Z64" s="29">
        <v>0.91110000000000002</v>
      </c>
      <c r="AA64" s="29">
        <v>0.87270000000000003</v>
      </c>
      <c r="AB64" s="29">
        <f t="shared" ref="AB64" si="26">+Y64*0.3+Z64*0.5+AA64*0.2</f>
        <v>0.88209000000000004</v>
      </c>
      <c r="AC64" t="str">
        <f t="shared" si="5"/>
        <v>Aprobada</v>
      </c>
    </row>
    <row r="65" spans="1:41" ht="15" customHeight="1" thickBot="1" x14ac:dyDescent="0.35">
      <c r="A65" s="85"/>
      <c r="B65" s="45">
        <v>15</v>
      </c>
      <c r="C65" s="52" t="s">
        <v>292</v>
      </c>
      <c r="D65" s="49" t="s">
        <v>246</v>
      </c>
      <c r="E65" s="1" t="s">
        <v>247</v>
      </c>
      <c r="F65" s="1" t="s">
        <v>332</v>
      </c>
      <c r="G65" s="1" t="s">
        <v>29</v>
      </c>
      <c r="H65" s="6" t="s">
        <v>251</v>
      </c>
      <c r="I65" s="30">
        <v>0.42</v>
      </c>
      <c r="J65" s="23">
        <v>0.91</v>
      </c>
      <c r="K65" s="24" t="s">
        <v>30</v>
      </c>
      <c r="L65" s="24" t="s">
        <v>30</v>
      </c>
      <c r="M65" s="24" t="s">
        <v>30</v>
      </c>
      <c r="N65" s="24" t="s">
        <v>30</v>
      </c>
      <c r="O65" s="24" t="s">
        <v>30</v>
      </c>
      <c r="P65" s="24" t="s">
        <v>30</v>
      </c>
      <c r="Q65" s="23">
        <v>1</v>
      </c>
      <c r="R65" s="23">
        <v>0.62</v>
      </c>
      <c r="S65" s="23">
        <v>0</v>
      </c>
      <c r="T65" s="25">
        <v>0</v>
      </c>
      <c r="U65" s="23">
        <v>0</v>
      </c>
      <c r="V65" s="26">
        <v>0</v>
      </c>
      <c r="W65" s="27">
        <v>0</v>
      </c>
      <c r="X65" s="47">
        <v>0.38</v>
      </c>
      <c r="Y65" s="29">
        <f t="shared" ref="Y65:Y127" si="27">+X65</f>
        <v>0.38</v>
      </c>
      <c r="Z65" s="29"/>
      <c r="AA65" s="29"/>
      <c r="AB65" s="29" t="s">
        <v>122</v>
      </c>
      <c r="AC65" t="str">
        <f t="shared" ref="AC65:AC122" si="28">+IF(AB65="pendiente","Pendiente",IF(AB65&gt;=0.8,"Aprobada","Reprobada"))</f>
        <v>Pendiente</v>
      </c>
    </row>
    <row r="66" spans="1:41" ht="15" customHeight="1" thickBot="1" x14ac:dyDescent="0.35">
      <c r="A66" s="85"/>
      <c r="B66" s="45">
        <v>16</v>
      </c>
      <c r="C66" s="52" t="s">
        <v>282</v>
      </c>
      <c r="D66" s="49" t="s">
        <v>203</v>
      </c>
      <c r="E66" s="1" t="s">
        <v>248</v>
      </c>
      <c r="F66" s="1" t="s">
        <v>324</v>
      </c>
      <c r="G66" s="1" t="s">
        <v>29</v>
      </c>
      <c r="H66" s="6" t="s">
        <v>29</v>
      </c>
      <c r="I66" s="30">
        <v>0.62</v>
      </c>
      <c r="J66" s="23">
        <v>1</v>
      </c>
      <c r="K66" s="24" t="s">
        <v>30</v>
      </c>
      <c r="L66" s="24" t="s">
        <v>30</v>
      </c>
      <c r="M66" s="24" t="s">
        <v>30</v>
      </c>
      <c r="N66" s="24" t="s">
        <v>30</v>
      </c>
      <c r="O66" s="24" t="s">
        <v>30</v>
      </c>
      <c r="P66" s="24" t="s">
        <v>30</v>
      </c>
      <c r="Q66" s="23">
        <v>1</v>
      </c>
      <c r="R66" s="23">
        <v>0.56999999999999995</v>
      </c>
      <c r="S66" s="23">
        <v>1</v>
      </c>
      <c r="T66" s="25">
        <v>1</v>
      </c>
      <c r="U66" s="23">
        <v>0.62</v>
      </c>
      <c r="V66" s="26">
        <v>1</v>
      </c>
      <c r="W66" s="27">
        <v>0.94</v>
      </c>
      <c r="X66" s="48">
        <v>0.79</v>
      </c>
      <c r="Y66" s="29">
        <f t="shared" si="27"/>
        <v>0.79</v>
      </c>
      <c r="Z66" s="29">
        <v>0.86670000000000003</v>
      </c>
      <c r="AA66" s="29">
        <v>0.90910000000000002</v>
      </c>
      <c r="AB66" s="29">
        <f t="shared" ref="AB66:AB70" si="29">+Y66*0.3+Z66*0.5+AA66*0.2</f>
        <v>0.85216999999999998</v>
      </c>
      <c r="AC66" t="str">
        <f t="shared" si="28"/>
        <v>Aprobada</v>
      </c>
    </row>
    <row r="67" spans="1:41" ht="15" customHeight="1" x14ac:dyDescent="0.3">
      <c r="A67" s="85"/>
      <c r="B67" s="56">
        <v>17</v>
      </c>
      <c r="C67" s="52" t="s">
        <v>283</v>
      </c>
      <c r="D67" s="57" t="s">
        <v>249</v>
      </c>
      <c r="E67" s="58" t="s">
        <v>250</v>
      </c>
      <c r="F67" s="58" t="s">
        <v>331</v>
      </c>
      <c r="G67" s="58" t="s">
        <v>29</v>
      </c>
      <c r="H67" s="59" t="s">
        <v>29</v>
      </c>
      <c r="I67" s="31">
        <v>0.77</v>
      </c>
      <c r="J67" s="60">
        <v>0.82</v>
      </c>
      <c r="K67" s="61" t="s">
        <v>30</v>
      </c>
      <c r="L67" s="61" t="s">
        <v>30</v>
      </c>
      <c r="M67" s="61" t="s">
        <v>30</v>
      </c>
      <c r="N67" s="61" t="s">
        <v>30</v>
      </c>
      <c r="O67" s="61" t="s">
        <v>30</v>
      </c>
      <c r="P67" s="61" t="s">
        <v>30</v>
      </c>
      <c r="Q67" s="60">
        <v>1</v>
      </c>
      <c r="R67" s="60">
        <v>0.86</v>
      </c>
      <c r="S67" s="60">
        <v>0.91</v>
      </c>
      <c r="T67" s="62">
        <v>1</v>
      </c>
      <c r="U67" s="60">
        <v>0.62</v>
      </c>
      <c r="V67" s="63">
        <v>1</v>
      </c>
      <c r="W67" s="27">
        <v>0.93</v>
      </c>
      <c r="X67" s="64">
        <v>0.9</v>
      </c>
      <c r="Y67" s="65">
        <f t="shared" si="27"/>
        <v>0.9</v>
      </c>
      <c r="Z67" s="65">
        <v>0.91110000000000002</v>
      </c>
      <c r="AA67" s="29">
        <v>0.83640000000000003</v>
      </c>
      <c r="AB67" s="29">
        <f t="shared" si="29"/>
        <v>0.89283000000000001</v>
      </c>
      <c r="AC67" t="str">
        <f t="shared" si="28"/>
        <v>Aprobada</v>
      </c>
      <c r="AO67" s="55"/>
    </row>
    <row r="68" spans="1:41" ht="15" customHeight="1" thickBot="1" x14ac:dyDescent="0.35">
      <c r="A68" s="84" t="s">
        <v>307</v>
      </c>
      <c r="B68" s="50">
        <v>1</v>
      </c>
      <c r="C68" s="51" t="s">
        <v>293</v>
      </c>
      <c r="D68" s="66" t="s">
        <v>253</v>
      </c>
      <c r="E68" s="66" t="s">
        <v>254</v>
      </c>
      <c r="F68" s="1" t="s">
        <v>308</v>
      </c>
      <c r="G68" s="66" t="s">
        <v>29</v>
      </c>
      <c r="H68" s="66" t="s">
        <v>29</v>
      </c>
      <c r="I68" s="67">
        <v>0.66</v>
      </c>
      <c r="J68" s="68">
        <v>0.91</v>
      </c>
      <c r="K68" s="69" t="s">
        <v>30</v>
      </c>
      <c r="L68" s="69" t="s">
        <v>30</v>
      </c>
      <c r="M68" s="69" t="s">
        <v>30</v>
      </c>
      <c r="N68" s="69" t="s">
        <v>30</v>
      </c>
      <c r="O68" s="69" t="s">
        <v>30</v>
      </c>
      <c r="P68" s="69" t="s">
        <v>30</v>
      </c>
      <c r="Q68" s="68">
        <v>1</v>
      </c>
      <c r="R68" s="68">
        <v>0.86</v>
      </c>
      <c r="S68" s="68">
        <v>0.73</v>
      </c>
      <c r="T68" s="70">
        <v>1</v>
      </c>
      <c r="U68" s="68">
        <v>0.46</v>
      </c>
      <c r="V68" s="71">
        <v>0.76</v>
      </c>
      <c r="W68" s="72">
        <v>0.78</v>
      </c>
      <c r="X68" s="73">
        <v>0.83</v>
      </c>
      <c r="Y68" s="29">
        <f>+X68</f>
        <v>0.83</v>
      </c>
      <c r="Z68" s="29">
        <v>0.84440000000000004</v>
      </c>
      <c r="AA68" s="29">
        <v>0.89090000000000003</v>
      </c>
      <c r="AB68" s="29">
        <f t="shared" si="29"/>
        <v>0.84938000000000002</v>
      </c>
      <c r="AC68" t="str">
        <f t="shared" si="28"/>
        <v>Aprobada</v>
      </c>
      <c r="AO68" s="55"/>
    </row>
    <row r="69" spans="1:41" ht="15" customHeight="1" thickBot="1" x14ac:dyDescent="0.35">
      <c r="A69" s="85"/>
      <c r="B69" s="45">
        <v>2</v>
      </c>
      <c r="C69" s="52" t="s">
        <v>208</v>
      </c>
      <c r="D69" s="1" t="s">
        <v>255</v>
      </c>
      <c r="E69" s="1" t="s">
        <v>256</v>
      </c>
      <c r="F69" s="1" t="s">
        <v>37</v>
      </c>
      <c r="G69" s="1" t="s">
        <v>29</v>
      </c>
      <c r="H69" s="6" t="s">
        <v>29</v>
      </c>
      <c r="I69" s="30">
        <v>0.71</v>
      </c>
      <c r="J69" s="23">
        <v>0.55000000000000004</v>
      </c>
      <c r="K69" s="24" t="s">
        <v>30</v>
      </c>
      <c r="L69" s="24" t="s">
        <v>30</v>
      </c>
      <c r="M69" s="24" t="s">
        <v>30</v>
      </c>
      <c r="N69" s="24" t="s">
        <v>30</v>
      </c>
      <c r="O69" s="24" t="s">
        <v>30</v>
      </c>
      <c r="P69" s="24" t="s">
        <v>30</v>
      </c>
      <c r="Q69" s="23">
        <v>1</v>
      </c>
      <c r="R69" s="23">
        <v>0.7</v>
      </c>
      <c r="S69" s="23">
        <v>1</v>
      </c>
      <c r="T69" s="25">
        <v>0.81</v>
      </c>
      <c r="U69" s="23">
        <v>0.23</v>
      </c>
      <c r="V69" s="26">
        <v>0.78</v>
      </c>
      <c r="W69" s="27">
        <v>0.74</v>
      </c>
      <c r="X69" s="47">
        <v>0.75</v>
      </c>
      <c r="Y69" s="29">
        <f t="shared" si="27"/>
        <v>0.75</v>
      </c>
      <c r="Z69" s="29">
        <v>0.91110000000000002</v>
      </c>
      <c r="AA69" s="29"/>
      <c r="AB69" s="29" t="s">
        <v>122</v>
      </c>
      <c r="AC69" t="str">
        <f t="shared" si="28"/>
        <v>Pendiente</v>
      </c>
      <c r="AO69" s="55"/>
    </row>
    <row r="70" spans="1:41" ht="15" customHeight="1" thickBot="1" x14ac:dyDescent="0.35">
      <c r="A70" s="85"/>
      <c r="B70" s="45">
        <v>3</v>
      </c>
      <c r="C70" s="52" t="s">
        <v>294</v>
      </c>
      <c r="D70" s="1" t="s">
        <v>257</v>
      </c>
      <c r="E70" s="1" t="s">
        <v>258</v>
      </c>
      <c r="F70" s="1" t="s">
        <v>309</v>
      </c>
      <c r="G70" s="1" t="s">
        <v>29</v>
      </c>
      <c r="H70" s="6" t="s">
        <v>29</v>
      </c>
      <c r="I70" s="30">
        <v>0.71</v>
      </c>
      <c r="J70" s="23">
        <v>0.91</v>
      </c>
      <c r="K70" s="24" t="s">
        <v>30</v>
      </c>
      <c r="L70" s="24" t="s">
        <v>30</v>
      </c>
      <c r="M70" s="24" t="s">
        <v>30</v>
      </c>
      <c r="N70" s="24" t="s">
        <v>30</v>
      </c>
      <c r="O70" s="24" t="s">
        <v>30</v>
      </c>
      <c r="P70" s="24" t="s">
        <v>30</v>
      </c>
      <c r="Q70" s="23">
        <v>1</v>
      </c>
      <c r="R70" s="23">
        <v>0.87</v>
      </c>
      <c r="S70" s="23">
        <v>0.9</v>
      </c>
      <c r="T70" s="25">
        <v>0.88</v>
      </c>
      <c r="U70" s="23">
        <v>0.54</v>
      </c>
      <c r="V70" s="26">
        <v>0.78</v>
      </c>
      <c r="W70" s="27">
        <v>0.79</v>
      </c>
      <c r="X70" s="48">
        <v>0.84</v>
      </c>
      <c r="Y70" s="29">
        <f t="shared" si="27"/>
        <v>0.84</v>
      </c>
      <c r="Z70" s="29">
        <v>0.75560000000000005</v>
      </c>
      <c r="AA70" s="29">
        <v>0.92730000000000001</v>
      </c>
      <c r="AB70" s="29">
        <f t="shared" si="29"/>
        <v>0.8152600000000001</v>
      </c>
      <c r="AC70" t="str">
        <f t="shared" si="28"/>
        <v>Aprobada</v>
      </c>
      <c r="AO70" s="55"/>
    </row>
    <row r="71" spans="1:41" ht="15" customHeight="1" thickBot="1" x14ac:dyDescent="0.35">
      <c r="A71" s="85"/>
      <c r="B71" s="45">
        <v>4</v>
      </c>
      <c r="C71" s="52" t="s">
        <v>295</v>
      </c>
      <c r="D71" s="1" t="s">
        <v>259</v>
      </c>
      <c r="E71" s="1" t="s">
        <v>260</v>
      </c>
      <c r="F71" s="1" t="s">
        <v>310</v>
      </c>
      <c r="G71" s="1" t="s">
        <v>29</v>
      </c>
      <c r="H71" s="6" t="s">
        <v>29</v>
      </c>
      <c r="I71" s="30">
        <v>0.78</v>
      </c>
      <c r="J71" s="23">
        <v>0.91</v>
      </c>
      <c r="K71" s="24" t="s">
        <v>30</v>
      </c>
      <c r="L71" s="24" t="s">
        <v>30</v>
      </c>
      <c r="M71" s="24" t="s">
        <v>30</v>
      </c>
      <c r="N71" s="24" t="s">
        <v>30</v>
      </c>
      <c r="O71" s="24" t="s">
        <v>30</v>
      </c>
      <c r="P71" s="24" t="s">
        <v>30</v>
      </c>
      <c r="Q71" s="23">
        <v>1</v>
      </c>
      <c r="R71" s="23">
        <v>0.53</v>
      </c>
      <c r="S71" s="23">
        <v>1</v>
      </c>
      <c r="T71" s="25">
        <v>0.88</v>
      </c>
      <c r="U71" s="23">
        <v>0.38</v>
      </c>
      <c r="V71" s="26">
        <v>0.86</v>
      </c>
      <c r="W71" s="27">
        <v>0.82</v>
      </c>
      <c r="X71" s="47">
        <v>0.72</v>
      </c>
      <c r="Y71" s="29">
        <f t="shared" si="27"/>
        <v>0.72</v>
      </c>
      <c r="Z71" s="29"/>
      <c r="AA71" s="29">
        <v>0.95650000000000002</v>
      </c>
      <c r="AB71" s="29" t="s">
        <v>122</v>
      </c>
      <c r="AC71" t="str">
        <f t="shared" si="28"/>
        <v>Pendiente</v>
      </c>
      <c r="AO71" s="55"/>
    </row>
    <row r="72" spans="1:41" ht="15" customHeight="1" thickBot="1" x14ac:dyDescent="0.35">
      <c r="A72" s="85"/>
      <c r="B72" s="45">
        <v>5</v>
      </c>
      <c r="C72" s="52" t="s">
        <v>296</v>
      </c>
      <c r="D72" s="1" t="s">
        <v>261</v>
      </c>
      <c r="E72" s="1" t="s">
        <v>262</v>
      </c>
      <c r="F72" s="1" t="s">
        <v>311</v>
      </c>
      <c r="G72" s="1" t="s">
        <v>29</v>
      </c>
      <c r="H72" s="6" t="s">
        <v>29</v>
      </c>
      <c r="I72" s="30">
        <v>0.54</v>
      </c>
      <c r="J72" s="23">
        <v>1</v>
      </c>
      <c r="K72" s="24" t="s">
        <v>30</v>
      </c>
      <c r="L72" s="24" t="s">
        <v>30</v>
      </c>
      <c r="M72" s="24" t="s">
        <v>30</v>
      </c>
      <c r="N72" s="24" t="s">
        <v>30</v>
      </c>
      <c r="O72" s="24" t="s">
        <v>30</v>
      </c>
      <c r="P72" s="24" t="s">
        <v>30</v>
      </c>
      <c r="Q72" s="23">
        <v>1</v>
      </c>
      <c r="R72" s="23">
        <v>0.83</v>
      </c>
      <c r="S72" s="23">
        <v>1</v>
      </c>
      <c r="T72" s="25">
        <v>0.88</v>
      </c>
      <c r="U72" s="23">
        <v>0.38</v>
      </c>
      <c r="V72" s="26">
        <v>0.8</v>
      </c>
      <c r="W72" s="27">
        <v>0.79</v>
      </c>
      <c r="X72" s="48">
        <v>0.83</v>
      </c>
      <c r="Y72" s="29">
        <f t="shared" si="27"/>
        <v>0.83</v>
      </c>
      <c r="Z72" s="29">
        <v>0.75560000000000005</v>
      </c>
      <c r="AA72" s="29">
        <v>0.8</v>
      </c>
      <c r="AB72" s="29">
        <f t="shared" ref="AB72:AB75" si="30">+Y72*0.3+Z72*0.5+AA72*0.2</f>
        <v>0.78680000000000005</v>
      </c>
      <c r="AC72" t="str">
        <f t="shared" si="28"/>
        <v>Reprobada</v>
      </c>
      <c r="AO72" s="55"/>
    </row>
    <row r="73" spans="1:41" ht="15" hidden="1" customHeight="1" thickBot="1" x14ac:dyDescent="0.35">
      <c r="A73" s="85"/>
      <c r="B73" s="45">
        <v>6</v>
      </c>
      <c r="C73" s="52" t="s">
        <v>297</v>
      </c>
      <c r="D73" s="1" t="s">
        <v>263</v>
      </c>
      <c r="E73" s="1" t="s">
        <v>202</v>
      </c>
      <c r="F73" s="1" t="s">
        <v>309</v>
      </c>
      <c r="G73" s="1" t="s">
        <v>29</v>
      </c>
      <c r="H73" s="6" t="s">
        <v>29</v>
      </c>
      <c r="I73" s="30">
        <v>0.49</v>
      </c>
      <c r="J73" s="23">
        <v>0.64</v>
      </c>
      <c r="K73" s="24" t="s">
        <v>30</v>
      </c>
      <c r="L73" s="24" t="s">
        <v>30</v>
      </c>
      <c r="M73" s="24" t="s">
        <v>30</v>
      </c>
      <c r="N73" s="24" t="s">
        <v>30</v>
      </c>
      <c r="O73" s="24" t="s">
        <v>30</v>
      </c>
      <c r="P73" s="24" t="s">
        <v>30</v>
      </c>
      <c r="Q73" s="23">
        <v>1</v>
      </c>
      <c r="R73" s="23">
        <v>0.49</v>
      </c>
      <c r="S73" s="23">
        <v>1</v>
      </c>
      <c r="T73" s="25">
        <v>0.75</v>
      </c>
      <c r="U73" s="23">
        <v>0.08</v>
      </c>
      <c r="V73" s="26">
        <v>0.62</v>
      </c>
      <c r="W73" s="27">
        <v>0.64</v>
      </c>
      <c r="X73" s="47">
        <v>0.61</v>
      </c>
      <c r="Y73" s="29">
        <f t="shared" si="27"/>
        <v>0.61</v>
      </c>
      <c r="Z73" s="29">
        <v>0.82220000000000004</v>
      </c>
      <c r="AA73" s="29">
        <v>0.81820000000000004</v>
      </c>
      <c r="AB73" s="29">
        <f t="shared" si="30"/>
        <v>0.75774000000000008</v>
      </c>
      <c r="AC73" t="s">
        <v>492</v>
      </c>
      <c r="AO73" s="55"/>
    </row>
    <row r="74" spans="1:41" ht="15" customHeight="1" thickBot="1" x14ac:dyDescent="0.35">
      <c r="A74" s="85"/>
      <c r="B74" s="45">
        <v>7</v>
      </c>
      <c r="C74" s="52" t="s">
        <v>298</v>
      </c>
      <c r="D74" s="1" t="s">
        <v>264</v>
      </c>
      <c r="E74" s="1" t="s">
        <v>265</v>
      </c>
      <c r="F74" s="1" t="s">
        <v>312</v>
      </c>
      <c r="G74" s="1" t="s">
        <v>29</v>
      </c>
      <c r="H74" s="6" t="s">
        <v>29</v>
      </c>
      <c r="I74" s="30">
        <v>0.69</v>
      </c>
      <c r="J74" s="23">
        <v>0.91</v>
      </c>
      <c r="K74" s="24" t="s">
        <v>30</v>
      </c>
      <c r="L74" s="24" t="s">
        <v>30</v>
      </c>
      <c r="M74" s="24" t="s">
        <v>30</v>
      </c>
      <c r="N74" s="24" t="s">
        <v>30</v>
      </c>
      <c r="O74" s="24" t="s">
        <v>30</v>
      </c>
      <c r="P74" s="24" t="s">
        <v>30</v>
      </c>
      <c r="Q74" s="23">
        <v>1</v>
      </c>
      <c r="R74" s="23">
        <v>0.7</v>
      </c>
      <c r="S74" s="23">
        <v>0.73</v>
      </c>
      <c r="T74" s="25">
        <v>0.88</v>
      </c>
      <c r="U74" s="23">
        <v>0.77</v>
      </c>
      <c r="V74" s="26">
        <v>0.89</v>
      </c>
      <c r="W74" s="27">
        <v>0.84</v>
      </c>
      <c r="X74" s="48">
        <v>0.8</v>
      </c>
      <c r="Y74" s="29">
        <f t="shared" si="27"/>
        <v>0.8</v>
      </c>
      <c r="Z74" s="29">
        <v>0.8</v>
      </c>
      <c r="AA74" s="29">
        <v>0.91300000000000003</v>
      </c>
      <c r="AB74" s="29">
        <f t="shared" si="30"/>
        <v>0.8226</v>
      </c>
      <c r="AC74" t="str">
        <f t="shared" si="28"/>
        <v>Aprobada</v>
      </c>
      <c r="AO74" s="55"/>
    </row>
    <row r="75" spans="1:41" ht="15" customHeight="1" thickBot="1" x14ac:dyDescent="0.35">
      <c r="A75" s="85"/>
      <c r="B75" s="45">
        <v>8</v>
      </c>
      <c r="C75" s="52" t="s">
        <v>299</v>
      </c>
      <c r="D75" s="1" t="s">
        <v>70</v>
      </c>
      <c r="E75" s="1" t="s">
        <v>266</v>
      </c>
      <c r="F75" s="1" t="s">
        <v>313</v>
      </c>
      <c r="G75" s="1" t="s">
        <v>29</v>
      </c>
      <c r="H75" s="6" t="s">
        <v>29</v>
      </c>
      <c r="I75" s="30">
        <v>0.71</v>
      </c>
      <c r="J75" s="23">
        <v>0.64</v>
      </c>
      <c r="K75" s="24" t="s">
        <v>30</v>
      </c>
      <c r="L75" s="24" t="s">
        <v>30</v>
      </c>
      <c r="M75" s="24" t="s">
        <v>30</v>
      </c>
      <c r="N75" s="24" t="s">
        <v>30</v>
      </c>
      <c r="O75" s="24" t="s">
        <v>30</v>
      </c>
      <c r="P75" s="24" t="s">
        <v>30</v>
      </c>
      <c r="Q75" s="23">
        <v>1</v>
      </c>
      <c r="R75" s="23">
        <v>0.62</v>
      </c>
      <c r="S75" s="23">
        <v>0.8</v>
      </c>
      <c r="T75" s="25">
        <v>0.75</v>
      </c>
      <c r="U75" s="23">
        <v>0.15</v>
      </c>
      <c r="V75" s="26">
        <v>0.42</v>
      </c>
      <c r="W75" s="27">
        <v>0.54</v>
      </c>
      <c r="X75" s="47">
        <v>0.62</v>
      </c>
      <c r="Y75" s="29">
        <f t="shared" si="27"/>
        <v>0.62</v>
      </c>
      <c r="Z75" s="29">
        <v>0.8</v>
      </c>
      <c r="AA75" s="29">
        <v>0.87270000000000003</v>
      </c>
      <c r="AB75" s="29">
        <f t="shared" si="30"/>
        <v>0.7605400000000001</v>
      </c>
      <c r="AC75" t="str">
        <f t="shared" si="28"/>
        <v>Reprobada</v>
      </c>
      <c r="AO75" s="55"/>
    </row>
    <row r="76" spans="1:41" ht="15" customHeight="1" thickBot="1" x14ac:dyDescent="0.35">
      <c r="A76" s="85"/>
      <c r="B76" s="45">
        <v>9</v>
      </c>
      <c r="C76" s="52" t="s">
        <v>300</v>
      </c>
      <c r="D76" s="1" t="s">
        <v>177</v>
      </c>
      <c r="E76" s="1" t="s">
        <v>200</v>
      </c>
      <c r="F76" s="1" t="s">
        <v>314</v>
      </c>
      <c r="G76" s="1" t="s">
        <v>29</v>
      </c>
      <c r="H76" s="6" t="s">
        <v>29</v>
      </c>
      <c r="I76" s="30">
        <v>0.69</v>
      </c>
      <c r="J76" s="23">
        <v>1</v>
      </c>
      <c r="K76" s="24" t="s">
        <v>30</v>
      </c>
      <c r="L76" s="24" t="s">
        <v>30</v>
      </c>
      <c r="M76" s="24" t="s">
        <v>30</v>
      </c>
      <c r="N76" s="24" t="s">
        <v>30</v>
      </c>
      <c r="O76" s="24" t="s">
        <v>30</v>
      </c>
      <c r="P76" s="24" t="s">
        <v>30</v>
      </c>
      <c r="Q76" s="23">
        <v>1</v>
      </c>
      <c r="R76" s="23">
        <v>0.83</v>
      </c>
      <c r="S76" s="23">
        <v>1</v>
      </c>
      <c r="T76" s="25">
        <v>0.94</v>
      </c>
      <c r="U76" s="23">
        <v>0.61</v>
      </c>
      <c r="V76" s="26">
        <v>0.76</v>
      </c>
      <c r="W76" s="27">
        <v>0.83</v>
      </c>
      <c r="X76" s="48">
        <v>0.85</v>
      </c>
      <c r="Y76" s="29">
        <f t="shared" si="27"/>
        <v>0.85</v>
      </c>
      <c r="Z76" s="29"/>
      <c r="AA76" s="29">
        <v>0.93469999999999998</v>
      </c>
      <c r="AB76" s="29" t="s">
        <v>122</v>
      </c>
      <c r="AC76" t="str">
        <f t="shared" si="28"/>
        <v>Pendiente</v>
      </c>
      <c r="AO76" s="55"/>
    </row>
    <row r="77" spans="1:41" ht="15" customHeight="1" thickBot="1" x14ac:dyDescent="0.35">
      <c r="A77" s="85"/>
      <c r="B77" s="45">
        <v>10</v>
      </c>
      <c r="C77" s="52" t="s">
        <v>301</v>
      </c>
      <c r="D77" s="1" t="s">
        <v>177</v>
      </c>
      <c r="E77" s="1" t="s">
        <v>267</v>
      </c>
      <c r="F77" s="1" t="s">
        <v>315</v>
      </c>
      <c r="G77" s="1" t="s">
        <v>29</v>
      </c>
      <c r="H77" s="6" t="s">
        <v>29</v>
      </c>
      <c r="I77" s="30">
        <v>0.71</v>
      </c>
      <c r="J77" s="23">
        <v>0.82</v>
      </c>
      <c r="K77" s="24" t="s">
        <v>30</v>
      </c>
      <c r="L77" s="24" t="s">
        <v>30</v>
      </c>
      <c r="M77" s="24" t="s">
        <v>30</v>
      </c>
      <c r="N77" s="24" t="s">
        <v>30</v>
      </c>
      <c r="O77" s="24" t="s">
        <v>30</v>
      </c>
      <c r="P77" s="24" t="s">
        <v>30</v>
      </c>
      <c r="Q77" s="23">
        <v>1</v>
      </c>
      <c r="R77" s="23">
        <v>0.69</v>
      </c>
      <c r="S77" s="23">
        <v>0.91</v>
      </c>
      <c r="T77" s="25">
        <v>0.94</v>
      </c>
      <c r="U77" s="23">
        <v>0.38</v>
      </c>
      <c r="V77" s="26">
        <v>0.84</v>
      </c>
      <c r="W77" s="27">
        <v>0.81</v>
      </c>
      <c r="X77" s="47">
        <v>0.78</v>
      </c>
      <c r="Y77" s="29">
        <f t="shared" si="27"/>
        <v>0.78</v>
      </c>
      <c r="Z77" s="29">
        <v>0.86670000000000003</v>
      </c>
      <c r="AA77" s="29">
        <v>0.78180000000000005</v>
      </c>
      <c r="AB77" s="29">
        <f t="shared" ref="AB77:AB78" si="31">+Y77*0.3+Z77*0.5+AA77*0.2</f>
        <v>0.82371000000000005</v>
      </c>
      <c r="AC77" t="str">
        <f t="shared" si="28"/>
        <v>Aprobada</v>
      </c>
      <c r="AO77" s="55"/>
    </row>
    <row r="78" spans="1:41" ht="15" customHeight="1" thickBot="1" x14ac:dyDescent="0.35">
      <c r="A78" s="85"/>
      <c r="B78" s="45">
        <v>11</v>
      </c>
      <c r="C78" s="52" t="s">
        <v>212</v>
      </c>
      <c r="D78" s="1" t="s">
        <v>177</v>
      </c>
      <c r="E78" s="1" t="s">
        <v>172</v>
      </c>
      <c r="F78" s="1" t="s">
        <v>37</v>
      </c>
      <c r="G78" s="1" t="s">
        <v>29</v>
      </c>
      <c r="H78" s="6" t="s">
        <v>29</v>
      </c>
      <c r="I78" s="30">
        <v>0.66</v>
      </c>
      <c r="J78" s="23">
        <v>0.82</v>
      </c>
      <c r="K78" s="24" t="s">
        <v>30</v>
      </c>
      <c r="L78" s="24" t="s">
        <v>30</v>
      </c>
      <c r="M78" s="24" t="s">
        <v>30</v>
      </c>
      <c r="N78" s="24" t="s">
        <v>30</v>
      </c>
      <c r="O78" s="24" t="s">
        <v>30</v>
      </c>
      <c r="P78" s="24" t="s">
        <v>30</v>
      </c>
      <c r="Q78" s="23">
        <v>1</v>
      </c>
      <c r="R78" s="23">
        <v>0.75</v>
      </c>
      <c r="S78" s="23">
        <v>1</v>
      </c>
      <c r="T78" s="25">
        <v>0.88</v>
      </c>
      <c r="U78" s="23">
        <v>0.31</v>
      </c>
      <c r="V78" s="26">
        <v>0.69</v>
      </c>
      <c r="W78" s="27">
        <v>0.74</v>
      </c>
      <c r="X78" s="47">
        <v>0.77</v>
      </c>
      <c r="Y78" s="29">
        <f t="shared" si="27"/>
        <v>0.77</v>
      </c>
      <c r="Z78" s="29">
        <v>0.88890000000000002</v>
      </c>
      <c r="AA78" s="29">
        <v>0.85450000000000004</v>
      </c>
      <c r="AB78" s="29">
        <f t="shared" si="31"/>
        <v>0.84635000000000005</v>
      </c>
      <c r="AC78" t="str">
        <f t="shared" si="28"/>
        <v>Aprobada</v>
      </c>
      <c r="AO78" s="55"/>
    </row>
    <row r="79" spans="1:41" ht="15" customHeight="1" thickBot="1" x14ac:dyDescent="0.35">
      <c r="A79" s="85"/>
      <c r="B79" s="45">
        <v>12</v>
      </c>
      <c r="C79" s="52" t="s">
        <v>226</v>
      </c>
      <c r="D79" s="1" t="s">
        <v>268</v>
      </c>
      <c r="E79" s="1" t="s">
        <v>269</v>
      </c>
      <c r="F79" s="1" t="s">
        <v>37</v>
      </c>
      <c r="G79" s="1" t="s">
        <v>29</v>
      </c>
      <c r="H79" s="6" t="s">
        <v>29</v>
      </c>
      <c r="I79" s="30">
        <v>0.77</v>
      </c>
      <c r="J79" s="23">
        <v>0.73</v>
      </c>
      <c r="K79" s="24" t="s">
        <v>30</v>
      </c>
      <c r="L79" s="24" t="s">
        <v>30</v>
      </c>
      <c r="M79" s="24" t="s">
        <v>30</v>
      </c>
      <c r="N79" s="24" t="s">
        <v>30</v>
      </c>
      <c r="O79" s="24" t="s">
        <v>30</v>
      </c>
      <c r="P79" s="24" t="s">
        <v>30</v>
      </c>
      <c r="Q79" s="23">
        <v>1</v>
      </c>
      <c r="R79" s="23">
        <v>0.67</v>
      </c>
      <c r="S79" s="23">
        <v>0.82</v>
      </c>
      <c r="T79" s="25">
        <v>0.94</v>
      </c>
      <c r="U79" s="23">
        <v>0.38</v>
      </c>
      <c r="V79" s="26">
        <v>0.82</v>
      </c>
      <c r="W79" s="27">
        <v>0.79</v>
      </c>
      <c r="X79" s="47">
        <v>0.76</v>
      </c>
      <c r="Y79" s="29">
        <f t="shared" si="27"/>
        <v>0.76</v>
      </c>
      <c r="Z79" s="29"/>
      <c r="AA79" s="29"/>
      <c r="AB79" s="29" t="s">
        <v>122</v>
      </c>
      <c r="AC79" t="str">
        <f t="shared" si="28"/>
        <v>Pendiente</v>
      </c>
      <c r="AO79" s="55"/>
    </row>
    <row r="80" spans="1:41" ht="15" customHeight="1" thickBot="1" x14ac:dyDescent="0.35">
      <c r="A80" s="85"/>
      <c r="B80" s="45">
        <v>13</v>
      </c>
      <c r="C80" s="52" t="s">
        <v>302</v>
      </c>
      <c r="D80" s="1" t="s">
        <v>270</v>
      </c>
      <c r="E80" s="1" t="s">
        <v>271</v>
      </c>
      <c r="F80" s="1" t="s">
        <v>316</v>
      </c>
      <c r="G80" s="1" t="s">
        <v>29</v>
      </c>
      <c r="H80" s="6" t="s">
        <v>29</v>
      </c>
      <c r="I80" s="30">
        <v>0.82</v>
      </c>
      <c r="J80" s="23">
        <v>0.82</v>
      </c>
      <c r="K80" s="24" t="s">
        <v>30</v>
      </c>
      <c r="L80" s="24" t="s">
        <v>30</v>
      </c>
      <c r="M80" s="24" t="s">
        <v>30</v>
      </c>
      <c r="N80" s="24" t="s">
        <v>30</v>
      </c>
      <c r="O80" s="24" t="s">
        <v>30</v>
      </c>
      <c r="P80" s="24" t="s">
        <v>30</v>
      </c>
      <c r="Q80" s="23">
        <v>1</v>
      </c>
      <c r="R80" s="23">
        <v>0.49</v>
      </c>
      <c r="S80" s="23">
        <v>0.55000000000000004</v>
      </c>
      <c r="T80" s="25">
        <v>0.81</v>
      </c>
      <c r="U80" s="23">
        <v>0.61</v>
      </c>
      <c r="V80" s="26">
        <v>0.76</v>
      </c>
      <c r="W80" s="27">
        <v>0.72</v>
      </c>
      <c r="X80" s="47">
        <v>0.66</v>
      </c>
      <c r="Y80" s="29">
        <f t="shared" si="27"/>
        <v>0.66</v>
      </c>
      <c r="Z80" s="29">
        <v>0.88890000000000002</v>
      </c>
      <c r="AA80" s="29">
        <v>0.90910000000000002</v>
      </c>
      <c r="AB80" s="29">
        <f t="shared" ref="AB80" si="32">+Y80*0.3+Z80*0.5+AA80*0.2</f>
        <v>0.82426999999999995</v>
      </c>
      <c r="AC80" t="str">
        <f t="shared" si="28"/>
        <v>Aprobada</v>
      </c>
      <c r="AO80" s="55"/>
    </row>
    <row r="81" spans="1:41" ht="15" customHeight="1" thickBot="1" x14ac:dyDescent="0.35">
      <c r="A81" s="85"/>
      <c r="B81" s="45">
        <v>14</v>
      </c>
      <c r="C81" s="52" t="s">
        <v>224</v>
      </c>
      <c r="D81" s="1" t="s">
        <v>272</v>
      </c>
      <c r="E81" s="1" t="s">
        <v>273</v>
      </c>
      <c r="F81" s="1" t="s">
        <v>37</v>
      </c>
      <c r="G81" s="1" t="s">
        <v>29</v>
      </c>
      <c r="H81" s="6" t="s">
        <v>29</v>
      </c>
      <c r="I81" s="30">
        <v>0.75</v>
      </c>
      <c r="J81" s="23">
        <v>0.82</v>
      </c>
      <c r="K81" s="24" t="s">
        <v>30</v>
      </c>
      <c r="L81" s="24" t="s">
        <v>30</v>
      </c>
      <c r="M81" s="24" t="s">
        <v>30</v>
      </c>
      <c r="N81" s="24" t="s">
        <v>30</v>
      </c>
      <c r="O81" s="24" t="s">
        <v>30</v>
      </c>
      <c r="P81" s="24" t="s">
        <v>30</v>
      </c>
      <c r="Q81" s="23">
        <v>1</v>
      </c>
      <c r="R81" s="23">
        <v>0.78</v>
      </c>
      <c r="S81" s="23">
        <v>0.91</v>
      </c>
      <c r="T81" s="25">
        <v>1</v>
      </c>
      <c r="U81" s="23">
        <v>0.53</v>
      </c>
      <c r="V81" s="26">
        <v>0.87</v>
      </c>
      <c r="W81" s="27">
        <v>0.86</v>
      </c>
      <c r="X81" s="48">
        <v>0.84</v>
      </c>
      <c r="Y81" s="29">
        <f t="shared" si="27"/>
        <v>0.84</v>
      </c>
      <c r="Z81" s="29"/>
      <c r="AA81" s="29"/>
      <c r="AB81" s="29" t="s">
        <v>122</v>
      </c>
      <c r="AC81" t="str">
        <f t="shared" si="28"/>
        <v>Pendiente</v>
      </c>
      <c r="AO81" s="55"/>
    </row>
    <row r="82" spans="1:41" ht="15" customHeight="1" thickBot="1" x14ac:dyDescent="0.35">
      <c r="A82" s="85"/>
      <c r="B82" s="45">
        <v>15</v>
      </c>
      <c r="C82" s="52" t="s">
        <v>303</v>
      </c>
      <c r="D82" s="1" t="s">
        <v>246</v>
      </c>
      <c r="E82" s="1" t="s">
        <v>274</v>
      </c>
      <c r="F82" s="1" t="s">
        <v>317</v>
      </c>
      <c r="G82" s="1" t="s">
        <v>29</v>
      </c>
      <c r="H82" s="6" t="s">
        <v>29</v>
      </c>
      <c r="I82" s="30">
        <v>0.77</v>
      </c>
      <c r="J82" s="23">
        <v>0.91</v>
      </c>
      <c r="K82" s="24" t="s">
        <v>30</v>
      </c>
      <c r="L82" s="24" t="s">
        <v>30</v>
      </c>
      <c r="M82" s="24" t="s">
        <v>30</v>
      </c>
      <c r="N82" s="24" t="s">
        <v>30</v>
      </c>
      <c r="O82" s="24" t="s">
        <v>30</v>
      </c>
      <c r="P82" s="24" t="s">
        <v>30</v>
      </c>
      <c r="Q82" s="23">
        <v>1</v>
      </c>
      <c r="R82" s="23">
        <v>0.74</v>
      </c>
      <c r="S82" s="23">
        <v>1</v>
      </c>
      <c r="T82" s="25">
        <v>0.94</v>
      </c>
      <c r="U82" s="23">
        <v>0.54</v>
      </c>
      <c r="V82" s="26">
        <v>0.8</v>
      </c>
      <c r="W82" s="27">
        <v>0.83</v>
      </c>
      <c r="X82" s="48">
        <v>0.81</v>
      </c>
      <c r="Y82" s="29">
        <f t="shared" si="27"/>
        <v>0.81</v>
      </c>
      <c r="Z82" s="29">
        <v>0.84440000000000004</v>
      </c>
      <c r="AA82" s="29">
        <v>0.85450000000000004</v>
      </c>
      <c r="AB82" s="29">
        <f t="shared" ref="AB82:AB122" si="33">+Y82*0.3+Z82*0.5+AA82*0.2</f>
        <v>0.83610000000000007</v>
      </c>
      <c r="AC82" t="str">
        <f t="shared" si="28"/>
        <v>Aprobada</v>
      </c>
      <c r="AO82" s="55"/>
    </row>
    <row r="83" spans="1:41" ht="15" customHeight="1" thickBot="1" x14ac:dyDescent="0.35">
      <c r="A83" s="85"/>
      <c r="B83" s="45">
        <v>16</v>
      </c>
      <c r="C83" s="52" t="s">
        <v>304</v>
      </c>
      <c r="D83" s="1" t="s">
        <v>203</v>
      </c>
      <c r="E83" s="1" t="s">
        <v>275</v>
      </c>
      <c r="F83" s="1" t="s">
        <v>318</v>
      </c>
      <c r="G83" s="1" t="s">
        <v>29</v>
      </c>
      <c r="H83" s="6" t="s">
        <v>29</v>
      </c>
      <c r="I83" s="30">
        <v>0.49</v>
      </c>
      <c r="J83" s="23">
        <v>0.64</v>
      </c>
      <c r="K83" s="24" t="s">
        <v>30</v>
      </c>
      <c r="L83" s="24" t="s">
        <v>30</v>
      </c>
      <c r="M83" s="24" t="s">
        <v>30</v>
      </c>
      <c r="N83" s="24" t="s">
        <v>30</v>
      </c>
      <c r="O83" s="24" t="s">
        <v>30</v>
      </c>
      <c r="P83" s="24" t="s">
        <v>30</v>
      </c>
      <c r="Q83" s="23">
        <v>1</v>
      </c>
      <c r="R83" s="23">
        <v>0.83</v>
      </c>
      <c r="S83" s="23">
        <v>1</v>
      </c>
      <c r="T83" s="25">
        <v>0.88</v>
      </c>
      <c r="U83" s="23">
        <v>0.61</v>
      </c>
      <c r="V83" s="26">
        <v>0.8</v>
      </c>
      <c r="W83" s="27">
        <v>0.83</v>
      </c>
      <c r="X83" s="48">
        <v>0.83</v>
      </c>
      <c r="Y83" s="29">
        <f t="shared" si="27"/>
        <v>0.83</v>
      </c>
      <c r="Z83" s="29">
        <v>0.82220000000000004</v>
      </c>
      <c r="AA83" s="29">
        <v>0.8</v>
      </c>
      <c r="AB83" s="29">
        <f t="shared" si="33"/>
        <v>0.82010000000000005</v>
      </c>
      <c r="AC83" t="str">
        <f t="shared" si="28"/>
        <v>Aprobada</v>
      </c>
      <c r="AO83" s="55"/>
    </row>
    <row r="84" spans="1:41" ht="15" customHeight="1" thickBot="1" x14ac:dyDescent="0.35">
      <c r="A84" s="85"/>
      <c r="B84" s="45">
        <v>17</v>
      </c>
      <c r="C84" s="52" t="s">
        <v>305</v>
      </c>
      <c r="D84" s="1" t="s">
        <v>143</v>
      </c>
      <c r="E84" s="1" t="s">
        <v>172</v>
      </c>
      <c r="F84" s="1" t="s">
        <v>37</v>
      </c>
      <c r="G84" s="1" t="s">
        <v>29</v>
      </c>
      <c r="H84" s="6" t="s">
        <v>29</v>
      </c>
      <c r="I84" s="30">
        <v>0.69</v>
      </c>
      <c r="J84" s="23">
        <v>0.82</v>
      </c>
      <c r="K84" s="24" t="s">
        <v>30</v>
      </c>
      <c r="L84" s="24" t="s">
        <v>30</v>
      </c>
      <c r="M84" s="24" t="s">
        <v>30</v>
      </c>
      <c r="N84" s="24" t="s">
        <v>30</v>
      </c>
      <c r="O84" s="24" t="s">
        <v>30</v>
      </c>
      <c r="P84" s="24" t="s">
        <v>30</v>
      </c>
      <c r="Q84" s="23">
        <v>1</v>
      </c>
      <c r="R84" s="23">
        <v>0.49</v>
      </c>
      <c r="S84" s="23">
        <v>1</v>
      </c>
      <c r="T84" s="25">
        <v>0.88</v>
      </c>
      <c r="U84" s="23">
        <v>0.54</v>
      </c>
      <c r="V84" s="26">
        <v>0.67</v>
      </c>
      <c r="W84" s="27">
        <v>0.76</v>
      </c>
      <c r="X84" s="47">
        <v>0.68</v>
      </c>
      <c r="Y84" s="29">
        <f t="shared" si="27"/>
        <v>0.68</v>
      </c>
      <c r="Z84" s="29">
        <v>0.88890000000000002</v>
      </c>
      <c r="AA84" s="29">
        <v>0.85450000000000004</v>
      </c>
      <c r="AB84" s="29">
        <f t="shared" si="33"/>
        <v>0.81935000000000002</v>
      </c>
      <c r="AC84" t="str">
        <f t="shared" si="28"/>
        <v>Aprobada</v>
      </c>
      <c r="AO84" s="55"/>
    </row>
    <row r="85" spans="1:41" ht="15" customHeight="1" thickBot="1" x14ac:dyDescent="0.35">
      <c r="A85" s="86"/>
      <c r="B85" s="45">
        <v>18</v>
      </c>
      <c r="C85" s="53" t="s">
        <v>306</v>
      </c>
      <c r="D85" s="74" t="s">
        <v>276</v>
      </c>
      <c r="E85" s="74" t="s">
        <v>277</v>
      </c>
      <c r="F85" s="1" t="s">
        <v>319</v>
      </c>
      <c r="G85" s="74" t="s">
        <v>29</v>
      </c>
      <c r="H85" s="75" t="s">
        <v>29</v>
      </c>
      <c r="I85" s="76">
        <v>0.8</v>
      </c>
      <c r="J85" s="77">
        <v>0.91</v>
      </c>
      <c r="K85" s="78" t="s">
        <v>30</v>
      </c>
      <c r="L85" s="78" t="s">
        <v>30</v>
      </c>
      <c r="M85" s="78" t="s">
        <v>30</v>
      </c>
      <c r="N85" s="78" t="s">
        <v>30</v>
      </c>
      <c r="O85" s="78" t="s">
        <v>30</v>
      </c>
      <c r="P85" s="78" t="s">
        <v>30</v>
      </c>
      <c r="Q85" s="77">
        <v>1</v>
      </c>
      <c r="R85" s="77">
        <v>0.73</v>
      </c>
      <c r="S85" s="77">
        <v>0.9</v>
      </c>
      <c r="T85" s="79">
        <v>1</v>
      </c>
      <c r="U85" s="77">
        <v>0.61</v>
      </c>
      <c r="V85" s="80">
        <v>1</v>
      </c>
      <c r="W85" s="81">
        <v>0.93</v>
      </c>
      <c r="X85" s="82">
        <v>0.85</v>
      </c>
      <c r="Y85" s="29">
        <f t="shared" si="27"/>
        <v>0.85</v>
      </c>
      <c r="Z85" s="29">
        <v>0.86670000000000003</v>
      </c>
      <c r="AA85" s="29">
        <v>0.92730000000000001</v>
      </c>
      <c r="AB85" s="29">
        <f t="shared" si="33"/>
        <v>0.87380999999999998</v>
      </c>
      <c r="AC85" t="str">
        <f t="shared" si="28"/>
        <v>Aprobada</v>
      </c>
      <c r="AO85" s="55"/>
    </row>
    <row r="86" spans="1:41" ht="15" customHeight="1" thickBot="1" x14ac:dyDescent="0.35">
      <c r="A86" s="84" t="s">
        <v>493</v>
      </c>
      <c r="B86" s="45">
        <v>14</v>
      </c>
      <c r="C86" s="83" t="s">
        <v>333</v>
      </c>
      <c r="D86" s="74" t="s">
        <v>334</v>
      </c>
      <c r="E86" s="74" t="s">
        <v>354</v>
      </c>
      <c r="F86" s="1" t="s">
        <v>376</v>
      </c>
      <c r="G86" s="74" t="s">
        <v>29</v>
      </c>
      <c r="H86" s="75" t="s">
        <v>29</v>
      </c>
      <c r="I86" s="76">
        <v>0.69</v>
      </c>
      <c r="J86" s="77">
        <v>0.82</v>
      </c>
      <c r="K86" s="78" t="s">
        <v>30</v>
      </c>
      <c r="L86" s="78" t="s">
        <v>30</v>
      </c>
      <c r="M86" s="78" t="s">
        <v>30</v>
      </c>
      <c r="N86" s="78" t="s">
        <v>30</v>
      </c>
      <c r="O86" s="78" t="s">
        <v>30</v>
      </c>
      <c r="P86" s="78" t="s">
        <v>30</v>
      </c>
      <c r="Q86" s="77">
        <v>1</v>
      </c>
      <c r="R86" s="77">
        <v>0.7</v>
      </c>
      <c r="S86" s="77">
        <v>0.82</v>
      </c>
      <c r="T86" s="79">
        <v>0.81</v>
      </c>
      <c r="U86" s="77">
        <v>0.85</v>
      </c>
      <c r="V86" s="80">
        <v>0.69</v>
      </c>
      <c r="W86" s="81">
        <v>0.77</v>
      </c>
      <c r="X86" s="82">
        <v>0.77</v>
      </c>
      <c r="Y86" s="29">
        <f t="shared" si="27"/>
        <v>0.77</v>
      </c>
      <c r="Z86" s="29">
        <v>0.84440000000000004</v>
      </c>
      <c r="AA86" s="29">
        <v>0.85450000000000004</v>
      </c>
      <c r="AB86" s="29">
        <f t="shared" si="33"/>
        <v>0.82410000000000005</v>
      </c>
      <c r="AC86" t="str">
        <f t="shared" si="28"/>
        <v>Aprobada</v>
      </c>
      <c r="AO86" s="55"/>
    </row>
    <row r="87" spans="1:41" ht="15" customHeight="1" thickBot="1" x14ac:dyDescent="0.35">
      <c r="A87" s="85"/>
      <c r="B87" s="45">
        <v>4</v>
      </c>
      <c r="C87" s="83" t="s">
        <v>335</v>
      </c>
      <c r="D87" s="74" t="s">
        <v>355</v>
      </c>
      <c r="E87" s="74" t="s">
        <v>356</v>
      </c>
      <c r="F87" s="1" t="s">
        <v>381</v>
      </c>
      <c r="G87" s="74" t="s">
        <v>29</v>
      </c>
      <c r="H87" s="75" t="s">
        <v>29</v>
      </c>
      <c r="I87" s="76">
        <v>0.66</v>
      </c>
      <c r="J87" s="77">
        <v>0.64</v>
      </c>
      <c r="K87" s="78" t="s">
        <v>30</v>
      </c>
      <c r="L87" s="78" t="s">
        <v>30</v>
      </c>
      <c r="M87" s="78" t="s">
        <v>30</v>
      </c>
      <c r="N87" s="78" t="s">
        <v>30</v>
      </c>
      <c r="O87" s="78" t="s">
        <v>30</v>
      </c>
      <c r="P87" s="78" t="s">
        <v>30</v>
      </c>
      <c r="Q87" s="77">
        <v>1</v>
      </c>
      <c r="R87" s="77">
        <v>0.93</v>
      </c>
      <c r="S87" s="77">
        <v>1</v>
      </c>
      <c r="T87" s="79">
        <v>0.81</v>
      </c>
      <c r="U87" s="77">
        <v>0.77</v>
      </c>
      <c r="V87" s="80">
        <v>0.98</v>
      </c>
      <c r="W87" s="81">
        <v>0.9</v>
      </c>
      <c r="X87" s="82">
        <v>0.91</v>
      </c>
      <c r="Y87" s="29">
        <f t="shared" si="27"/>
        <v>0.91</v>
      </c>
      <c r="Z87" s="29">
        <v>0.86870000000000003</v>
      </c>
      <c r="AA87" s="29">
        <v>0.81819999999999993</v>
      </c>
      <c r="AB87" s="29">
        <f t="shared" si="33"/>
        <v>0.87099000000000004</v>
      </c>
      <c r="AC87" t="str">
        <f t="shared" si="28"/>
        <v>Aprobada</v>
      </c>
      <c r="AO87" s="55"/>
    </row>
    <row r="88" spans="1:41" ht="15" customHeight="1" thickBot="1" x14ac:dyDescent="0.35">
      <c r="A88" s="85"/>
      <c r="B88" s="45">
        <v>16</v>
      </c>
      <c r="C88" s="83" t="s">
        <v>347</v>
      </c>
      <c r="D88" s="74" t="s">
        <v>253</v>
      </c>
      <c r="E88" s="74" t="s">
        <v>357</v>
      </c>
      <c r="F88" s="1" t="s">
        <v>326</v>
      </c>
      <c r="G88" s="74" t="s">
        <v>29</v>
      </c>
      <c r="H88" s="75" t="s">
        <v>29</v>
      </c>
      <c r="I88" s="76">
        <v>0.68</v>
      </c>
      <c r="J88" s="77">
        <v>0.73</v>
      </c>
      <c r="K88" s="78" t="s">
        <v>30</v>
      </c>
      <c r="L88" s="78" t="s">
        <v>30</v>
      </c>
      <c r="M88" s="78" t="s">
        <v>30</v>
      </c>
      <c r="N88" s="78" t="s">
        <v>30</v>
      </c>
      <c r="O88" s="78" t="s">
        <v>30</v>
      </c>
      <c r="P88" s="78" t="s">
        <v>30</v>
      </c>
      <c r="Q88" s="77">
        <v>1</v>
      </c>
      <c r="R88" s="77">
        <v>0.73</v>
      </c>
      <c r="S88" s="77">
        <v>0.91</v>
      </c>
      <c r="T88" s="79">
        <v>0.69</v>
      </c>
      <c r="U88" s="77">
        <v>0.54</v>
      </c>
      <c r="V88" s="80">
        <v>0.93</v>
      </c>
      <c r="W88" s="81">
        <v>0.8</v>
      </c>
      <c r="X88" s="82">
        <v>0.79</v>
      </c>
      <c r="Y88" s="29">
        <f t="shared" si="27"/>
        <v>0.79</v>
      </c>
      <c r="Z88" s="29"/>
      <c r="AA88" s="29"/>
      <c r="AB88" s="29" t="s">
        <v>122</v>
      </c>
      <c r="AC88" t="str">
        <f t="shared" si="28"/>
        <v>Pendiente</v>
      </c>
      <c r="AO88" s="55"/>
    </row>
    <row r="89" spans="1:41" ht="15" customHeight="1" thickBot="1" x14ac:dyDescent="0.35">
      <c r="A89" s="85"/>
      <c r="B89" s="45">
        <v>13</v>
      </c>
      <c r="C89" s="83" t="s">
        <v>336</v>
      </c>
      <c r="D89" s="74" t="s">
        <v>349</v>
      </c>
      <c r="E89" s="74" t="s">
        <v>358</v>
      </c>
      <c r="F89" s="1" t="s">
        <v>379</v>
      </c>
      <c r="G89" s="74" t="s">
        <v>29</v>
      </c>
      <c r="H89" s="75" t="s">
        <v>29</v>
      </c>
      <c r="I89" s="76">
        <v>0.2</v>
      </c>
      <c r="J89" s="77">
        <v>0.91</v>
      </c>
      <c r="K89" s="78" t="s">
        <v>30</v>
      </c>
      <c r="L89" s="78" t="s">
        <v>30</v>
      </c>
      <c r="M89" s="78" t="s">
        <v>30</v>
      </c>
      <c r="N89" s="78" t="s">
        <v>30</v>
      </c>
      <c r="O89" s="78" t="s">
        <v>30</v>
      </c>
      <c r="P89" s="78" t="s">
        <v>30</v>
      </c>
      <c r="Q89" s="77">
        <v>1</v>
      </c>
      <c r="R89" s="77">
        <v>0.59</v>
      </c>
      <c r="S89" s="77">
        <v>1</v>
      </c>
      <c r="T89" s="79">
        <v>0.81</v>
      </c>
      <c r="U89" s="77">
        <v>0.77</v>
      </c>
      <c r="V89" s="80">
        <v>0.86</v>
      </c>
      <c r="W89" s="81">
        <v>0.85</v>
      </c>
      <c r="X89" s="82">
        <v>0.75</v>
      </c>
      <c r="Y89" s="29">
        <f t="shared" si="27"/>
        <v>0.75</v>
      </c>
      <c r="Z89" s="29">
        <v>0.9556</v>
      </c>
      <c r="AA89" s="29">
        <v>0.8</v>
      </c>
      <c r="AB89" s="29">
        <f t="shared" si="33"/>
        <v>0.86280000000000001</v>
      </c>
      <c r="AC89" t="str">
        <f t="shared" si="28"/>
        <v>Aprobada</v>
      </c>
      <c r="AO89" s="55"/>
    </row>
    <row r="90" spans="1:41" ht="15" customHeight="1" thickBot="1" x14ac:dyDescent="0.35">
      <c r="A90" s="85"/>
      <c r="B90" s="45">
        <v>7</v>
      </c>
      <c r="C90" s="83" t="s">
        <v>337</v>
      </c>
      <c r="D90" s="74" t="s">
        <v>350</v>
      </c>
      <c r="E90" s="74" t="s">
        <v>359</v>
      </c>
      <c r="F90" s="1" t="s">
        <v>55</v>
      </c>
      <c r="G90" s="74" t="s">
        <v>29</v>
      </c>
      <c r="H90" s="75" t="s">
        <v>29</v>
      </c>
      <c r="I90" s="76">
        <v>0.75</v>
      </c>
      <c r="J90" s="77">
        <v>0.64</v>
      </c>
      <c r="K90" s="78" t="s">
        <v>30</v>
      </c>
      <c r="L90" s="78" t="s">
        <v>30</v>
      </c>
      <c r="M90" s="78" t="s">
        <v>30</v>
      </c>
      <c r="N90" s="78" t="s">
        <v>30</v>
      </c>
      <c r="O90" s="78" t="s">
        <v>30</v>
      </c>
      <c r="P90" s="78" t="s">
        <v>30</v>
      </c>
      <c r="Q90" s="77">
        <v>1</v>
      </c>
      <c r="R90" s="77">
        <v>0.9</v>
      </c>
      <c r="S90" s="77">
        <v>0.64</v>
      </c>
      <c r="T90" s="79">
        <v>0.75</v>
      </c>
      <c r="U90" s="77">
        <v>0.38</v>
      </c>
      <c r="V90" s="80">
        <v>0.78</v>
      </c>
      <c r="W90" s="81">
        <v>0.69</v>
      </c>
      <c r="X90" s="82">
        <v>0.81</v>
      </c>
      <c r="Y90" s="29">
        <f t="shared" si="27"/>
        <v>0.81</v>
      </c>
      <c r="Z90" s="29">
        <v>0.8</v>
      </c>
      <c r="AA90" s="29">
        <v>0.81819999999999993</v>
      </c>
      <c r="AB90" s="29">
        <f t="shared" si="33"/>
        <v>0.80664000000000002</v>
      </c>
      <c r="AC90" t="str">
        <f t="shared" si="28"/>
        <v>Aprobada</v>
      </c>
      <c r="AO90" s="55"/>
    </row>
    <row r="91" spans="1:41" ht="15" customHeight="1" thickBot="1" x14ac:dyDescent="0.35">
      <c r="A91" s="85"/>
      <c r="B91" s="45">
        <v>2</v>
      </c>
      <c r="C91" s="83" t="s">
        <v>351</v>
      </c>
      <c r="D91" s="74" t="s">
        <v>360</v>
      </c>
      <c r="E91" s="74" t="s">
        <v>361</v>
      </c>
      <c r="F91" s="1" t="s">
        <v>383</v>
      </c>
      <c r="G91" s="74" t="s">
        <v>29</v>
      </c>
      <c r="H91" s="75" t="s">
        <v>29</v>
      </c>
      <c r="I91" s="76">
        <v>0.75</v>
      </c>
      <c r="J91" s="77">
        <v>1</v>
      </c>
      <c r="K91" s="78" t="s">
        <v>30</v>
      </c>
      <c r="L91" s="78" t="s">
        <v>30</v>
      </c>
      <c r="M91" s="78" t="s">
        <v>30</v>
      </c>
      <c r="N91" s="78" t="s">
        <v>30</v>
      </c>
      <c r="O91" s="78" t="s">
        <v>30</v>
      </c>
      <c r="P91" s="78" t="s">
        <v>30</v>
      </c>
      <c r="Q91" s="77">
        <v>1</v>
      </c>
      <c r="R91" s="77">
        <v>0.9</v>
      </c>
      <c r="S91" s="77">
        <v>0.82</v>
      </c>
      <c r="T91" s="79">
        <v>0.81</v>
      </c>
      <c r="U91" s="77">
        <v>0.85</v>
      </c>
      <c r="V91" s="80">
        <v>1</v>
      </c>
      <c r="W91" s="81">
        <v>0.89</v>
      </c>
      <c r="X91" s="82">
        <v>0.91</v>
      </c>
      <c r="Y91" s="29">
        <f t="shared" si="27"/>
        <v>0.91</v>
      </c>
      <c r="Z91" s="29">
        <v>0.84439999999999993</v>
      </c>
      <c r="AA91" s="29">
        <v>0.96360000000000001</v>
      </c>
      <c r="AB91" s="29">
        <f t="shared" si="33"/>
        <v>0.88792000000000004</v>
      </c>
      <c r="AC91" t="str">
        <f t="shared" si="28"/>
        <v>Aprobada</v>
      </c>
      <c r="AO91" s="55"/>
    </row>
    <row r="92" spans="1:41" ht="15" customHeight="1" thickBot="1" x14ac:dyDescent="0.35">
      <c r="A92" s="85"/>
      <c r="B92" s="45">
        <v>8</v>
      </c>
      <c r="C92" s="83" t="s">
        <v>338</v>
      </c>
      <c r="D92" s="74" t="s">
        <v>362</v>
      </c>
      <c r="E92" s="74" t="s">
        <v>269</v>
      </c>
      <c r="F92" s="1" t="s">
        <v>384</v>
      </c>
      <c r="G92" s="74" t="s">
        <v>29</v>
      </c>
      <c r="H92" s="75" t="s">
        <v>29</v>
      </c>
      <c r="I92" s="76">
        <v>0.69</v>
      </c>
      <c r="J92" s="77">
        <v>0.73</v>
      </c>
      <c r="K92" s="78" t="s">
        <v>30</v>
      </c>
      <c r="L92" s="78" t="s">
        <v>30</v>
      </c>
      <c r="M92" s="78" t="s">
        <v>30</v>
      </c>
      <c r="N92" s="78" t="s">
        <v>30</v>
      </c>
      <c r="O92" s="78" t="s">
        <v>30</v>
      </c>
      <c r="P92" s="78" t="s">
        <v>30</v>
      </c>
      <c r="Q92" s="77">
        <v>1</v>
      </c>
      <c r="R92" s="77">
        <v>0.87</v>
      </c>
      <c r="S92" s="77">
        <v>1</v>
      </c>
      <c r="T92" s="79">
        <v>1</v>
      </c>
      <c r="U92" s="77">
        <v>0.77</v>
      </c>
      <c r="V92" s="80">
        <v>0.86</v>
      </c>
      <c r="W92" s="81">
        <v>0.91</v>
      </c>
      <c r="X92" s="82">
        <v>0.89</v>
      </c>
      <c r="Y92" s="29">
        <f t="shared" si="27"/>
        <v>0.89</v>
      </c>
      <c r="Z92" s="29">
        <v>0.86670000000000003</v>
      </c>
      <c r="AA92" s="29">
        <v>0.87269999999999992</v>
      </c>
      <c r="AB92" s="29">
        <f t="shared" si="33"/>
        <v>0.87489000000000006</v>
      </c>
      <c r="AC92" t="str">
        <f t="shared" si="28"/>
        <v>Aprobada</v>
      </c>
      <c r="AO92" s="54"/>
    </row>
    <row r="93" spans="1:41" ht="15" customHeight="1" thickBot="1" x14ac:dyDescent="0.35">
      <c r="A93" s="85"/>
      <c r="B93" s="45">
        <v>3</v>
      </c>
      <c r="C93" s="83" t="s">
        <v>375</v>
      </c>
      <c r="D93" s="74" t="s">
        <v>363</v>
      </c>
      <c r="E93" s="74" t="s">
        <v>364</v>
      </c>
      <c r="F93" s="1" t="s">
        <v>382</v>
      </c>
      <c r="G93" s="74" t="s">
        <v>29</v>
      </c>
      <c r="H93" s="75" t="s">
        <v>29</v>
      </c>
      <c r="I93" s="76">
        <v>0.69</v>
      </c>
      <c r="J93" s="77">
        <v>0.82</v>
      </c>
      <c r="K93" s="78" t="s">
        <v>30</v>
      </c>
      <c r="L93" s="78" t="s">
        <v>30</v>
      </c>
      <c r="M93" s="78" t="s">
        <v>30</v>
      </c>
      <c r="N93" s="78" t="s">
        <v>30</v>
      </c>
      <c r="O93" s="78" t="s">
        <v>30</v>
      </c>
      <c r="P93" s="78" t="s">
        <v>30</v>
      </c>
      <c r="Q93" s="77">
        <v>1</v>
      </c>
      <c r="R93" s="77">
        <v>0.86</v>
      </c>
      <c r="S93" s="77">
        <v>0.91</v>
      </c>
      <c r="T93" s="79">
        <v>0.81</v>
      </c>
      <c r="U93" s="77">
        <v>0.38</v>
      </c>
      <c r="V93" s="80">
        <v>0.82</v>
      </c>
      <c r="W93" s="81">
        <v>0.76</v>
      </c>
      <c r="X93" s="82">
        <v>0.82</v>
      </c>
      <c r="Y93" s="29">
        <f t="shared" si="27"/>
        <v>0.82</v>
      </c>
      <c r="Z93" s="29"/>
      <c r="AA93" s="29"/>
      <c r="AB93" s="29" t="s">
        <v>122</v>
      </c>
      <c r="AC93" t="str">
        <f t="shared" si="28"/>
        <v>Pendiente</v>
      </c>
    </row>
    <row r="94" spans="1:41" ht="15" hidden="1" customHeight="1" thickBot="1" x14ac:dyDescent="0.35">
      <c r="A94" s="85"/>
      <c r="B94" s="45">
        <v>5</v>
      </c>
      <c r="C94" s="83" t="s">
        <v>374</v>
      </c>
      <c r="D94" s="74" t="s">
        <v>217</v>
      </c>
      <c r="E94" s="74" t="s">
        <v>365</v>
      </c>
      <c r="F94" s="1" t="s">
        <v>471</v>
      </c>
      <c r="G94" s="74" t="s">
        <v>29</v>
      </c>
      <c r="H94" s="75" t="s">
        <v>29</v>
      </c>
      <c r="I94" s="76">
        <v>0.69</v>
      </c>
      <c r="J94" s="77">
        <v>0.45</v>
      </c>
      <c r="K94" s="78" t="s">
        <v>30</v>
      </c>
      <c r="L94" s="78" t="s">
        <v>30</v>
      </c>
      <c r="M94" s="78" t="s">
        <v>30</v>
      </c>
      <c r="N94" s="78" t="s">
        <v>30</v>
      </c>
      <c r="O94" s="78" t="s">
        <v>30</v>
      </c>
      <c r="P94" s="78" t="s">
        <v>30</v>
      </c>
      <c r="Q94" s="77">
        <v>1</v>
      </c>
      <c r="R94" s="77">
        <v>0.6</v>
      </c>
      <c r="S94" s="77">
        <v>0.91</v>
      </c>
      <c r="T94" s="79">
        <v>0.75</v>
      </c>
      <c r="U94" s="77">
        <v>0.62</v>
      </c>
      <c r="V94" s="80">
        <v>0.62</v>
      </c>
      <c r="W94" s="81">
        <v>0.7</v>
      </c>
      <c r="X94" s="82">
        <v>0.68</v>
      </c>
      <c r="Y94" s="29">
        <f t="shared" si="27"/>
        <v>0.68</v>
      </c>
      <c r="Z94" s="29">
        <v>0.8</v>
      </c>
      <c r="AA94" s="29">
        <v>0.85</v>
      </c>
      <c r="AB94" s="29">
        <f t="shared" ref="AB94" si="34">+Y94*0.3+Z94*0.5+AA94*0.2</f>
        <v>0.77400000000000013</v>
      </c>
      <c r="AC94" t="s">
        <v>491</v>
      </c>
    </row>
    <row r="95" spans="1:41" ht="15" customHeight="1" thickBot="1" x14ac:dyDescent="0.35">
      <c r="A95" s="85"/>
      <c r="B95" s="45">
        <v>10</v>
      </c>
      <c r="C95" s="83" t="s">
        <v>339</v>
      </c>
      <c r="D95" s="74" t="s">
        <v>340</v>
      </c>
      <c r="E95" s="74" t="s">
        <v>341</v>
      </c>
      <c r="F95" s="1" t="s">
        <v>377</v>
      </c>
      <c r="G95" s="74" t="s">
        <v>29</v>
      </c>
      <c r="H95" s="75" t="s">
        <v>29</v>
      </c>
      <c r="I95" s="76">
        <v>0.8</v>
      </c>
      <c r="J95" s="77">
        <v>1</v>
      </c>
      <c r="K95" s="78" t="s">
        <v>30</v>
      </c>
      <c r="L95" s="78" t="s">
        <v>30</v>
      </c>
      <c r="M95" s="78" t="s">
        <v>30</v>
      </c>
      <c r="N95" s="78" t="s">
        <v>30</v>
      </c>
      <c r="O95" s="78" t="s">
        <v>30</v>
      </c>
      <c r="P95" s="78" t="s">
        <v>30</v>
      </c>
      <c r="Q95" s="77">
        <v>1</v>
      </c>
      <c r="R95" s="77">
        <v>0.87</v>
      </c>
      <c r="S95" s="77">
        <v>1</v>
      </c>
      <c r="T95" s="79">
        <v>0.81</v>
      </c>
      <c r="U95" s="77">
        <v>0.92</v>
      </c>
      <c r="V95" s="80">
        <v>1</v>
      </c>
      <c r="W95" s="81">
        <v>0.93</v>
      </c>
      <c r="X95" s="82">
        <v>0.91</v>
      </c>
      <c r="Y95" s="29">
        <f t="shared" si="27"/>
        <v>0.91</v>
      </c>
      <c r="Z95" s="29">
        <v>0.8</v>
      </c>
      <c r="AA95" s="29">
        <v>0.92730000000000001</v>
      </c>
      <c r="AB95" s="29">
        <f t="shared" si="33"/>
        <v>0.85846</v>
      </c>
      <c r="AC95" t="str">
        <f t="shared" si="28"/>
        <v>Aprobada</v>
      </c>
    </row>
    <row r="96" spans="1:41" ht="15" customHeight="1" thickBot="1" x14ac:dyDescent="0.35">
      <c r="A96" s="85"/>
      <c r="B96" s="45">
        <v>9</v>
      </c>
      <c r="C96" s="83" t="s">
        <v>352</v>
      </c>
      <c r="D96" s="74" t="s">
        <v>353</v>
      </c>
      <c r="E96" s="74" t="s">
        <v>366</v>
      </c>
      <c r="F96" s="1" t="s">
        <v>385</v>
      </c>
      <c r="G96" s="74" t="s">
        <v>29</v>
      </c>
      <c r="H96" s="75" t="s">
        <v>29</v>
      </c>
      <c r="I96" s="76">
        <v>0.75</v>
      </c>
      <c r="J96" s="77">
        <v>0.91</v>
      </c>
      <c r="K96" s="78" t="s">
        <v>30</v>
      </c>
      <c r="L96" s="78" t="s">
        <v>30</v>
      </c>
      <c r="M96" s="78" t="s">
        <v>30</v>
      </c>
      <c r="N96" s="78" t="s">
        <v>30</v>
      </c>
      <c r="O96" s="78" t="s">
        <v>30</v>
      </c>
      <c r="P96" s="78" t="s">
        <v>30</v>
      </c>
      <c r="Q96" s="77">
        <v>1</v>
      </c>
      <c r="R96" s="77">
        <v>0.94</v>
      </c>
      <c r="S96" s="77">
        <v>1</v>
      </c>
      <c r="T96" s="79">
        <v>0.81</v>
      </c>
      <c r="U96" s="77">
        <v>0.77</v>
      </c>
      <c r="V96" s="80">
        <v>0.87</v>
      </c>
      <c r="W96" s="81">
        <v>0.86</v>
      </c>
      <c r="X96" s="82">
        <v>0.9</v>
      </c>
      <c r="Y96" s="29">
        <f t="shared" si="27"/>
        <v>0.9</v>
      </c>
      <c r="Z96" s="29">
        <v>0.84439999999999993</v>
      </c>
      <c r="AA96" s="29">
        <v>0.76359999999999995</v>
      </c>
      <c r="AB96" s="29">
        <f t="shared" si="33"/>
        <v>0.84491999999999989</v>
      </c>
      <c r="AC96" t="str">
        <f t="shared" si="28"/>
        <v>Aprobada</v>
      </c>
    </row>
    <row r="97" spans="1:29" ht="15" customHeight="1" thickBot="1" x14ac:dyDescent="0.35">
      <c r="A97" s="85"/>
      <c r="B97" s="45">
        <v>1</v>
      </c>
      <c r="C97" s="83" t="s">
        <v>342</v>
      </c>
      <c r="D97" s="74" t="s">
        <v>270</v>
      </c>
      <c r="E97" s="74" t="s">
        <v>367</v>
      </c>
      <c r="F97" s="1" t="s">
        <v>55</v>
      </c>
      <c r="G97" s="74" t="s">
        <v>29</v>
      </c>
      <c r="H97" s="75" t="s">
        <v>29</v>
      </c>
      <c r="I97" s="76">
        <v>0.49</v>
      </c>
      <c r="J97" s="77">
        <v>0.73</v>
      </c>
      <c r="K97" s="78" t="s">
        <v>30</v>
      </c>
      <c r="L97" s="78" t="s">
        <v>30</v>
      </c>
      <c r="M97" s="78" t="s">
        <v>30</v>
      </c>
      <c r="N97" s="78" t="s">
        <v>30</v>
      </c>
      <c r="O97" s="78" t="s">
        <v>30</v>
      </c>
      <c r="P97" s="78" t="s">
        <v>30</v>
      </c>
      <c r="Q97" s="77">
        <v>1</v>
      </c>
      <c r="R97" s="77">
        <v>0.82</v>
      </c>
      <c r="S97" s="77">
        <v>0.91</v>
      </c>
      <c r="T97" s="79">
        <v>0.81</v>
      </c>
      <c r="U97" s="77">
        <v>0.77</v>
      </c>
      <c r="V97" s="80">
        <v>0.86</v>
      </c>
      <c r="W97" s="81">
        <v>0.84</v>
      </c>
      <c r="X97" s="82">
        <v>0.84</v>
      </c>
      <c r="Y97" s="29">
        <f t="shared" si="27"/>
        <v>0.84</v>
      </c>
      <c r="Z97" s="29">
        <v>0.8</v>
      </c>
      <c r="AA97" s="29">
        <v>0.87269999999999992</v>
      </c>
      <c r="AB97" s="29">
        <f t="shared" si="33"/>
        <v>0.82654000000000005</v>
      </c>
      <c r="AC97" t="str">
        <f t="shared" si="28"/>
        <v>Aprobada</v>
      </c>
    </row>
    <row r="98" spans="1:29" ht="15" customHeight="1" thickBot="1" x14ac:dyDescent="0.35">
      <c r="A98" s="85"/>
      <c r="B98" s="45">
        <v>15</v>
      </c>
      <c r="C98" s="83" t="s">
        <v>343</v>
      </c>
      <c r="D98" s="74" t="s">
        <v>244</v>
      </c>
      <c r="E98" s="74" t="s">
        <v>368</v>
      </c>
      <c r="F98" s="1" t="s">
        <v>386</v>
      </c>
      <c r="G98" s="74" t="s">
        <v>29</v>
      </c>
      <c r="H98" s="75" t="s">
        <v>29</v>
      </c>
      <c r="I98" s="76">
        <v>0.57999999999999996</v>
      </c>
      <c r="J98" s="77">
        <v>1</v>
      </c>
      <c r="K98" s="78" t="s">
        <v>30</v>
      </c>
      <c r="L98" s="78" t="s">
        <v>30</v>
      </c>
      <c r="M98" s="78" t="s">
        <v>30</v>
      </c>
      <c r="N98" s="78" t="s">
        <v>30</v>
      </c>
      <c r="O98" s="78" t="s">
        <v>30</v>
      </c>
      <c r="P98" s="78" t="s">
        <v>30</v>
      </c>
      <c r="Q98" s="77">
        <v>1</v>
      </c>
      <c r="R98" s="77">
        <v>0.75</v>
      </c>
      <c r="S98" s="77">
        <v>1</v>
      </c>
      <c r="T98" s="79">
        <v>0.81</v>
      </c>
      <c r="U98" s="77">
        <v>0.77</v>
      </c>
      <c r="V98" s="80">
        <v>0.82</v>
      </c>
      <c r="W98" s="81">
        <v>0.84</v>
      </c>
      <c r="X98" s="82">
        <v>0.82</v>
      </c>
      <c r="Y98" s="29">
        <f t="shared" si="27"/>
        <v>0.82</v>
      </c>
      <c r="Z98" s="29">
        <v>0.88890000000000002</v>
      </c>
      <c r="AA98" s="29">
        <v>0.92730000000000001</v>
      </c>
      <c r="AB98" s="29">
        <f t="shared" si="33"/>
        <v>0.87590999999999997</v>
      </c>
      <c r="AC98" t="str">
        <f t="shared" si="28"/>
        <v>Aprobada</v>
      </c>
    </row>
    <row r="99" spans="1:29" ht="15" customHeight="1" thickBot="1" x14ac:dyDescent="0.35">
      <c r="A99" s="85"/>
      <c r="B99" s="45">
        <v>11</v>
      </c>
      <c r="C99" s="83" t="s">
        <v>344</v>
      </c>
      <c r="D99" s="74" t="s">
        <v>369</v>
      </c>
      <c r="E99" s="74" t="s">
        <v>196</v>
      </c>
      <c r="F99" s="1" t="s">
        <v>387</v>
      </c>
      <c r="G99" s="74" t="s">
        <v>29</v>
      </c>
      <c r="H99" s="75" t="s">
        <v>29</v>
      </c>
      <c r="I99" s="76">
        <v>0.78</v>
      </c>
      <c r="J99" s="77">
        <v>0.91</v>
      </c>
      <c r="K99" s="78" t="s">
        <v>30</v>
      </c>
      <c r="L99" s="78" t="s">
        <v>30</v>
      </c>
      <c r="M99" s="78" t="s">
        <v>30</v>
      </c>
      <c r="N99" s="78" t="s">
        <v>30</v>
      </c>
      <c r="O99" s="78" t="s">
        <v>30</v>
      </c>
      <c r="P99" s="78" t="s">
        <v>30</v>
      </c>
      <c r="Q99" s="77">
        <v>1</v>
      </c>
      <c r="R99" s="77">
        <v>0.9</v>
      </c>
      <c r="S99" s="77">
        <v>1</v>
      </c>
      <c r="T99" s="79">
        <v>0.81</v>
      </c>
      <c r="U99" s="77">
        <v>0.77</v>
      </c>
      <c r="V99" s="80">
        <v>1</v>
      </c>
      <c r="W99" s="81">
        <v>0.91</v>
      </c>
      <c r="X99" s="82">
        <v>0.91</v>
      </c>
      <c r="Y99" s="29">
        <f t="shared" si="27"/>
        <v>0.91</v>
      </c>
      <c r="Z99" s="29">
        <v>0.82220000000000004</v>
      </c>
      <c r="AA99" s="29">
        <v>0.83640000000000003</v>
      </c>
      <c r="AB99" s="29">
        <f t="shared" si="33"/>
        <v>0.85138000000000003</v>
      </c>
      <c r="AC99" t="str">
        <f t="shared" si="28"/>
        <v>Aprobada</v>
      </c>
    </row>
    <row r="100" spans="1:29" ht="15" customHeight="1" thickBot="1" x14ac:dyDescent="0.35">
      <c r="A100" s="85"/>
      <c r="B100" s="45">
        <v>6</v>
      </c>
      <c r="C100" s="83" t="s">
        <v>345</v>
      </c>
      <c r="D100" s="74" t="s">
        <v>141</v>
      </c>
      <c r="E100" s="74" t="s">
        <v>370</v>
      </c>
      <c r="F100" s="1" t="s">
        <v>380</v>
      </c>
      <c r="G100" s="74" t="s">
        <v>29</v>
      </c>
      <c r="H100" s="75" t="s">
        <v>29</v>
      </c>
      <c r="I100" s="76">
        <v>0.54</v>
      </c>
      <c r="J100" s="77">
        <v>0.82</v>
      </c>
      <c r="K100" s="78" t="s">
        <v>30</v>
      </c>
      <c r="L100" s="78" t="s">
        <v>30</v>
      </c>
      <c r="M100" s="78" t="s">
        <v>30</v>
      </c>
      <c r="N100" s="78" t="s">
        <v>30</v>
      </c>
      <c r="O100" s="78" t="s">
        <v>30</v>
      </c>
      <c r="P100" s="78" t="s">
        <v>30</v>
      </c>
      <c r="Q100" s="77">
        <v>1</v>
      </c>
      <c r="R100" s="77">
        <v>0.72</v>
      </c>
      <c r="S100" s="77">
        <v>0.91</v>
      </c>
      <c r="T100" s="79">
        <v>0.81</v>
      </c>
      <c r="U100" s="77">
        <v>0.69</v>
      </c>
      <c r="V100" s="80">
        <v>0.84</v>
      </c>
      <c r="W100" s="81">
        <v>0.82</v>
      </c>
      <c r="X100" s="82">
        <v>0.79</v>
      </c>
      <c r="Y100" s="29">
        <f t="shared" si="27"/>
        <v>0.79</v>
      </c>
      <c r="Z100" s="29">
        <v>0.8</v>
      </c>
      <c r="AA100" s="29">
        <v>0.90910000000000002</v>
      </c>
      <c r="AB100" s="29">
        <f t="shared" si="33"/>
        <v>0.81881999999999999</v>
      </c>
      <c r="AC100" t="str">
        <f t="shared" si="28"/>
        <v>Aprobada</v>
      </c>
    </row>
    <row r="101" spans="1:29" ht="15" customHeight="1" thickBot="1" x14ac:dyDescent="0.35">
      <c r="A101" s="85"/>
      <c r="B101" s="45">
        <v>12</v>
      </c>
      <c r="C101" s="83" t="s">
        <v>346</v>
      </c>
      <c r="D101" s="74" t="s">
        <v>203</v>
      </c>
      <c r="E101" s="74" t="s">
        <v>371</v>
      </c>
      <c r="F101" s="1" t="s">
        <v>378</v>
      </c>
      <c r="G101" s="74" t="s">
        <v>29</v>
      </c>
      <c r="H101" s="75" t="s">
        <v>29</v>
      </c>
      <c r="I101" s="76">
        <v>0.68</v>
      </c>
      <c r="J101" s="77">
        <v>1</v>
      </c>
      <c r="K101" s="78" t="s">
        <v>30</v>
      </c>
      <c r="L101" s="78" t="s">
        <v>30</v>
      </c>
      <c r="M101" s="78" t="s">
        <v>30</v>
      </c>
      <c r="N101" s="78" t="s">
        <v>30</v>
      </c>
      <c r="O101" s="78" t="s">
        <v>30</v>
      </c>
      <c r="P101" s="78" t="s">
        <v>30</v>
      </c>
      <c r="Q101" s="77">
        <v>1</v>
      </c>
      <c r="R101" s="77">
        <v>0.7</v>
      </c>
      <c r="S101" s="77">
        <v>1</v>
      </c>
      <c r="T101" s="79">
        <v>0.75</v>
      </c>
      <c r="U101" s="77">
        <v>0.92</v>
      </c>
      <c r="V101" s="80">
        <v>0.76</v>
      </c>
      <c r="W101" s="81">
        <v>0.82</v>
      </c>
      <c r="X101" s="82">
        <v>0.79</v>
      </c>
      <c r="Y101" s="29">
        <f t="shared" si="27"/>
        <v>0.79</v>
      </c>
      <c r="Z101" s="29">
        <v>0.86670000000000003</v>
      </c>
      <c r="AA101" s="29">
        <v>0.92730000000000001</v>
      </c>
      <c r="AB101" s="29">
        <f t="shared" si="33"/>
        <v>0.85580999999999996</v>
      </c>
      <c r="AC101" t="str">
        <f t="shared" si="28"/>
        <v>Aprobada</v>
      </c>
    </row>
    <row r="102" spans="1:29" ht="15" customHeight="1" thickBot="1" x14ac:dyDescent="0.35">
      <c r="A102" s="85"/>
      <c r="B102" s="45">
        <v>17</v>
      </c>
      <c r="C102" s="83" t="s">
        <v>348</v>
      </c>
      <c r="D102" s="74" t="s">
        <v>372</v>
      </c>
      <c r="E102" s="74" t="s">
        <v>373</v>
      </c>
      <c r="F102" s="1" t="s">
        <v>388</v>
      </c>
      <c r="G102" s="74" t="s">
        <v>29</v>
      </c>
      <c r="H102" s="75" t="s">
        <v>29</v>
      </c>
      <c r="I102" s="76">
        <v>0.6</v>
      </c>
      <c r="J102" s="77">
        <v>0.64</v>
      </c>
      <c r="K102" s="78" t="s">
        <v>30</v>
      </c>
      <c r="L102" s="78" t="s">
        <v>30</v>
      </c>
      <c r="M102" s="78" t="s">
        <v>30</v>
      </c>
      <c r="N102" s="78" t="s">
        <v>30</v>
      </c>
      <c r="O102" s="78" t="s">
        <v>30</v>
      </c>
      <c r="P102" s="78" t="s">
        <v>30</v>
      </c>
      <c r="Q102" s="77">
        <v>1</v>
      </c>
      <c r="R102" s="77">
        <v>0.89</v>
      </c>
      <c r="S102" s="77">
        <v>0.82</v>
      </c>
      <c r="T102" s="79">
        <v>0.75</v>
      </c>
      <c r="U102" s="77">
        <v>0.46</v>
      </c>
      <c r="V102" s="80">
        <v>0.75</v>
      </c>
      <c r="W102" s="81">
        <v>0.72</v>
      </c>
      <c r="X102" s="82">
        <v>0.81</v>
      </c>
      <c r="Y102" s="29">
        <f t="shared" si="27"/>
        <v>0.81</v>
      </c>
      <c r="Z102" s="29"/>
      <c r="AA102" s="29"/>
      <c r="AB102" s="29" t="s">
        <v>122</v>
      </c>
      <c r="AC102" t="str">
        <f t="shared" si="28"/>
        <v>Pendiente</v>
      </c>
    </row>
    <row r="103" spans="1:29" ht="15" customHeight="1" thickBot="1" x14ac:dyDescent="0.35">
      <c r="A103" s="86"/>
      <c r="B103" s="45">
        <v>18</v>
      </c>
      <c r="C103" s="83" t="s">
        <v>225</v>
      </c>
      <c r="D103" s="74" t="s">
        <v>187</v>
      </c>
      <c r="E103" s="74" t="s">
        <v>188</v>
      </c>
      <c r="F103" s="1" t="s">
        <v>328</v>
      </c>
      <c r="G103" s="74" t="s">
        <v>29</v>
      </c>
      <c r="H103" s="75" t="s">
        <v>29</v>
      </c>
      <c r="I103" s="76">
        <v>0.52</v>
      </c>
      <c r="J103" s="77">
        <v>0.55000000000000004</v>
      </c>
      <c r="K103" s="78" t="s">
        <v>30</v>
      </c>
      <c r="L103" s="78" t="s">
        <v>30</v>
      </c>
      <c r="M103" s="78" t="s">
        <v>30</v>
      </c>
      <c r="N103" s="78" t="s">
        <v>30</v>
      </c>
      <c r="O103" s="78" t="s">
        <v>30</v>
      </c>
      <c r="P103" s="78" t="s">
        <v>30</v>
      </c>
      <c r="Q103" s="77">
        <v>1</v>
      </c>
      <c r="R103" s="77">
        <v>0.64</v>
      </c>
      <c r="S103" s="77">
        <v>0.73</v>
      </c>
      <c r="T103" s="79">
        <v>0.81</v>
      </c>
      <c r="U103" s="77">
        <v>0.38</v>
      </c>
      <c r="V103" s="80">
        <v>0.68</v>
      </c>
      <c r="W103" s="81">
        <v>0.68</v>
      </c>
      <c r="X103" s="82">
        <v>0.69</v>
      </c>
      <c r="Y103" s="29">
        <f t="shared" si="27"/>
        <v>0.69</v>
      </c>
      <c r="Z103" s="29">
        <v>0.8</v>
      </c>
      <c r="AA103" s="29">
        <v>0.78180000000000005</v>
      </c>
      <c r="AB103" s="29">
        <f t="shared" si="33"/>
        <v>0.76336000000000004</v>
      </c>
      <c r="AC103" t="str">
        <f t="shared" si="28"/>
        <v>Reprobada</v>
      </c>
    </row>
    <row r="104" spans="1:29" ht="15" customHeight="1" thickBot="1" x14ac:dyDescent="0.35">
      <c r="A104" s="88" t="s">
        <v>494</v>
      </c>
      <c r="B104" s="45">
        <v>4</v>
      </c>
      <c r="C104" s="83" t="s">
        <v>389</v>
      </c>
      <c r="D104" s="74" t="s">
        <v>390</v>
      </c>
      <c r="E104" s="74" t="s">
        <v>391</v>
      </c>
      <c r="F104" s="1" t="s">
        <v>382</v>
      </c>
      <c r="G104" s="74" t="s">
        <v>29</v>
      </c>
      <c r="H104" s="75" t="s">
        <v>29</v>
      </c>
      <c r="I104" s="76">
        <v>0.68</v>
      </c>
      <c r="J104" s="77">
        <v>0.82</v>
      </c>
      <c r="K104" s="78" t="s">
        <v>30</v>
      </c>
      <c r="L104" s="78" t="s">
        <v>30</v>
      </c>
      <c r="M104" s="78" t="s">
        <v>30</v>
      </c>
      <c r="N104" s="78" t="s">
        <v>30</v>
      </c>
      <c r="O104" s="78" t="s">
        <v>30</v>
      </c>
      <c r="P104" s="78" t="s">
        <v>30</v>
      </c>
      <c r="Q104" s="77">
        <v>1</v>
      </c>
      <c r="R104" s="77">
        <v>0.68</v>
      </c>
      <c r="S104" s="77">
        <v>0.82</v>
      </c>
      <c r="T104" s="79">
        <v>1</v>
      </c>
      <c r="U104" s="77">
        <v>0.85</v>
      </c>
      <c r="V104" s="80">
        <v>1</v>
      </c>
      <c r="W104" s="81">
        <v>0.95</v>
      </c>
      <c r="X104" s="82">
        <v>0.84</v>
      </c>
      <c r="Y104" s="29">
        <f t="shared" si="27"/>
        <v>0.84</v>
      </c>
      <c r="Z104" s="29"/>
      <c r="AA104" s="29">
        <v>0.81100000000000005</v>
      </c>
      <c r="AB104" s="29" t="s">
        <v>122</v>
      </c>
      <c r="AC104" t="str">
        <f t="shared" si="28"/>
        <v>Pendiente</v>
      </c>
    </row>
    <row r="105" spans="1:29" ht="15" customHeight="1" thickBot="1" x14ac:dyDescent="0.35">
      <c r="A105" s="88"/>
      <c r="B105" s="45">
        <v>13</v>
      </c>
      <c r="C105" s="83" t="s">
        <v>392</v>
      </c>
      <c r="D105" s="74" t="s">
        <v>334</v>
      </c>
      <c r="E105" s="74" t="s">
        <v>183</v>
      </c>
      <c r="F105" s="1" t="s">
        <v>382</v>
      </c>
      <c r="G105" s="74" t="s">
        <v>29</v>
      </c>
      <c r="H105" s="75" t="s">
        <v>29</v>
      </c>
      <c r="I105" s="76">
        <v>0.79</v>
      </c>
      <c r="J105" s="77">
        <v>0.91</v>
      </c>
      <c r="K105" s="78" t="s">
        <v>30</v>
      </c>
      <c r="L105" s="78" t="s">
        <v>30</v>
      </c>
      <c r="M105" s="78" t="s">
        <v>30</v>
      </c>
      <c r="N105" s="78" t="s">
        <v>30</v>
      </c>
      <c r="O105" s="78" t="s">
        <v>30</v>
      </c>
      <c r="P105" s="78" t="s">
        <v>30</v>
      </c>
      <c r="Q105" s="77">
        <v>1</v>
      </c>
      <c r="R105" s="77">
        <v>0.79</v>
      </c>
      <c r="S105" s="77">
        <v>0.91</v>
      </c>
      <c r="T105" s="79">
        <v>0.81</v>
      </c>
      <c r="U105" s="77">
        <v>0.54</v>
      </c>
      <c r="V105" s="80">
        <v>0.93</v>
      </c>
      <c r="W105" s="81">
        <v>0.83</v>
      </c>
      <c r="X105" s="82">
        <v>0.83</v>
      </c>
      <c r="Y105" s="29">
        <f t="shared" si="27"/>
        <v>0.83</v>
      </c>
      <c r="Z105" s="29">
        <v>0.68889999999999996</v>
      </c>
      <c r="AA105" s="29">
        <v>0.67269999999999996</v>
      </c>
      <c r="AB105" s="29">
        <f t="shared" si="33"/>
        <v>0.72798999999999991</v>
      </c>
      <c r="AC105" t="str">
        <f t="shared" si="28"/>
        <v>Reprobada</v>
      </c>
    </row>
    <row r="106" spans="1:29" ht="15" customHeight="1" thickBot="1" x14ac:dyDescent="0.35">
      <c r="A106" s="88"/>
      <c r="B106" s="45">
        <v>10</v>
      </c>
      <c r="C106" s="83" t="s">
        <v>393</v>
      </c>
      <c r="D106" s="74" t="s">
        <v>253</v>
      </c>
      <c r="E106" s="74" t="s">
        <v>146</v>
      </c>
      <c r="F106" s="1" t="s">
        <v>382</v>
      </c>
      <c r="G106" s="74" t="s">
        <v>29</v>
      </c>
      <c r="H106" s="75" t="s">
        <v>29</v>
      </c>
      <c r="I106" s="76">
        <v>0.51</v>
      </c>
      <c r="J106" s="77">
        <v>1</v>
      </c>
      <c r="K106" s="78" t="s">
        <v>30</v>
      </c>
      <c r="L106" s="78" t="s">
        <v>30</v>
      </c>
      <c r="M106" s="78" t="s">
        <v>30</v>
      </c>
      <c r="N106" s="78" t="s">
        <v>30</v>
      </c>
      <c r="O106" s="78" t="s">
        <v>30</v>
      </c>
      <c r="P106" s="78" t="s">
        <v>30</v>
      </c>
      <c r="Q106" s="77">
        <v>1</v>
      </c>
      <c r="R106" s="77">
        <v>0.51</v>
      </c>
      <c r="S106" s="77">
        <v>1</v>
      </c>
      <c r="T106" s="79">
        <v>0.81</v>
      </c>
      <c r="U106" s="77">
        <v>0.62</v>
      </c>
      <c r="V106" s="80">
        <v>0.87</v>
      </c>
      <c r="W106" s="81">
        <v>0.83</v>
      </c>
      <c r="X106" s="82">
        <v>0.72</v>
      </c>
      <c r="Y106" s="29">
        <f t="shared" si="27"/>
        <v>0.72</v>
      </c>
      <c r="Z106" s="29">
        <v>0.82220000000000004</v>
      </c>
      <c r="AA106" s="29">
        <v>0.92730000000000001</v>
      </c>
      <c r="AB106" s="29">
        <f t="shared" si="33"/>
        <v>0.81255999999999995</v>
      </c>
      <c r="AC106" t="str">
        <f t="shared" si="28"/>
        <v>Aprobada</v>
      </c>
    </row>
    <row r="107" spans="1:29" ht="15" customHeight="1" thickBot="1" x14ac:dyDescent="0.35">
      <c r="A107" s="88"/>
      <c r="B107" s="45">
        <v>16</v>
      </c>
      <c r="C107" s="83" t="s">
        <v>394</v>
      </c>
      <c r="D107" s="74" t="s">
        <v>395</v>
      </c>
      <c r="E107" s="74" t="s">
        <v>146</v>
      </c>
      <c r="F107" s="1" t="s">
        <v>382</v>
      </c>
      <c r="G107" s="74" t="s">
        <v>29</v>
      </c>
      <c r="H107" s="75" t="s">
        <v>29</v>
      </c>
      <c r="I107" s="76">
        <v>0.83</v>
      </c>
      <c r="J107" s="77">
        <v>1</v>
      </c>
      <c r="K107" s="78" t="s">
        <v>30</v>
      </c>
      <c r="L107" s="78" t="s">
        <v>30</v>
      </c>
      <c r="M107" s="78" t="s">
        <v>30</v>
      </c>
      <c r="N107" s="78" t="s">
        <v>30</v>
      </c>
      <c r="O107" s="78" t="s">
        <v>30</v>
      </c>
      <c r="P107" s="78" t="s">
        <v>30</v>
      </c>
      <c r="Q107" s="77">
        <v>1</v>
      </c>
      <c r="R107" s="77">
        <v>0.83</v>
      </c>
      <c r="S107" s="77">
        <v>0.82</v>
      </c>
      <c r="T107" s="79">
        <v>0.81</v>
      </c>
      <c r="U107" s="77">
        <v>0.54</v>
      </c>
      <c r="V107" s="80">
        <v>0.87</v>
      </c>
      <c r="W107" s="81">
        <v>0.79</v>
      </c>
      <c r="X107" s="82">
        <v>0.83</v>
      </c>
      <c r="Y107" s="29">
        <f t="shared" si="27"/>
        <v>0.83</v>
      </c>
      <c r="Z107" s="29"/>
      <c r="AA107" s="29">
        <v>0.90910000000000002</v>
      </c>
      <c r="AB107" s="29" t="s">
        <v>122</v>
      </c>
      <c r="AC107" t="str">
        <f t="shared" si="28"/>
        <v>Pendiente</v>
      </c>
    </row>
    <row r="108" spans="1:29" ht="15" customHeight="1" thickBot="1" x14ac:dyDescent="0.35">
      <c r="A108" s="88"/>
      <c r="B108" s="45">
        <v>1</v>
      </c>
      <c r="C108" s="83" t="s">
        <v>396</v>
      </c>
      <c r="D108" s="74" t="s">
        <v>350</v>
      </c>
      <c r="E108" s="74" t="s">
        <v>397</v>
      </c>
      <c r="F108" s="1" t="s">
        <v>382</v>
      </c>
      <c r="G108" s="74" t="s">
        <v>29</v>
      </c>
      <c r="H108" s="75" t="s">
        <v>29</v>
      </c>
      <c r="I108" s="76">
        <v>0.62</v>
      </c>
      <c r="J108" s="77">
        <v>0.91</v>
      </c>
      <c r="K108" s="78" t="s">
        <v>30</v>
      </c>
      <c r="L108" s="78" t="s">
        <v>30</v>
      </c>
      <c r="M108" s="78" t="s">
        <v>30</v>
      </c>
      <c r="N108" s="78" t="s">
        <v>30</v>
      </c>
      <c r="O108" s="78" t="s">
        <v>30</v>
      </c>
      <c r="P108" s="78" t="s">
        <v>30</v>
      </c>
      <c r="Q108" s="77">
        <v>1</v>
      </c>
      <c r="R108" s="77">
        <v>0.62</v>
      </c>
      <c r="S108" s="77">
        <v>1</v>
      </c>
      <c r="T108" s="79">
        <v>0.81</v>
      </c>
      <c r="U108" s="77">
        <v>0.62</v>
      </c>
      <c r="V108" s="80">
        <v>0.98</v>
      </c>
      <c r="W108" s="81">
        <v>0.88</v>
      </c>
      <c r="X108" s="82">
        <v>0.78</v>
      </c>
      <c r="Y108" s="29">
        <f t="shared" si="27"/>
        <v>0.78</v>
      </c>
      <c r="Z108" s="29"/>
      <c r="AA108" s="29"/>
      <c r="AB108" s="29" t="s">
        <v>122</v>
      </c>
      <c r="AC108" t="str">
        <f t="shared" si="28"/>
        <v>Pendiente</v>
      </c>
    </row>
    <row r="109" spans="1:29" ht="15" customHeight="1" thickBot="1" x14ac:dyDescent="0.35">
      <c r="A109" s="88"/>
      <c r="B109" s="45">
        <v>21</v>
      </c>
      <c r="C109" s="83" t="s">
        <v>398</v>
      </c>
      <c r="D109" s="74" t="s">
        <v>399</v>
      </c>
      <c r="E109" s="74" t="s">
        <v>400</v>
      </c>
      <c r="F109" s="1" t="s">
        <v>382</v>
      </c>
      <c r="G109" s="74" t="s">
        <v>29</v>
      </c>
      <c r="H109" s="75" t="s">
        <v>29</v>
      </c>
      <c r="I109" s="76">
        <v>0.59</v>
      </c>
      <c r="J109" s="77">
        <v>0.82</v>
      </c>
      <c r="K109" s="78" t="s">
        <v>30</v>
      </c>
      <c r="L109" s="78" t="s">
        <v>30</v>
      </c>
      <c r="M109" s="78" t="s">
        <v>30</v>
      </c>
      <c r="N109" s="78" t="s">
        <v>30</v>
      </c>
      <c r="O109" s="78" t="s">
        <v>30</v>
      </c>
      <c r="P109" s="78" t="s">
        <v>30</v>
      </c>
      <c r="Q109" s="77">
        <v>1</v>
      </c>
      <c r="R109" s="77">
        <v>0.59</v>
      </c>
      <c r="S109" s="77">
        <v>0.55000000000000004</v>
      </c>
      <c r="T109" s="79">
        <v>0.81</v>
      </c>
      <c r="U109" s="77">
        <v>1</v>
      </c>
      <c r="V109" s="80">
        <v>1</v>
      </c>
      <c r="W109" s="81">
        <v>0.87</v>
      </c>
      <c r="X109" s="82">
        <v>0.77</v>
      </c>
      <c r="Y109" s="29">
        <f t="shared" si="27"/>
        <v>0.77</v>
      </c>
      <c r="Z109" s="29"/>
      <c r="AA109" s="29"/>
      <c r="AB109" s="29" t="s">
        <v>122</v>
      </c>
      <c r="AC109" t="str">
        <f t="shared" si="28"/>
        <v>Pendiente</v>
      </c>
    </row>
    <row r="110" spans="1:29" ht="15" customHeight="1" thickBot="1" x14ac:dyDescent="0.35">
      <c r="A110" s="88"/>
      <c r="B110" s="45">
        <v>12</v>
      </c>
      <c r="C110" s="83" t="s">
        <v>401</v>
      </c>
      <c r="D110" s="74" t="s">
        <v>402</v>
      </c>
      <c r="E110" s="74" t="s">
        <v>403</v>
      </c>
      <c r="F110" s="1" t="s">
        <v>382</v>
      </c>
      <c r="G110" s="74" t="s">
        <v>29</v>
      </c>
      <c r="H110" s="75" t="s">
        <v>29</v>
      </c>
      <c r="I110" s="76">
        <v>0.7</v>
      </c>
      <c r="J110" s="77">
        <v>0.82</v>
      </c>
      <c r="K110" s="78" t="s">
        <v>30</v>
      </c>
      <c r="L110" s="78" t="s">
        <v>30</v>
      </c>
      <c r="M110" s="78" t="s">
        <v>30</v>
      </c>
      <c r="N110" s="78" t="s">
        <v>30</v>
      </c>
      <c r="O110" s="78" t="s">
        <v>30</v>
      </c>
      <c r="P110" s="78" t="s">
        <v>30</v>
      </c>
      <c r="Q110" s="77">
        <v>1</v>
      </c>
      <c r="R110" s="77">
        <v>0.7</v>
      </c>
      <c r="S110" s="77">
        <v>0.73</v>
      </c>
      <c r="T110" s="79">
        <v>0.81</v>
      </c>
      <c r="U110" s="77">
        <v>0.54</v>
      </c>
      <c r="V110" s="80">
        <v>1</v>
      </c>
      <c r="W110" s="81">
        <v>0.83</v>
      </c>
      <c r="X110" s="82">
        <v>0.79</v>
      </c>
      <c r="Y110" s="29">
        <f t="shared" si="27"/>
        <v>0.79</v>
      </c>
      <c r="Z110" s="29">
        <v>0.86670000000000003</v>
      </c>
      <c r="AA110" s="29">
        <v>0.85450000000000004</v>
      </c>
      <c r="AB110" s="29">
        <f t="shared" si="33"/>
        <v>0.84125000000000005</v>
      </c>
      <c r="AC110" t="str">
        <f t="shared" si="28"/>
        <v>Aprobada</v>
      </c>
    </row>
    <row r="111" spans="1:29" ht="15" customHeight="1" thickBot="1" x14ac:dyDescent="0.35">
      <c r="A111" s="88"/>
      <c r="B111" s="45">
        <v>6</v>
      </c>
      <c r="C111" s="83" t="s">
        <v>404</v>
      </c>
      <c r="D111" s="74" t="s">
        <v>405</v>
      </c>
      <c r="E111" s="74" t="s">
        <v>236</v>
      </c>
      <c r="F111" s="1" t="s">
        <v>382</v>
      </c>
      <c r="G111" s="74" t="s">
        <v>29</v>
      </c>
      <c r="H111" s="75" t="s">
        <v>29</v>
      </c>
      <c r="I111" s="76">
        <v>0.72</v>
      </c>
      <c r="J111" s="77">
        <v>0.82</v>
      </c>
      <c r="K111" s="78" t="s">
        <v>30</v>
      </c>
      <c r="L111" s="78" t="s">
        <v>30</v>
      </c>
      <c r="M111" s="78" t="s">
        <v>30</v>
      </c>
      <c r="N111" s="78" t="s">
        <v>30</v>
      </c>
      <c r="O111" s="78" t="s">
        <v>30</v>
      </c>
      <c r="P111" s="78" t="s">
        <v>30</v>
      </c>
      <c r="Q111" s="77">
        <v>1</v>
      </c>
      <c r="R111" s="77">
        <v>0.72</v>
      </c>
      <c r="S111" s="77">
        <v>0.73</v>
      </c>
      <c r="T111" s="79">
        <v>0.81</v>
      </c>
      <c r="U111" s="77">
        <v>0.85</v>
      </c>
      <c r="V111" s="80">
        <v>0.96</v>
      </c>
      <c r="W111" s="81">
        <v>0.86</v>
      </c>
      <c r="X111" s="82">
        <v>0.82</v>
      </c>
      <c r="Y111" s="29">
        <f t="shared" si="27"/>
        <v>0.82</v>
      </c>
      <c r="Z111" s="29">
        <v>0.77780000000000005</v>
      </c>
      <c r="AA111" s="29">
        <v>0.8</v>
      </c>
      <c r="AB111" s="29">
        <f t="shared" si="33"/>
        <v>0.79490000000000005</v>
      </c>
      <c r="AC111" t="str">
        <f t="shared" si="28"/>
        <v>Reprobada</v>
      </c>
    </row>
    <row r="112" spans="1:29" ht="15" customHeight="1" thickBot="1" x14ac:dyDescent="0.35">
      <c r="A112" s="88"/>
      <c r="B112" s="45">
        <v>17</v>
      </c>
      <c r="C112" s="83" t="s">
        <v>407</v>
      </c>
      <c r="D112" s="74" t="s">
        <v>217</v>
      </c>
      <c r="E112" s="74" t="s">
        <v>408</v>
      </c>
      <c r="F112" s="1" t="s">
        <v>382</v>
      </c>
      <c r="G112" s="74" t="s">
        <v>29</v>
      </c>
      <c r="H112" s="75" t="s">
        <v>29</v>
      </c>
      <c r="I112" s="76">
        <v>0.69</v>
      </c>
      <c r="J112" s="77">
        <v>0.82</v>
      </c>
      <c r="K112" s="78" t="s">
        <v>30</v>
      </c>
      <c r="L112" s="78" t="s">
        <v>30</v>
      </c>
      <c r="M112" s="78" t="s">
        <v>30</v>
      </c>
      <c r="N112" s="78" t="s">
        <v>30</v>
      </c>
      <c r="O112" s="78" t="s">
        <v>30</v>
      </c>
      <c r="P112" s="78" t="s">
        <v>30</v>
      </c>
      <c r="Q112" s="77">
        <v>1</v>
      </c>
      <c r="R112" s="77">
        <v>0.69</v>
      </c>
      <c r="S112" s="77">
        <v>1</v>
      </c>
      <c r="T112" s="79">
        <v>0.81</v>
      </c>
      <c r="U112" s="77">
        <v>0.31</v>
      </c>
      <c r="V112" s="80">
        <v>0.76</v>
      </c>
      <c r="W112" s="81">
        <v>0.74</v>
      </c>
      <c r="X112" s="82">
        <v>0.75</v>
      </c>
      <c r="Y112" s="29">
        <f t="shared" si="27"/>
        <v>0.75</v>
      </c>
      <c r="Z112" s="29">
        <v>0.91110000000000002</v>
      </c>
      <c r="AA112" s="29">
        <v>0.90910000000000002</v>
      </c>
      <c r="AB112" s="29">
        <f t="shared" si="33"/>
        <v>0.86236999999999997</v>
      </c>
      <c r="AC112" t="str">
        <f t="shared" si="28"/>
        <v>Aprobada</v>
      </c>
    </row>
    <row r="113" spans="1:29" ht="15" customHeight="1" thickBot="1" x14ac:dyDescent="0.35">
      <c r="A113" s="88"/>
      <c r="B113" s="45">
        <v>3</v>
      </c>
      <c r="C113" s="83" t="s">
        <v>409</v>
      </c>
      <c r="D113" s="74" t="s">
        <v>410</v>
      </c>
      <c r="E113" s="74" t="s">
        <v>411</v>
      </c>
      <c r="F113" s="1" t="s">
        <v>382</v>
      </c>
      <c r="G113" s="74" t="s">
        <v>29</v>
      </c>
      <c r="H113" s="75" t="s">
        <v>29</v>
      </c>
      <c r="I113" s="76">
        <v>0.79</v>
      </c>
      <c r="J113" s="77">
        <v>0.73</v>
      </c>
      <c r="K113" s="78" t="s">
        <v>30</v>
      </c>
      <c r="L113" s="78" t="s">
        <v>30</v>
      </c>
      <c r="M113" s="78" t="s">
        <v>30</v>
      </c>
      <c r="N113" s="78" t="s">
        <v>30</v>
      </c>
      <c r="O113" s="78" t="s">
        <v>30</v>
      </c>
      <c r="P113" s="78" t="s">
        <v>30</v>
      </c>
      <c r="Q113" s="77">
        <v>1</v>
      </c>
      <c r="R113" s="77">
        <v>0.79</v>
      </c>
      <c r="S113" s="77">
        <v>1</v>
      </c>
      <c r="T113" s="79">
        <v>1</v>
      </c>
      <c r="U113" s="77">
        <v>0.85</v>
      </c>
      <c r="V113" s="80">
        <v>0.84</v>
      </c>
      <c r="W113" s="81">
        <v>0.91</v>
      </c>
      <c r="X113" s="82">
        <v>0.87</v>
      </c>
      <c r="Y113" s="29">
        <f t="shared" si="27"/>
        <v>0.87</v>
      </c>
      <c r="Z113" s="29"/>
      <c r="AA113" s="29">
        <v>0.8</v>
      </c>
      <c r="AB113" s="29" t="s">
        <v>122</v>
      </c>
      <c r="AC113" t="str">
        <f t="shared" si="28"/>
        <v>Pendiente</v>
      </c>
    </row>
    <row r="114" spans="1:29" ht="15" customHeight="1" thickBot="1" x14ac:dyDescent="0.35">
      <c r="A114" s="88"/>
      <c r="B114" s="45">
        <v>2</v>
      </c>
      <c r="C114" s="83" t="s">
        <v>412</v>
      </c>
      <c r="D114" s="74" t="s">
        <v>268</v>
      </c>
      <c r="E114" s="74" t="s">
        <v>413</v>
      </c>
      <c r="F114" s="1" t="s">
        <v>382</v>
      </c>
      <c r="G114" s="74" t="s">
        <v>29</v>
      </c>
      <c r="H114" s="75" t="s">
        <v>29</v>
      </c>
      <c r="I114" s="76">
        <v>0.72</v>
      </c>
      <c r="J114" s="77">
        <v>0.73</v>
      </c>
      <c r="K114" s="78" t="s">
        <v>30</v>
      </c>
      <c r="L114" s="78" t="s">
        <v>30</v>
      </c>
      <c r="M114" s="78" t="s">
        <v>30</v>
      </c>
      <c r="N114" s="78" t="s">
        <v>30</v>
      </c>
      <c r="O114" s="78" t="s">
        <v>30</v>
      </c>
      <c r="P114" s="78" t="s">
        <v>30</v>
      </c>
      <c r="Q114" s="77">
        <v>1</v>
      </c>
      <c r="R114" s="77">
        <v>0.72</v>
      </c>
      <c r="S114" s="77">
        <v>1</v>
      </c>
      <c r="T114" s="79">
        <v>0.81</v>
      </c>
      <c r="U114" s="77">
        <v>0.77</v>
      </c>
      <c r="V114" s="80">
        <v>0.82</v>
      </c>
      <c r="W114" s="81">
        <v>0.84</v>
      </c>
      <c r="X114" s="82">
        <v>0.8</v>
      </c>
      <c r="Y114" s="29">
        <f t="shared" si="27"/>
        <v>0.8</v>
      </c>
      <c r="Z114" s="29"/>
      <c r="AA114" s="29"/>
      <c r="AB114" s="29" t="s">
        <v>122</v>
      </c>
      <c r="AC114" t="str">
        <f t="shared" si="28"/>
        <v>Pendiente</v>
      </c>
    </row>
    <row r="115" spans="1:29" ht="15" customHeight="1" thickBot="1" x14ac:dyDescent="0.35">
      <c r="A115" s="88"/>
      <c r="B115" s="45">
        <v>11</v>
      </c>
      <c r="C115" s="83" t="s">
        <v>414</v>
      </c>
      <c r="D115" s="74" t="s">
        <v>415</v>
      </c>
      <c r="E115" s="74" t="s">
        <v>416</v>
      </c>
      <c r="F115" s="1" t="s">
        <v>382</v>
      </c>
      <c r="G115" s="74" t="s">
        <v>29</v>
      </c>
      <c r="H115" s="75" t="s">
        <v>29</v>
      </c>
      <c r="I115" s="76">
        <v>0.62</v>
      </c>
      <c r="J115" s="77">
        <v>0.73</v>
      </c>
      <c r="K115" s="78" t="s">
        <v>30</v>
      </c>
      <c r="L115" s="78" t="s">
        <v>30</v>
      </c>
      <c r="M115" s="78" t="s">
        <v>30</v>
      </c>
      <c r="N115" s="78" t="s">
        <v>30</v>
      </c>
      <c r="O115" s="78" t="s">
        <v>30</v>
      </c>
      <c r="P115" s="78" t="s">
        <v>30</v>
      </c>
      <c r="Q115" s="77">
        <v>1</v>
      </c>
      <c r="R115" s="77">
        <v>0.62</v>
      </c>
      <c r="S115" s="77">
        <v>0.73</v>
      </c>
      <c r="T115" s="79">
        <v>0.88</v>
      </c>
      <c r="U115" s="77">
        <v>0.85</v>
      </c>
      <c r="V115" s="80">
        <v>1</v>
      </c>
      <c r="W115" s="81">
        <v>0.9</v>
      </c>
      <c r="X115" s="82">
        <v>0.79</v>
      </c>
      <c r="Y115" s="29">
        <f t="shared" si="27"/>
        <v>0.79</v>
      </c>
      <c r="Z115" s="29">
        <v>0.88890000000000002</v>
      </c>
      <c r="AA115" s="29">
        <v>0.89090000000000003</v>
      </c>
      <c r="AB115" s="29">
        <f t="shared" si="33"/>
        <v>0.85963000000000001</v>
      </c>
      <c r="AC115" t="str">
        <f t="shared" si="28"/>
        <v>Aprobada</v>
      </c>
    </row>
    <row r="116" spans="1:29" ht="15" customHeight="1" thickBot="1" x14ac:dyDescent="0.35">
      <c r="A116" s="88"/>
      <c r="B116" s="45">
        <v>19</v>
      </c>
      <c r="C116" s="83" t="s">
        <v>417</v>
      </c>
      <c r="D116" s="74" t="s">
        <v>139</v>
      </c>
      <c r="E116" s="74" t="s">
        <v>274</v>
      </c>
      <c r="F116" s="1" t="s">
        <v>382</v>
      </c>
      <c r="G116" s="74" t="s">
        <v>29</v>
      </c>
      <c r="H116" s="75" t="s">
        <v>29</v>
      </c>
      <c r="I116" s="76">
        <v>0.64</v>
      </c>
      <c r="J116" s="77">
        <v>0.91</v>
      </c>
      <c r="K116" s="78" t="s">
        <v>30</v>
      </c>
      <c r="L116" s="78" t="s">
        <v>30</v>
      </c>
      <c r="M116" s="78" t="s">
        <v>30</v>
      </c>
      <c r="N116" s="78" t="s">
        <v>30</v>
      </c>
      <c r="O116" s="78" t="s">
        <v>30</v>
      </c>
      <c r="P116" s="78" t="s">
        <v>30</v>
      </c>
      <c r="Q116" s="77">
        <v>1</v>
      </c>
      <c r="R116" s="77">
        <v>0.64</v>
      </c>
      <c r="S116" s="77">
        <v>1</v>
      </c>
      <c r="T116" s="79">
        <v>1</v>
      </c>
      <c r="U116" s="77">
        <v>0.77</v>
      </c>
      <c r="V116" s="80">
        <v>1</v>
      </c>
      <c r="W116" s="81">
        <v>0.97</v>
      </c>
      <c r="X116" s="82">
        <v>0.83</v>
      </c>
      <c r="Y116" s="29">
        <f t="shared" si="27"/>
        <v>0.83</v>
      </c>
      <c r="Z116" s="29"/>
      <c r="AA116" s="29">
        <v>0.91300000000000003</v>
      </c>
      <c r="AB116" s="29" t="s">
        <v>122</v>
      </c>
      <c r="AC116" t="str">
        <f t="shared" si="28"/>
        <v>Pendiente</v>
      </c>
    </row>
    <row r="117" spans="1:29" ht="15" customHeight="1" thickBot="1" x14ac:dyDescent="0.35">
      <c r="A117" s="88"/>
      <c r="B117" s="45">
        <v>18</v>
      </c>
      <c r="C117" s="83" t="s">
        <v>418</v>
      </c>
      <c r="D117" s="74" t="s">
        <v>419</v>
      </c>
      <c r="E117" s="74" t="s">
        <v>420</v>
      </c>
      <c r="F117" s="1" t="s">
        <v>382</v>
      </c>
      <c r="G117" s="74" t="s">
        <v>29</v>
      </c>
      <c r="H117" s="75" t="s">
        <v>29</v>
      </c>
      <c r="I117" s="76">
        <v>0.72</v>
      </c>
      <c r="J117" s="77">
        <v>0.73</v>
      </c>
      <c r="K117" s="78" t="s">
        <v>30</v>
      </c>
      <c r="L117" s="78" t="s">
        <v>30</v>
      </c>
      <c r="M117" s="78" t="s">
        <v>30</v>
      </c>
      <c r="N117" s="78" t="s">
        <v>30</v>
      </c>
      <c r="O117" s="78" t="s">
        <v>30</v>
      </c>
      <c r="P117" s="78" t="s">
        <v>30</v>
      </c>
      <c r="Q117" s="77">
        <v>1</v>
      </c>
      <c r="R117" s="77">
        <v>0.72</v>
      </c>
      <c r="S117" s="77">
        <v>0.82</v>
      </c>
      <c r="T117" s="79">
        <v>0.81</v>
      </c>
      <c r="U117" s="77">
        <v>1</v>
      </c>
      <c r="V117" s="80">
        <v>0.98</v>
      </c>
      <c r="W117" s="81">
        <v>0.91</v>
      </c>
      <c r="X117" s="82">
        <v>0.83</v>
      </c>
      <c r="Y117" s="29">
        <f t="shared" si="27"/>
        <v>0.83</v>
      </c>
      <c r="Z117" s="29"/>
      <c r="AA117" s="29"/>
      <c r="AB117" s="29" t="s">
        <v>122</v>
      </c>
      <c r="AC117" t="str">
        <f t="shared" si="28"/>
        <v>Pendiente</v>
      </c>
    </row>
    <row r="118" spans="1:29" ht="15" customHeight="1" thickBot="1" x14ac:dyDescent="0.35">
      <c r="A118" s="88"/>
      <c r="B118" s="45">
        <v>8</v>
      </c>
      <c r="C118" s="83" t="s">
        <v>421</v>
      </c>
      <c r="D118" s="74" t="s">
        <v>422</v>
      </c>
      <c r="E118" s="74" t="s">
        <v>423</v>
      </c>
      <c r="F118" s="1" t="s">
        <v>382</v>
      </c>
      <c r="G118" s="74" t="s">
        <v>29</v>
      </c>
      <c r="H118" s="75" t="s">
        <v>29</v>
      </c>
      <c r="I118" s="76">
        <v>0.73</v>
      </c>
      <c r="J118" s="77">
        <v>0.91</v>
      </c>
      <c r="K118" s="78" t="s">
        <v>30</v>
      </c>
      <c r="L118" s="78" t="s">
        <v>30</v>
      </c>
      <c r="M118" s="78" t="s">
        <v>30</v>
      </c>
      <c r="N118" s="78" t="s">
        <v>30</v>
      </c>
      <c r="O118" s="78" t="s">
        <v>30</v>
      </c>
      <c r="P118" s="78" t="s">
        <v>30</v>
      </c>
      <c r="Q118" s="77">
        <v>1</v>
      </c>
      <c r="R118" s="77">
        <v>0.73</v>
      </c>
      <c r="S118" s="77">
        <v>0.82</v>
      </c>
      <c r="T118" s="79">
        <v>0.81</v>
      </c>
      <c r="U118" s="77">
        <v>0.54</v>
      </c>
      <c r="V118" s="80">
        <v>0.73</v>
      </c>
      <c r="W118" s="81">
        <v>0.74</v>
      </c>
      <c r="X118" s="82">
        <v>0.77</v>
      </c>
      <c r="Y118" s="29">
        <f t="shared" si="27"/>
        <v>0.77</v>
      </c>
      <c r="Z118" s="29"/>
      <c r="AA118" s="29"/>
      <c r="AB118" s="29" t="s">
        <v>122</v>
      </c>
      <c r="AC118" t="str">
        <f t="shared" si="28"/>
        <v>Pendiente</v>
      </c>
    </row>
    <row r="119" spans="1:29" ht="15" customHeight="1" thickBot="1" x14ac:dyDescent="0.35">
      <c r="A119" s="88"/>
      <c r="B119" s="45">
        <v>7</v>
      </c>
      <c r="C119" s="83" t="s">
        <v>424</v>
      </c>
      <c r="D119" s="74" t="s">
        <v>425</v>
      </c>
      <c r="E119" s="74" t="s">
        <v>406</v>
      </c>
      <c r="F119" s="1" t="s">
        <v>382</v>
      </c>
      <c r="G119" s="74" t="s">
        <v>29</v>
      </c>
      <c r="H119" s="75" t="s">
        <v>29</v>
      </c>
      <c r="I119" s="76">
        <v>0.7</v>
      </c>
      <c r="J119" s="77">
        <v>0.82</v>
      </c>
      <c r="K119" s="78" t="s">
        <v>30</v>
      </c>
      <c r="L119" s="78" t="s">
        <v>30</v>
      </c>
      <c r="M119" s="78" t="s">
        <v>30</v>
      </c>
      <c r="N119" s="78" t="s">
        <v>30</v>
      </c>
      <c r="O119" s="78" t="s">
        <v>30</v>
      </c>
      <c r="P119" s="78" t="s">
        <v>30</v>
      </c>
      <c r="Q119" s="77">
        <v>1</v>
      </c>
      <c r="R119" s="77">
        <v>0.7</v>
      </c>
      <c r="S119" s="77">
        <v>0.73</v>
      </c>
      <c r="T119" s="79">
        <v>0.81</v>
      </c>
      <c r="U119" s="77">
        <v>0.62</v>
      </c>
      <c r="V119" s="80">
        <v>0.91</v>
      </c>
      <c r="W119" s="81">
        <v>0.81</v>
      </c>
      <c r="X119" s="82">
        <v>0.78</v>
      </c>
      <c r="Y119" s="29">
        <f t="shared" si="27"/>
        <v>0.78</v>
      </c>
      <c r="Z119" s="29">
        <v>0.4889</v>
      </c>
      <c r="AA119" s="29">
        <v>0.85450000000000004</v>
      </c>
      <c r="AB119" s="29">
        <f t="shared" si="33"/>
        <v>0.64934999999999998</v>
      </c>
      <c r="AC119" t="str">
        <f t="shared" si="28"/>
        <v>Reprobada</v>
      </c>
    </row>
    <row r="120" spans="1:29" ht="15" customHeight="1" thickBot="1" x14ac:dyDescent="0.35">
      <c r="A120" s="88"/>
      <c r="B120" s="45">
        <v>5</v>
      </c>
      <c r="C120" s="83" t="s">
        <v>426</v>
      </c>
      <c r="D120" s="74" t="s">
        <v>203</v>
      </c>
      <c r="E120" s="74" t="s">
        <v>427</v>
      </c>
      <c r="F120" s="1" t="s">
        <v>382</v>
      </c>
      <c r="G120" s="74" t="s">
        <v>29</v>
      </c>
      <c r="H120" s="75" t="s">
        <v>29</v>
      </c>
      <c r="I120" s="76">
        <v>0.68</v>
      </c>
      <c r="J120" s="77">
        <v>0.64</v>
      </c>
      <c r="K120" s="78" t="s">
        <v>30</v>
      </c>
      <c r="L120" s="78" t="s">
        <v>30</v>
      </c>
      <c r="M120" s="78" t="s">
        <v>30</v>
      </c>
      <c r="N120" s="78" t="s">
        <v>30</v>
      </c>
      <c r="O120" s="78" t="s">
        <v>30</v>
      </c>
      <c r="P120" s="78" t="s">
        <v>30</v>
      </c>
      <c r="Q120" s="77">
        <v>1</v>
      </c>
      <c r="R120" s="77">
        <v>0.68</v>
      </c>
      <c r="S120" s="77">
        <v>1</v>
      </c>
      <c r="T120" s="79">
        <v>0.81</v>
      </c>
      <c r="U120" s="77">
        <v>0.69</v>
      </c>
      <c r="V120" s="80">
        <v>0.98</v>
      </c>
      <c r="W120" s="81">
        <v>0.89</v>
      </c>
      <c r="X120" s="82">
        <v>0.8</v>
      </c>
      <c r="Y120" s="29">
        <f t="shared" si="27"/>
        <v>0.8</v>
      </c>
      <c r="Z120" s="29"/>
      <c r="AA120" s="29">
        <v>0.83</v>
      </c>
      <c r="AB120" s="29" t="s">
        <v>122</v>
      </c>
      <c r="AC120" t="str">
        <f t="shared" si="28"/>
        <v>Pendiente</v>
      </c>
    </row>
    <row r="121" spans="1:29" ht="15" customHeight="1" thickBot="1" x14ac:dyDescent="0.35">
      <c r="A121" s="88"/>
      <c r="B121" s="45">
        <v>20</v>
      </c>
      <c r="C121" s="83" t="s">
        <v>428</v>
      </c>
      <c r="D121" s="74" t="s">
        <v>429</v>
      </c>
      <c r="E121" s="74" t="s">
        <v>430</v>
      </c>
      <c r="F121" s="1" t="s">
        <v>382</v>
      </c>
      <c r="G121" s="74" t="s">
        <v>29</v>
      </c>
      <c r="H121" s="75" t="s">
        <v>29</v>
      </c>
      <c r="I121" s="76">
        <v>0.6</v>
      </c>
      <c r="J121" s="77">
        <v>0.82</v>
      </c>
      <c r="K121" s="78" t="s">
        <v>30</v>
      </c>
      <c r="L121" s="78" t="s">
        <v>30</v>
      </c>
      <c r="M121" s="78" t="s">
        <v>30</v>
      </c>
      <c r="N121" s="78" t="s">
        <v>30</v>
      </c>
      <c r="O121" s="78" t="s">
        <v>30</v>
      </c>
      <c r="P121" s="78" t="s">
        <v>30</v>
      </c>
      <c r="Q121" s="77">
        <v>1</v>
      </c>
      <c r="R121" s="77">
        <v>0.6</v>
      </c>
      <c r="S121" s="77">
        <v>0.73</v>
      </c>
      <c r="T121" s="79">
        <v>0.81</v>
      </c>
      <c r="U121" s="77">
        <v>0.69</v>
      </c>
      <c r="V121" s="80">
        <v>0.93</v>
      </c>
      <c r="W121" s="81">
        <v>0.83</v>
      </c>
      <c r="X121" s="82">
        <v>0.75</v>
      </c>
      <c r="Y121" s="29">
        <f t="shared" si="27"/>
        <v>0.75</v>
      </c>
      <c r="Z121" s="29"/>
      <c r="AA121" s="29"/>
      <c r="AB121" s="29" t="s">
        <v>122</v>
      </c>
      <c r="AC121" t="str">
        <f t="shared" si="28"/>
        <v>Pendiente</v>
      </c>
    </row>
    <row r="122" spans="1:29" ht="15" customHeight="1" thickBot="1" x14ac:dyDescent="0.35">
      <c r="A122" s="88"/>
      <c r="B122" s="45">
        <v>15</v>
      </c>
      <c r="C122" s="83" t="s">
        <v>431</v>
      </c>
      <c r="D122" s="74" t="s">
        <v>432</v>
      </c>
      <c r="E122" s="74" t="s">
        <v>433</v>
      </c>
      <c r="F122" s="1" t="s">
        <v>382</v>
      </c>
      <c r="G122" s="74" t="s">
        <v>29</v>
      </c>
      <c r="H122" s="75" t="s">
        <v>29</v>
      </c>
      <c r="I122" s="76">
        <v>0.9</v>
      </c>
      <c r="J122" s="77">
        <v>0.91</v>
      </c>
      <c r="K122" s="78" t="s">
        <v>30</v>
      </c>
      <c r="L122" s="78" t="s">
        <v>30</v>
      </c>
      <c r="M122" s="78" t="s">
        <v>30</v>
      </c>
      <c r="N122" s="78" t="s">
        <v>30</v>
      </c>
      <c r="O122" s="78" t="s">
        <v>30</v>
      </c>
      <c r="P122" s="78" t="s">
        <v>30</v>
      </c>
      <c r="Q122" s="77">
        <v>1</v>
      </c>
      <c r="R122" s="77">
        <v>0.9</v>
      </c>
      <c r="S122" s="77">
        <v>0.91</v>
      </c>
      <c r="T122" s="79">
        <v>0.81</v>
      </c>
      <c r="U122" s="77">
        <v>0.85</v>
      </c>
      <c r="V122" s="80">
        <v>0.98</v>
      </c>
      <c r="W122" s="81">
        <v>0.9</v>
      </c>
      <c r="X122" s="82">
        <v>0.91</v>
      </c>
      <c r="Y122" s="29">
        <f t="shared" si="27"/>
        <v>0.91</v>
      </c>
      <c r="Z122" s="29">
        <v>0.75560000000000005</v>
      </c>
      <c r="AA122" s="29">
        <v>0.87269999999999992</v>
      </c>
      <c r="AB122" s="29">
        <f t="shared" si="33"/>
        <v>0.82534000000000007</v>
      </c>
      <c r="AC122" t="str">
        <f t="shared" si="28"/>
        <v>Aprobada</v>
      </c>
    </row>
    <row r="123" spans="1:29" ht="15" customHeight="1" thickBot="1" x14ac:dyDescent="0.35">
      <c r="A123" s="84" t="s">
        <v>495</v>
      </c>
      <c r="B123" s="45">
        <v>22</v>
      </c>
      <c r="C123" s="83" t="s">
        <v>456</v>
      </c>
      <c r="D123" s="74" t="s">
        <v>434</v>
      </c>
      <c r="E123" s="74" t="s">
        <v>267</v>
      </c>
      <c r="F123" s="1" t="e">
        <f>+VLOOKUP(C123,#REF!,5,FALSE)</f>
        <v>#REF!</v>
      </c>
      <c r="G123" s="74" t="s">
        <v>29</v>
      </c>
      <c r="H123" s="75" t="s">
        <v>29</v>
      </c>
      <c r="I123" s="76">
        <v>0.54</v>
      </c>
      <c r="J123" s="77">
        <v>0.73</v>
      </c>
      <c r="K123" s="78"/>
      <c r="L123" s="78"/>
      <c r="M123" s="78"/>
      <c r="N123" s="78"/>
      <c r="O123" s="78"/>
      <c r="P123" s="78"/>
      <c r="Q123" s="77">
        <v>1</v>
      </c>
      <c r="R123" s="77">
        <v>0.45</v>
      </c>
      <c r="S123" s="77">
        <v>0.82</v>
      </c>
      <c r="T123" s="79">
        <v>0.75</v>
      </c>
      <c r="U123" s="77">
        <v>0.62</v>
      </c>
      <c r="V123" s="80">
        <v>0.98</v>
      </c>
      <c r="W123" s="81">
        <v>0.83</v>
      </c>
      <c r="X123" s="82">
        <v>0.69</v>
      </c>
      <c r="Y123" s="29">
        <f t="shared" si="27"/>
        <v>0.69</v>
      </c>
      <c r="Z123" s="29"/>
      <c r="AA123" s="29"/>
      <c r="AB123" s="29" t="s">
        <v>122</v>
      </c>
      <c r="AC123" t="str">
        <f t="shared" ref="AC123:AC146" si="35">+IF(AB123="pendiente","Pendiente",IF(AB123&gt;=0.8,"Aprobada","Reprobada"))</f>
        <v>Pendiente</v>
      </c>
    </row>
    <row r="124" spans="1:29" ht="15" customHeight="1" thickBot="1" x14ac:dyDescent="0.35">
      <c r="A124" s="85"/>
      <c r="B124" s="45">
        <v>17</v>
      </c>
      <c r="C124" s="83" t="s">
        <v>457</v>
      </c>
      <c r="D124" s="74" t="s">
        <v>355</v>
      </c>
      <c r="E124" s="74" t="s">
        <v>435</v>
      </c>
      <c r="F124" s="1" t="e">
        <f>+VLOOKUP(C124,#REF!,5,FALSE)</f>
        <v>#REF!</v>
      </c>
      <c r="G124" s="74" t="s">
        <v>29</v>
      </c>
      <c r="H124" s="75" t="s">
        <v>29</v>
      </c>
      <c r="I124" s="76">
        <v>0.56999999999999995</v>
      </c>
      <c r="J124" s="77">
        <v>0.82</v>
      </c>
      <c r="K124" s="78"/>
      <c r="L124" s="78"/>
      <c r="M124" s="78"/>
      <c r="N124" s="78"/>
      <c r="O124" s="78"/>
      <c r="P124" s="78"/>
      <c r="Q124" s="77">
        <v>1</v>
      </c>
      <c r="R124" s="77">
        <v>0.82</v>
      </c>
      <c r="S124" s="77">
        <v>1</v>
      </c>
      <c r="T124" s="79">
        <v>0.94</v>
      </c>
      <c r="U124" s="77">
        <v>0.77</v>
      </c>
      <c r="V124" s="80">
        <v>1</v>
      </c>
      <c r="W124" s="81">
        <v>0.95</v>
      </c>
      <c r="X124" s="82">
        <v>0.89</v>
      </c>
      <c r="Y124" s="29">
        <f t="shared" si="27"/>
        <v>0.89</v>
      </c>
      <c r="Z124" s="29"/>
      <c r="AA124" s="29"/>
      <c r="AB124" s="29" t="s">
        <v>122</v>
      </c>
      <c r="AC124" t="str">
        <f t="shared" si="35"/>
        <v>Pendiente</v>
      </c>
    </row>
    <row r="125" spans="1:29" ht="15" customHeight="1" thickBot="1" x14ac:dyDescent="0.35">
      <c r="A125" s="85"/>
      <c r="B125" s="45">
        <v>1</v>
      </c>
      <c r="C125" s="83" t="s">
        <v>458</v>
      </c>
      <c r="D125" s="74" t="s">
        <v>395</v>
      </c>
      <c r="E125" s="74" t="s">
        <v>436</v>
      </c>
      <c r="F125" s="1" t="e">
        <f>+VLOOKUP(C125,#REF!,5,FALSE)</f>
        <v>#REF!</v>
      </c>
      <c r="G125" s="74" t="s">
        <v>29</v>
      </c>
      <c r="H125" s="75" t="s">
        <v>29</v>
      </c>
      <c r="I125" s="76">
        <v>0.65</v>
      </c>
      <c r="J125" s="77">
        <v>0.91</v>
      </c>
      <c r="K125" s="78"/>
      <c r="L125" s="78"/>
      <c r="M125" s="78"/>
      <c r="N125" s="78"/>
      <c r="O125" s="78"/>
      <c r="P125" s="78"/>
      <c r="Q125" s="77">
        <v>1</v>
      </c>
      <c r="R125" s="77">
        <v>0.85</v>
      </c>
      <c r="S125" s="77">
        <v>1</v>
      </c>
      <c r="T125" s="79">
        <v>0.75</v>
      </c>
      <c r="U125" s="77">
        <v>0.69</v>
      </c>
      <c r="V125" s="80">
        <v>0.8</v>
      </c>
      <c r="W125" s="81">
        <v>0.8</v>
      </c>
      <c r="X125" s="82">
        <v>0.84</v>
      </c>
      <c r="Y125" s="29">
        <f t="shared" si="27"/>
        <v>0.84</v>
      </c>
      <c r="Z125" s="29"/>
      <c r="AA125" s="29"/>
      <c r="AB125" s="29" t="s">
        <v>122</v>
      </c>
      <c r="AC125" t="str">
        <f t="shared" si="35"/>
        <v>Pendiente</v>
      </c>
    </row>
    <row r="126" spans="1:29" ht="15" customHeight="1" thickBot="1" x14ac:dyDescent="0.35">
      <c r="A126" s="85"/>
      <c r="B126" s="45">
        <v>14</v>
      </c>
      <c r="C126" s="83" t="s">
        <v>278</v>
      </c>
      <c r="D126" s="74" t="s">
        <v>232</v>
      </c>
      <c r="E126" s="74" t="s">
        <v>233</v>
      </c>
      <c r="F126" s="1" t="e">
        <f>+VLOOKUP(C126,#REF!,5,FALSE)</f>
        <v>#REF!</v>
      </c>
      <c r="G126" s="74" t="s">
        <v>29</v>
      </c>
      <c r="H126" s="75" t="s">
        <v>29</v>
      </c>
      <c r="I126" s="76">
        <v>0.46</v>
      </c>
      <c r="J126" s="77">
        <v>0.73</v>
      </c>
      <c r="K126" s="78"/>
      <c r="L126" s="78"/>
      <c r="M126" s="78"/>
      <c r="N126" s="78"/>
      <c r="O126" s="78"/>
      <c r="P126" s="78"/>
      <c r="Q126" s="77">
        <v>1</v>
      </c>
      <c r="R126" s="77">
        <v>0.65</v>
      </c>
      <c r="S126" s="77">
        <v>0.91</v>
      </c>
      <c r="T126" s="79">
        <v>0.75</v>
      </c>
      <c r="U126" s="77">
        <v>0.31</v>
      </c>
      <c r="V126" s="80">
        <v>0.71</v>
      </c>
      <c r="W126" s="81">
        <v>0.69</v>
      </c>
      <c r="X126" s="82">
        <v>0.7</v>
      </c>
      <c r="Y126" s="29">
        <f t="shared" si="27"/>
        <v>0.7</v>
      </c>
      <c r="Z126" s="29">
        <v>0.71109999999999995</v>
      </c>
      <c r="AA126" s="29">
        <v>0.89090000000000003</v>
      </c>
      <c r="AB126" s="29">
        <f t="shared" ref="AB126:AB136" si="36">+Y126*0.3+Z126*0.5+AA126*0.2</f>
        <v>0.74373</v>
      </c>
      <c r="AC126" t="str">
        <f t="shared" si="35"/>
        <v>Reprobada</v>
      </c>
    </row>
    <row r="127" spans="1:29" ht="15" customHeight="1" thickBot="1" x14ac:dyDescent="0.35">
      <c r="A127" s="85"/>
      <c r="B127" s="45">
        <v>10</v>
      </c>
      <c r="C127" s="83" t="s">
        <v>459</v>
      </c>
      <c r="D127" s="74" t="s">
        <v>437</v>
      </c>
      <c r="E127" s="74" t="s">
        <v>438</v>
      </c>
      <c r="F127" s="1" t="e">
        <f>+VLOOKUP(C127,#REF!,5,FALSE)</f>
        <v>#REF!</v>
      </c>
      <c r="G127" s="74" t="s">
        <v>29</v>
      </c>
      <c r="H127" s="75" t="s">
        <v>29</v>
      </c>
      <c r="I127" s="76">
        <v>0.51</v>
      </c>
      <c r="J127" s="77">
        <v>0.73</v>
      </c>
      <c r="K127" s="78"/>
      <c r="L127" s="78"/>
      <c r="M127" s="78"/>
      <c r="N127" s="78"/>
      <c r="O127" s="78"/>
      <c r="P127" s="78"/>
      <c r="Q127" s="77">
        <v>1</v>
      </c>
      <c r="R127" s="77">
        <v>0.72</v>
      </c>
      <c r="S127" s="77">
        <v>0.91</v>
      </c>
      <c r="T127" s="79">
        <v>0.75</v>
      </c>
      <c r="U127" s="77">
        <v>0.62</v>
      </c>
      <c r="V127" s="80">
        <v>0.96</v>
      </c>
      <c r="W127" s="81">
        <v>0.84</v>
      </c>
      <c r="X127" s="82">
        <v>0.8</v>
      </c>
      <c r="Y127" s="29">
        <f t="shared" si="27"/>
        <v>0.8</v>
      </c>
      <c r="Z127" s="29"/>
      <c r="AA127" s="29"/>
      <c r="AB127" s="29" t="s">
        <v>122</v>
      </c>
      <c r="AC127" t="str">
        <f t="shared" si="35"/>
        <v>Pendiente</v>
      </c>
    </row>
    <row r="128" spans="1:29" ht="15" customHeight="1" thickBot="1" x14ac:dyDescent="0.35">
      <c r="A128" s="85"/>
      <c r="B128" s="45">
        <v>16</v>
      </c>
      <c r="C128" s="83" t="s">
        <v>461</v>
      </c>
      <c r="D128" s="74" t="s">
        <v>402</v>
      </c>
      <c r="E128" s="74" t="s">
        <v>439</v>
      </c>
      <c r="F128" s="1" t="s">
        <v>37</v>
      </c>
      <c r="G128" s="74" t="s">
        <v>29</v>
      </c>
      <c r="H128" s="75" t="s">
        <v>29</v>
      </c>
      <c r="I128" s="76">
        <v>0.66</v>
      </c>
      <c r="J128" s="77">
        <v>0.91</v>
      </c>
      <c r="K128" s="78"/>
      <c r="L128" s="78"/>
      <c r="M128" s="78"/>
      <c r="N128" s="78"/>
      <c r="O128" s="78"/>
      <c r="P128" s="78"/>
      <c r="Q128" s="77">
        <v>1</v>
      </c>
      <c r="R128" s="77">
        <v>0.77</v>
      </c>
      <c r="S128" s="77">
        <v>0.82</v>
      </c>
      <c r="T128" s="79">
        <v>0.88</v>
      </c>
      <c r="U128" s="77">
        <v>0.62</v>
      </c>
      <c r="V128" s="80">
        <v>0.85</v>
      </c>
      <c r="W128" s="81">
        <v>0.82</v>
      </c>
      <c r="X128" s="82">
        <v>0.82</v>
      </c>
      <c r="Y128" s="29">
        <f t="shared" ref="Y128:Y146" si="37">+X128</f>
        <v>0.82</v>
      </c>
      <c r="Z128" s="29"/>
      <c r="AA128" s="29"/>
      <c r="AB128" s="29" t="s">
        <v>122</v>
      </c>
      <c r="AC128" t="str">
        <f t="shared" si="35"/>
        <v>Pendiente</v>
      </c>
    </row>
    <row r="129" spans="1:29" ht="15" customHeight="1" thickBot="1" x14ac:dyDescent="0.35">
      <c r="A129" s="85"/>
      <c r="B129" s="45">
        <v>19</v>
      </c>
      <c r="C129" s="83" t="s">
        <v>462</v>
      </c>
      <c r="D129" s="74" t="s">
        <v>440</v>
      </c>
      <c r="E129" s="74" t="s">
        <v>269</v>
      </c>
      <c r="F129" s="1" t="s">
        <v>463</v>
      </c>
      <c r="G129" s="74" t="s">
        <v>29</v>
      </c>
      <c r="H129" s="75" t="s">
        <v>29</v>
      </c>
      <c r="I129" s="76">
        <v>0.42</v>
      </c>
      <c r="J129" s="77">
        <v>0.73</v>
      </c>
      <c r="K129" s="78"/>
      <c r="L129" s="78"/>
      <c r="M129" s="78"/>
      <c r="N129" s="78"/>
      <c r="O129" s="78"/>
      <c r="P129" s="78"/>
      <c r="Q129" s="77">
        <v>1</v>
      </c>
      <c r="R129" s="77">
        <v>0.69</v>
      </c>
      <c r="S129" s="77">
        <v>1</v>
      </c>
      <c r="T129" s="79">
        <v>0.75</v>
      </c>
      <c r="U129" s="77">
        <v>0.54</v>
      </c>
      <c r="V129" s="80">
        <v>0.91</v>
      </c>
      <c r="W129" s="81">
        <v>0.82</v>
      </c>
      <c r="X129" s="82">
        <v>0.77</v>
      </c>
      <c r="Y129" s="29">
        <f t="shared" si="37"/>
        <v>0.77</v>
      </c>
      <c r="Z129" s="29"/>
      <c r="AA129" s="29"/>
      <c r="AB129" s="29" t="s">
        <v>122</v>
      </c>
      <c r="AC129" t="str">
        <f t="shared" si="35"/>
        <v>Pendiente</v>
      </c>
    </row>
    <row r="130" spans="1:29" ht="15" customHeight="1" thickBot="1" x14ac:dyDescent="0.35">
      <c r="A130" s="85"/>
      <c r="B130" s="45">
        <v>13</v>
      </c>
      <c r="C130" s="83" t="s">
        <v>464</v>
      </c>
      <c r="D130" s="74" t="s">
        <v>257</v>
      </c>
      <c r="E130" s="74" t="s">
        <v>242</v>
      </c>
      <c r="F130" s="1" t="s">
        <v>465</v>
      </c>
      <c r="G130" s="74" t="s">
        <v>29</v>
      </c>
      <c r="H130" s="75" t="s">
        <v>29</v>
      </c>
      <c r="I130" s="76">
        <v>0.75</v>
      </c>
      <c r="J130" s="77">
        <v>0.91</v>
      </c>
      <c r="K130" s="78"/>
      <c r="L130" s="78"/>
      <c r="M130" s="78"/>
      <c r="N130" s="78"/>
      <c r="O130" s="78"/>
      <c r="P130" s="78"/>
      <c r="Q130" s="77">
        <v>1</v>
      </c>
      <c r="R130" s="77">
        <v>0.85</v>
      </c>
      <c r="S130" s="77">
        <v>1</v>
      </c>
      <c r="T130" s="79">
        <v>0.81</v>
      </c>
      <c r="U130" s="77">
        <v>0.23</v>
      </c>
      <c r="V130" s="80">
        <v>0.82</v>
      </c>
      <c r="W130" s="81">
        <v>0.76</v>
      </c>
      <c r="X130" s="82">
        <v>0.82</v>
      </c>
      <c r="Y130" s="29">
        <f t="shared" si="37"/>
        <v>0.82</v>
      </c>
      <c r="Z130" s="29"/>
      <c r="AA130" s="29"/>
      <c r="AB130" s="29" t="s">
        <v>122</v>
      </c>
      <c r="AC130" t="str">
        <f t="shared" si="35"/>
        <v>Pendiente</v>
      </c>
    </row>
    <row r="131" spans="1:29" ht="15" customHeight="1" thickBot="1" x14ac:dyDescent="0.35">
      <c r="A131" s="85"/>
      <c r="B131" s="45">
        <v>18</v>
      </c>
      <c r="C131" s="83" t="s">
        <v>466</v>
      </c>
      <c r="D131" s="74" t="s">
        <v>441</v>
      </c>
      <c r="E131" s="74" t="s">
        <v>367</v>
      </c>
      <c r="F131" s="1" t="s">
        <v>467</v>
      </c>
      <c r="G131" s="74" t="s">
        <v>29</v>
      </c>
      <c r="H131" s="75" t="s">
        <v>29</v>
      </c>
      <c r="I131" s="76">
        <v>0.65</v>
      </c>
      <c r="J131" s="77">
        <v>0.73</v>
      </c>
      <c r="K131" s="78"/>
      <c r="L131" s="78"/>
      <c r="M131" s="78"/>
      <c r="N131" s="78"/>
      <c r="O131" s="78"/>
      <c r="P131" s="78"/>
      <c r="Q131" s="77">
        <v>1</v>
      </c>
      <c r="R131" s="77">
        <v>0.7</v>
      </c>
      <c r="S131" s="77">
        <v>0.73</v>
      </c>
      <c r="T131" s="79">
        <v>0.81</v>
      </c>
      <c r="U131" s="77">
        <v>0.23</v>
      </c>
      <c r="V131" s="80">
        <v>0.54</v>
      </c>
      <c r="W131" s="81">
        <v>0.6</v>
      </c>
      <c r="X131" s="82">
        <v>0.69</v>
      </c>
      <c r="Y131" s="29">
        <f t="shared" si="37"/>
        <v>0.69</v>
      </c>
      <c r="Z131" s="29"/>
      <c r="AA131" s="29"/>
      <c r="AB131" s="29" t="s">
        <v>122</v>
      </c>
      <c r="AC131" t="str">
        <f t="shared" si="35"/>
        <v>Pendiente</v>
      </c>
    </row>
    <row r="132" spans="1:29" ht="15" customHeight="1" thickBot="1" x14ac:dyDescent="0.35">
      <c r="A132" s="85"/>
      <c r="B132" s="45">
        <v>5</v>
      </c>
      <c r="C132" s="83" t="s">
        <v>297</v>
      </c>
      <c r="D132" s="74" t="s">
        <v>263</v>
      </c>
      <c r="E132" s="74" t="s">
        <v>202</v>
      </c>
      <c r="F132" s="1" t="s">
        <v>384</v>
      </c>
      <c r="G132" s="74" t="s">
        <v>29</v>
      </c>
      <c r="H132" s="75" t="s">
        <v>29</v>
      </c>
      <c r="I132" s="76">
        <v>0.57999999999999996</v>
      </c>
      <c r="J132" s="77">
        <v>1</v>
      </c>
      <c r="K132" s="78"/>
      <c r="L132" s="78"/>
      <c r="M132" s="78"/>
      <c r="N132" s="78"/>
      <c r="O132" s="78"/>
      <c r="P132" s="78"/>
      <c r="Q132" s="77">
        <v>1</v>
      </c>
      <c r="R132" s="77">
        <v>0.4</v>
      </c>
      <c r="S132" s="77">
        <v>1</v>
      </c>
      <c r="T132" s="79">
        <v>0.75</v>
      </c>
      <c r="U132" s="77">
        <v>0.54</v>
      </c>
      <c r="V132" s="80">
        <v>0.82</v>
      </c>
      <c r="W132" s="81">
        <v>0.78</v>
      </c>
      <c r="X132" s="82">
        <v>0.65</v>
      </c>
      <c r="Y132" s="29">
        <f t="shared" si="37"/>
        <v>0.65</v>
      </c>
      <c r="Z132" s="29">
        <v>0.82220000000000004</v>
      </c>
      <c r="AA132" s="29">
        <v>0.81820000000000004</v>
      </c>
      <c r="AB132" s="29">
        <f t="shared" si="36"/>
        <v>0.76974000000000009</v>
      </c>
      <c r="AC132" t="str">
        <f t="shared" si="35"/>
        <v>Reprobada</v>
      </c>
    </row>
    <row r="133" spans="1:29" ht="15" customHeight="1" thickBot="1" x14ac:dyDescent="0.35">
      <c r="A133" s="85"/>
      <c r="B133" s="45">
        <v>6</v>
      </c>
      <c r="C133" s="83" t="s">
        <v>151</v>
      </c>
      <c r="D133" s="74" t="s">
        <v>130</v>
      </c>
      <c r="E133" s="74" t="s">
        <v>131</v>
      </c>
      <c r="F133" s="1" t="s">
        <v>468</v>
      </c>
      <c r="G133" s="74" t="s">
        <v>29</v>
      </c>
      <c r="H133" s="75" t="s">
        <v>56</v>
      </c>
      <c r="I133" s="76">
        <v>0.62</v>
      </c>
      <c r="J133" s="77">
        <v>0.91</v>
      </c>
      <c r="K133" s="78"/>
      <c r="L133" s="78"/>
      <c r="M133" s="78"/>
      <c r="N133" s="78"/>
      <c r="O133" s="78"/>
      <c r="P133" s="78"/>
      <c r="Q133" s="77">
        <v>1</v>
      </c>
      <c r="R133" s="77">
        <v>0.84</v>
      </c>
      <c r="S133" s="77"/>
      <c r="T133" s="79"/>
      <c r="U133" s="77"/>
      <c r="V133" s="80"/>
      <c r="W133" s="81">
        <v>0</v>
      </c>
      <c r="X133" s="82">
        <v>0.47</v>
      </c>
      <c r="Y133" s="29">
        <f t="shared" si="37"/>
        <v>0.47</v>
      </c>
      <c r="Z133" s="29">
        <v>0.82220000000000004</v>
      </c>
      <c r="AA133" s="29">
        <v>0.82220000000000004</v>
      </c>
      <c r="AB133" s="29">
        <f t="shared" si="36"/>
        <v>0.71654000000000007</v>
      </c>
      <c r="AC133" t="str">
        <f t="shared" si="35"/>
        <v>Reprobada</v>
      </c>
    </row>
    <row r="134" spans="1:29" ht="15" customHeight="1" thickBot="1" x14ac:dyDescent="0.35">
      <c r="A134" s="85"/>
      <c r="B134" s="45">
        <v>8</v>
      </c>
      <c r="C134" s="83" t="s">
        <v>469</v>
      </c>
      <c r="D134" s="74" t="s">
        <v>442</v>
      </c>
      <c r="E134" s="74" t="s">
        <v>443</v>
      </c>
      <c r="F134" s="1" t="s">
        <v>470</v>
      </c>
      <c r="G134" s="74" t="s">
        <v>29</v>
      </c>
      <c r="H134" s="75" t="s">
        <v>56</v>
      </c>
      <c r="I134" s="76">
        <v>0.66</v>
      </c>
      <c r="J134" s="77">
        <v>0.91</v>
      </c>
      <c r="K134" s="78"/>
      <c r="L134" s="78"/>
      <c r="M134" s="78"/>
      <c r="N134" s="78"/>
      <c r="O134" s="78"/>
      <c r="P134" s="78"/>
      <c r="Q134" s="77">
        <v>1</v>
      </c>
      <c r="R134" s="77">
        <v>0.78</v>
      </c>
      <c r="S134" s="77"/>
      <c r="T134" s="79"/>
      <c r="U134" s="77"/>
      <c r="V134" s="80"/>
      <c r="W134" s="81">
        <v>0</v>
      </c>
      <c r="X134" s="82">
        <v>0.45</v>
      </c>
      <c r="Y134" s="29">
        <f t="shared" si="37"/>
        <v>0.45</v>
      </c>
      <c r="Z134" s="29"/>
      <c r="AA134" s="29"/>
      <c r="AB134" s="29" t="s">
        <v>122</v>
      </c>
      <c r="AC134" t="str">
        <f t="shared" si="35"/>
        <v>Pendiente</v>
      </c>
    </row>
    <row r="135" spans="1:29" ht="15" customHeight="1" thickBot="1" x14ac:dyDescent="0.35">
      <c r="A135" s="85"/>
      <c r="B135" s="45">
        <v>7</v>
      </c>
      <c r="C135" s="83" t="s">
        <v>374</v>
      </c>
      <c r="D135" s="74" t="s">
        <v>217</v>
      </c>
      <c r="E135" s="74" t="s">
        <v>444</v>
      </c>
      <c r="F135" s="1" t="s">
        <v>471</v>
      </c>
      <c r="G135" s="74" t="s">
        <v>29</v>
      </c>
      <c r="H135" s="75" t="s">
        <v>29</v>
      </c>
      <c r="I135" s="76">
        <v>0.69</v>
      </c>
      <c r="J135" s="77">
        <v>0.73</v>
      </c>
      <c r="K135" s="78"/>
      <c r="L135" s="78"/>
      <c r="M135" s="78"/>
      <c r="N135" s="78"/>
      <c r="O135" s="78"/>
      <c r="P135" s="78"/>
      <c r="Q135" s="77">
        <v>1</v>
      </c>
      <c r="R135" s="77">
        <v>0.85</v>
      </c>
      <c r="S135" s="77">
        <v>0.91</v>
      </c>
      <c r="T135" s="79">
        <v>0.75</v>
      </c>
      <c r="U135" s="77">
        <v>0.31</v>
      </c>
      <c r="V135" s="80">
        <v>0.78</v>
      </c>
      <c r="W135" s="81">
        <v>0.72</v>
      </c>
      <c r="X135" s="82">
        <v>0.8</v>
      </c>
      <c r="Y135" s="29">
        <f t="shared" si="37"/>
        <v>0.8</v>
      </c>
      <c r="Z135" s="29">
        <v>0.8</v>
      </c>
      <c r="AA135" s="29">
        <v>0.85</v>
      </c>
      <c r="AB135" s="29">
        <f t="shared" si="36"/>
        <v>0.81</v>
      </c>
      <c r="AC135" t="str">
        <f t="shared" si="35"/>
        <v>Aprobada</v>
      </c>
    </row>
    <row r="136" spans="1:29" ht="15" customHeight="1" thickBot="1" x14ac:dyDescent="0.35">
      <c r="A136" s="85"/>
      <c r="B136" s="45">
        <v>9</v>
      </c>
      <c r="C136" s="83" t="s">
        <v>121</v>
      </c>
      <c r="D136" s="74" t="s">
        <v>66</v>
      </c>
      <c r="E136" s="74" t="s">
        <v>67</v>
      </c>
      <c r="F136" s="1" t="s">
        <v>460</v>
      </c>
      <c r="G136" s="74" t="s">
        <v>29</v>
      </c>
      <c r="H136" s="75" t="s">
        <v>29</v>
      </c>
      <c r="I136" s="76">
        <v>0.71</v>
      </c>
      <c r="J136" s="77">
        <v>0.91</v>
      </c>
      <c r="K136" s="78"/>
      <c r="L136" s="78"/>
      <c r="M136" s="78"/>
      <c r="N136" s="78"/>
      <c r="O136" s="78"/>
      <c r="P136" s="78"/>
      <c r="Q136" s="77">
        <v>1</v>
      </c>
      <c r="R136" s="77">
        <v>0.85</v>
      </c>
      <c r="S136" s="77">
        <v>0.82</v>
      </c>
      <c r="T136" s="79">
        <v>0.75</v>
      </c>
      <c r="U136" s="77">
        <v>0.46</v>
      </c>
      <c r="V136" s="80">
        <v>0.98</v>
      </c>
      <c r="W136" s="81">
        <v>0.81</v>
      </c>
      <c r="X136" s="82">
        <v>0.84</v>
      </c>
      <c r="Y136" s="29">
        <f t="shared" si="37"/>
        <v>0.84</v>
      </c>
      <c r="Z136" s="29">
        <v>0.8</v>
      </c>
      <c r="AA136" s="29">
        <v>0.93</v>
      </c>
      <c r="AB136" s="29">
        <f t="shared" si="36"/>
        <v>0.83800000000000008</v>
      </c>
      <c r="AC136" t="str">
        <f t="shared" si="35"/>
        <v>Aprobada</v>
      </c>
    </row>
    <row r="137" spans="1:29" ht="15" customHeight="1" thickBot="1" x14ac:dyDescent="0.35">
      <c r="A137" s="85"/>
      <c r="B137" s="45">
        <v>2</v>
      </c>
      <c r="C137" s="83" t="s">
        <v>472</v>
      </c>
      <c r="D137" s="74" t="s">
        <v>268</v>
      </c>
      <c r="E137" s="74" t="s">
        <v>445</v>
      </c>
      <c r="F137" s="1" t="s">
        <v>473</v>
      </c>
      <c r="G137" s="74" t="s">
        <v>29</v>
      </c>
      <c r="H137" s="75" t="s">
        <v>29</v>
      </c>
      <c r="I137" s="76">
        <v>0.69</v>
      </c>
      <c r="J137" s="77">
        <v>0.82</v>
      </c>
      <c r="K137" s="78"/>
      <c r="L137" s="78"/>
      <c r="M137" s="78"/>
      <c r="N137" s="78"/>
      <c r="O137" s="78"/>
      <c r="P137" s="78"/>
      <c r="Q137" s="77">
        <v>1</v>
      </c>
      <c r="R137" s="77">
        <v>0.85</v>
      </c>
      <c r="S137" s="77">
        <v>0.82</v>
      </c>
      <c r="T137" s="79">
        <v>0.75</v>
      </c>
      <c r="U137" s="77">
        <v>0.39</v>
      </c>
      <c r="V137" s="80">
        <v>0.93</v>
      </c>
      <c r="W137" s="81">
        <v>0.78</v>
      </c>
      <c r="X137" s="82">
        <v>0.83</v>
      </c>
      <c r="Y137" s="29">
        <f t="shared" si="37"/>
        <v>0.83</v>
      </c>
      <c r="Z137" s="29"/>
      <c r="AA137" s="29"/>
      <c r="AB137" s="29" t="s">
        <v>122</v>
      </c>
      <c r="AC137" t="str">
        <f t="shared" si="35"/>
        <v>Pendiente</v>
      </c>
    </row>
    <row r="138" spans="1:29" ht="15" customHeight="1" thickBot="1" x14ac:dyDescent="0.35">
      <c r="A138" s="85"/>
      <c r="B138" s="45">
        <v>21</v>
      </c>
      <c r="C138" s="83" t="s">
        <v>474</v>
      </c>
      <c r="D138" s="74" t="s">
        <v>446</v>
      </c>
      <c r="E138" s="74" t="s">
        <v>367</v>
      </c>
      <c r="F138" s="1" t="s">
        <v>475</v>
      </c>
      <c r="G138" s="74" t="s">
        <v>29</v>
      </c>
      <c r="H138" s="75" t="s">
        <v>29</v>
      </c>
      <c r="I138" s="76">
        <v>0.69</v>
      </c>
      <c r="J138" s="77">
        <v>0.91</v>
      </c>
      <c r="K138" s="78"/>
      <c r="L138" s="78"/>
      <c r="M138" s="78"/>
      <c r="N138" s="78"/>
      <c r="O138" s="78"/>
      <c r="P138" s="78"/>
      <c r="Q138" s="77">
        <v>1</v>
      </c>
      <c r="R138" s="77">
        <v>0.56999999999999995</v>
      </c>
      <c r="S138" s="77">
        <v>0.91</v>
      </c>
      <c r="T138" s="79">
        <v>0.75</v>
      </c>
      <c r="U138" s="77">
        <v>0.39</v>
      </c>
      <c r="V138" s="80">
        <v>0.96</v>
      </c>
      <c r="W138" s="81">
        <v>0.8</v>
      </c>
      <c r="X138" s="82">
        <v>0.73</v>
      </c>
      <c r="Y138" s="29">
        <f t="shared" si="37"/>
        <v>0.73</v>
      </c>
      <c r="Z138" s="29"/>
      <c r="AA138" s="29"/>
      <c r="AB138" s="29" t="s">
        <v>122</v>
      </c>
      <c r="AC138" t="str">
        <f t="shared" si="35"/>
        <v>Pendiente</v>
      </c>
    </row>
    <row r="139" spans="1:29" ht="15" customHeight="1" thickBot="1" x14ac:dyDescent="0.35">
      <c r="A139" s="85"/>
      <c r="B139" s="45">
        <v>11</v>
      </c>
      <c r="C139" s="83" t="s">
        <v>476</v>
      </c>
      <c r="D139" s="74" t="s">
        <v>415</v>
      </c>
      <c r="E139" s="74" t="s">
        <v>447</v>
      </c>
      <c r="F139" s="1" t="s">
        <v>477</v>
      </c>
      <c r="G139" s="74" t="s">
        <v>29</v>
      </c>
      <c r="H139" s="75" t="s">
        <v>29</v>
      </c>
      <c r="I139" s="76">
        <v>0.66</v>
      </c>
      <c r="J139" s="77">
        <v>0.91</v>
      </c>
      <c r="K139" s="78"/>
      <c r="L139" s="78"/>
      <c r="M139" s="78"/>
      <c r="N139" s="78"/>
      <c r="O139" s="78"/>
      <c r="P139" s="78"/>
      <c r="Q139" s="77">
        <v>1</v>
      </c>
      <c r="R139" s="77">
        <v>0.62</v>
      </c>
      <c r="S139" s="77">
        <v>1</v>
      </c>
      <c r="T139" s="79">
        <v>0.75</v>
      </c>
      <c r="U139" s="77">
        <v>0.46</v>
      </c>
      <c r="V139" s="80">
        <v>0.82</v>
      </c>
      <c r="W139" s="81">
        <v>0.77</v>
      </c>
      <c r="X139" s="82">
        <v>0.73</v>
      </c>
      <c r="Y139" s="29">
        <f t="shared" si="37"/>
        <v>0.73</v>
      </c>
      <c r="Z139" s="29"/>
      <c r="AA139" s="29">
        <v>0.89090000000000003</v>
      </c>
      <c r="AB139" s="29" t="s">
        <v>122</v>
      </c>
      <c r="AC139" t="str">
        <f t="shared" si="35"/>
        <v>Pendiente</v>
      </c>
    </row>
    <row r="140" spans="1:29" ht="15" customHeight="1" thickBot="1" x14ac:dyDescent="0.35">
      <c r="A140" s="85"/>
      <c r="B140" s="45">
        <v>23</v>
      </c>
      <c r="C140" s="83" t="s">
        <v>478</v>
      </c>
      <c r="D140" s="74" t="s">
        <v>448</v>
      </c>
      <c r="E140" s="74" t="s">
        <v>449</v>
      </c>
      <c r="F140" s="1" t="s">
        <v>479</v>
      </c>
      <c r="G140" s="74" t="s">
        <v>29</v>
      </c>
      <c r="H140" s="75" t="s">
        <v>29</v>
      </c>
      <c r="I140" s="76">
        <v>0.69</v>
      </c>
      <c r="J140" s="77">
        <v>0.82</v>
      </c>
      <c r="K140" s="78"/>
      <c r="L140" s="78"/>
      <c r="M140" s="78"/>
      <c r="N140" s="78"/>
      <c r="O140" s="78"/>
      <c r="P140" s="78"/>
      <c r="Q140" s="77">
        <v>1</v>
      </c>
      <c r="R140" s="77">
        <v>0.7</v>
      </c>
      <c r="S140" s="77">
        <v>0.91</v>
      </c>
      <c r="T140" s="79">
        <v>0.69</v>
      </c>
      <c r="U140" s="77">
        <v>0.92</v>
      </c>
      <c r="V140" s="80">
        <v>0.84</v>
      </c>
      <c r="W140" s="81">
        <v>0.82</v>
      </c>
      <c r="X140" s="82">
        <v>0.79</v>
      </c>
      <c r="Y140" s="29">
        <f t="shared" si="37"/>
        <v>0.79</v>
      </c>
      <c r="Z140" s="29"/>
      <c r="AA140" s="29"/>
      <c r="AB140" s="29" t="s">
        <v>122</v>
      </c>
      <c r="AC140" t="str">
        <f t="shared" si="35"/>
        <v>Pendiente</v>
      </c>
    </row>
    <row r="141" spans="1:29" ht="15" customHeight="1" thickBot="1" x14ac:dyDescent="0.35">
      <c r="A141" s="85"/>
      <c r="B141" s="45">
        <v>4</v>
      </c>
      <c r="C141" s="83" t="s">
        <v>480</v>
      </c>
      <c r="D141" s="74" t="s">
        <v>450</v>
      </c>
      <c r="E141" s="74" t="s">
        <v>40</v>
      </c>
      <c r="F141" s="1" t="s">
        <v>323</v>
      </c>
      <c r="G141" s="74" t="s">
        <v>29</v>
      </c>
      <c r="H141" s="75" t="s">
        <v>29</v>
      </c>
      <c r="I141" s="76">
        <v>0.69</v>
      </c>
      <c r="J141" s="77">
        <v>0.73</v>
      </c>
      <c r="K141" s="78"/>
      <c r="L141" s="78"/>
      <c r="M141" s="78"/>
      <c r="N141" s="78"/>
      <c r="O141" s="78"/>
      <c r="P141" s="78"/>
      <c r="Q141" s="77">
        <v>1</v>
      </c>
      <c r="R141" s="77">
        <v>0.81</v>
      </c>
      <c r="S141" s="77">
        <v>0.82</v>
      </c>
      <c r="T141" s="79">
        <v>0.75</v>
      </c>
      <c r="U141" s="77">
        <v>0.62</v>
      </c>
      <c r="V141" s="80">
        <v>0.85</v>
      </c>
      <c r="W141" s="81">
        <v>0.78</v>
      </c>
      <c r="X141" s="82">
        <v>0.81</v>
      </c>
      <c r="Y141" s="29">
        <f t="shared" si="37"/>
        <v>0.81</v>
      </c>
      <c r="Z141" s="29"/>
      <c r="AA141" s="29"/>
      <c r="AB141" s="29" t="s">
        <v>122</v>
      </c>
      <c r="AC141" t="str">
        <f t="shared" si="35"/>
        <v>Pendiente</v>
      </c>
    </row>
    <row r="142" spans="1:29" ht="15" customHeight="1" thickBot="1" x14ac:dyDescent="0.35">
      <c r="A142" s="85"/>
      <c r="B142" s="45">
        <v>12</v>
      </c>
      <c r="C142" s="83" t="s">
        <v>481</v>
      </c>
      <c r="D142" s="74" t="s">
        <v>451</v>
      </c>
      <c r="E142" s="74" t="s">
        <v>452</v>
      </c>
      <c r="F142" s="1" t="s">
        <v>482</v>
      </c>
      <c r="G142" s="74" t="s">
        <v>29</v>
      </c>
      <c r="H142" s="75" t="s">
        <v>56</v>
      </c>
      <c r="I142" s="76">
        <v>0.62</v>
      </c>
      <c r="J142" s="77">
        <v>0.91</v>
      </c>
      <c r="K142" s="78"/>
      <c r="L142" s="78"/>
      <c r="M142" s="78"/>
      <c r="N142" s="78"/>
      <c r="O142" s="78"/>
      <c r="P142" s="78"/>
      <c r="Q142" s="77">
        <v>1</v>
      </c>
      <c r="R142" s="77">
        <v>0.81</v>
      </c>
      <c r="S142" s="77"/>
      <c r="T142" s="79"/>
      <c r="U142" s="77"/>
      <c r="V142" s="80"/>
      <c r="W142" s="81">
        <v>0</v>
      </c>
      <c r="X142" s="82">
        <v>0.46</v>
      </c>
      <c r="Y142" s="29">
        <f t="shared" si="37"/>
        <v>0.46</v>
      </c>
      <c r="Z142" s="29"/>
      <c r="AA142" s="29"/>
      <c r="AB142" s="29" t="s">
        <v>122</v>
      </c>
      <c r="AC142" t="str">
        <f t="shared" si="35"/>
        <v>Pendiente</v>
      </c>
    </row>
    <row r="143" spans="1:29" ht="15" customHeight="1" thickBot="1" x14ac:dyDescent="0.35">
      <c r="A143" s="85"/>
      <c r="B143" s="45">
        <v>3</v>
      </c>
      <c r="C143" s="83" t="s">
        <v>483</v>
      </c>
      <c r="D143" s="74" t="s">
        <v>453</v>
      </c>
      <c r="E143" s="74" t="s">
        <v>172</v>
      </c>
      <c r="F143" s="1" t="s">
        <v>484</v>
      </c>
      <c r="G143" s="74" t="s">
        <v>29</v>
      </c>
      <c r="H143" s="75" t="s">
        <v>29</v>
      </c>
      <c r="I143" s="76">
        <v>0.83</v>
      </c>
      <c r="J143" s="77">
        <v>0.73</v>
      </c>
      <c r="K143" s="78"/>
      <c r="L143" s="78"/>
      <c r="M143" s="78"/>
      <c r="N143" s="78"/>
      <c r="O143" s="78"/>
      <c r="P143" s="78"/>
      <c r="Q143" s="77">
        <v>1</v>
      </c>
      <c r="R143" s="77">
        <v>0.85</v>
      </c>
      <c r="S143" s="77">
        <v>0.73</v>
      </c>
      <c r="T143" s="79">
        <v>0.75</v>
      </c>
      <c r="U143" s="77">
        <v>0.39</v>
      </c>
      <c r="V143" s="80">
        <v>0.8</v>
      </c>
      <c r="W143" s="81">
        <v>0.71</v>
      </c>
      <c r="X143" s="82">
        <v>0.8</v>
      </c>
      <c r="Y143" s="29">
        <f t="shared" si="37"/>
        <v>0.8</v>
      </c>
      <c r="Z143" s="29"/>
      <c r="AA143" s="29"/>
      <c r="AB143" s="29" t="s">
        <v>122</v>
      </c>
      <c r="AC143" t="str">
        <f t="shared" si="35"/>
        <v>Pendiente</v>
      </c>
    </row>
    <row r="144" spans="1:29" ht="15" customHeight="1" thickBot="1" x14ac:dyDescent="0.35">
      <c r="A144" s="85"/>
      <c r="B144" s="45">
        <v>15</v>
      </c>
      <c r="C144" s="83" t="s">
        <v>485</v>
      </c>
      <c r="D144" s="74" t="s">
        <v>143</v>
      </c>
      <c r="E144" s="74" t="s">
        <v>454</v>
      </c>
      <c r="F144" s="1" t="s">
        <v>486</v>
      </c>
      <c r="G144" s="74" t="s">
        <v>29</v>
      </c>
      <c r="H144" s="75" t="s">
        <v>29</v>
      </c>
      <c r="I144" s="76">
        <v>0.74</v>
      </c>
      <c r="J144" s="77">
        <v>0.91</v>
      </c>
      <c r="K144" s="78"/>
      <c r="L144" s="78"/>
      <c r="M144" s="78"/>
      <c r="N144" s="78"/>
      <c r="O144" s="78"/>
      <c r="P144" s="78"/>
      <c r="Q144" s="77">
        <v>1</v>
      </c>
      <c r="R144" s="77">
        <v>0.85</v>
      </c>
      <c r="S144" s="77">
        <v>1</v>
      </c>
      <c r="T144" s="79">
        <v>0.75</v>
      </c>
      <c r="U144" s="77">
        <v>0.54</v>
      </c>
      <c r="V144" s="80">
        <v>0.84</v>
      </c>
      <c r="W144" s="81">
        <v>0.79</v>
      </c>
      <c r="X144" s="82">
        <v>0.84</v>
      </c>
      <c r="Y144" s="29">
        <f t="shared" si="37"/>
        <v>0.84</v>
      </c>
      <c r="Z144" s="29"/>
      <c r="AA144" s="29"/>
      <c r="AB144" s="29" t="s">
        <v>122</v>
      </c>
      <c r="AC144" t="str">
        <f t="shared" si="35"/>
        <v>Pendiente</v>
      </c>
    </row>
    <row r="145" spans="1:29" ht="15" customHeight="1" thickBot="1" x14ac:dyDescent="0.35">
      <c r="A145" s="85"/>
      <c r="B145" s="45">
        <v>20</v>
      </c>
      <c r="C145" s="83" t="s">
        <v>487</v>
      </c>
      <c r="D145" s="74" t="s">
        <v>432</v>
      </c>
      <c r="E145" s="74" t="s">
        <v>455</v>
      </c>
      <c r="F145" s="1" t="s">
        <v>488</v>
      </c>
      <c r="G145" s="74" t="s">
        <v>29</v>
      </c>
      <c r="H145" s="75" t="s">
        <v>29</v>
      </c>
      <c r="I145" s="76">
        <v>0.71</v>
      </c>
      <c r="J145" s="77">
        <v>0.82</v>
      </c>
      <c r="K145" s="78"/>
      <c r="L145" s="78"/>
      <c r="M145" s="78"/>
      <c r="N145" s="78"/>
      <c r="O145" s="78"/>
      <c r="P145" s="78"/>
      <c r="Q145" s="77">
        <v>1</v>
      </c>
      <c r="R145" s="77">
        <v>0.8</v>
      </c>
      <c r="S145" s="77">
        <v>0.82</v>
      </c>
      <c r="T145" s="79">
        <v>0.75</v>
      </c>
      <c r="U145" s="77">
        <v>0.62</v>
      </c>
      <c r="V145" s="80">
        <v>1</v>
      </c>
      <c r="W145" s="81">
        <v>0.84</v>
      </c>
      <c r="X145" s="82">
        <v>0.84</v>
      </c>
      <c r="Y145" s="29">
        <f t="shared" si="37"/>
        <v>0.84</v>
      </c>
      <c r="Z145" s="29"/>
      <c r="AA145" s="29"/>
      <c r="AB145" s="29" t="s">
        <v>122</v>
      </c>
      <c r="AC145" t="str">
        <f t="shared" si="35"/>
        <v>Pendiente</v>
      </c>
    </row>
    <row r="146" spans="1:29" ht="15" customHeight="1" thickBot="1" x14ac:dyDescent="0.35">
      <c r="A146" s="86"/>
      <c r="B146" s="45">
        <v>9</v>
      </c>
      <c r="C146" s="83" t="s">
        <v>489</v>
      </c>
      <c r="D146" s="74" t="s">
        <v>217</v>
      </c>
      <c r="E146" s="74" t="s">
        <v>406</v>
      </c>
      <c r="F146" s="1" t="s">
        <v>477</v>
      </c>
      <c r="G146" s="74" t="s">
        <v>29</v>
      </c>
      <c r="H146" s="75" t="s">
        <v>29</v>
      </c>
      <c r="I146" s="76">
        <v>0.64</v>
      </c>
      <c r="J146" s="77">
        <v>0.91</v>
      </c>
      <c r="K146" s="78"/>
      <c r="L146" s="78"/>
      <c r="M146" s="78"/>
      <c r="N146" s="78"/>
      <c r="O146" s="78"/>
      <c r="P146" s="78"/>
      <c r="Q146" s="77">
        <v>1</v>
      </c>
      <c r="R146" s="77">
        <v>0.64</v>
      </c>
      <c r="S146" s="77">
        <v>0.82</v>
      </c>
      <c r="T146" s="79">
        <v>0.75</v>
      </c>
      <c r="U146" s="77">
        <v>0.31</v>
      </c>
      <c r="V146" s="80">
        <v>0.82</v>
      </c>
      <c r="W146" s="81">
        <v>0.72</v>
      </c>
      <c r="X146" s="82">
        <v>0.72</v>
      </c>
      <c r="Y146" s="29">
        <f t="shared" si="37"/>
        <v>0.72</v>
      </c>
      <c r="Z146" s="29"/>
      <c r="AA146" s="29">
        <v>0.85450000000000004</v>
      </c>
      <c r="AB146" s="29" t="s">
        <v>122</v>
      </c>
      <c r="AC146" t="str">
        <f t="shared" si="35"/>
        <v>Pendiente</v>
      </c>
    </row>
  </sheetData>
  <autoFilter ref="A2:AO146" xr:uid="{00000000-0001-0000-0000-000000000000}">
    <filterColumn colId="28">
      <filters>
        <filter val="Aprobada"/>
        <filter val="Pendiente"/>
        <filter val="Reprobada"/>
      </filters>
    </filterColumn>
  </autoFilter>
  <mergeCells count="13">
    <mergeCell ref="A123:A146"/>
    <mergeCell ref="AE5:AG5"/>
    <mergeCell ref="A104:A122"/>
    <mergeCell ref="A86:A103"/>
    <mergeCell ref="A68:A85"/>
    <mergeCell ref="R1:V1"/>
    <mergeCell ref="A20:A32"/>
    <mergeCell ref="A3:A19"/>
    <mergeCell ref="A51:A67"/>
    <mergeCell ref="A46:A50"/>
    <mergeCell ref="A33:A45"/>
    <mergeCell ref="I1:J1"/>
    <mergeCell ref="K1:P1"/>
  </mergeCells>
  <conditionalFormatting sqref="X3:X32">
    <cfRule type="cellIs" dxfId="1" priority="4" operator="greaterThan">
      <formula>0.79</formula>
    </cfRule>
  </conditionalFormatting>
  <conditionalFormatting sqref="Y3:AB146">
    <cfRule type="cellIs" dxfId="0" priority="5" operator="lessThan">
      <formula>0.8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8EA6-3840-44A9-9E99-DFBB06138530}">
  <dimension ref="A1:J13"/>
  <sheetViews>
    <sheetView workbookViewId="0">
      <selection activeCell="J2" sqref="J2"/>
    </sheetView>
  </sheetViews>
  <sheetFormatPr baseColWidth="10" defaultColWidth="9.109375" defaultRowHeight="14.4" x14ac:dyDescent="0.3"/>
  <sheetData>
    <row r="1" spans="1:10" ht="43.2" x14ac:dyDescent="0.3">
      <c r="A1" s="14" t="s">
        <v>85</v>
      </c>
      <c r="B1" s="14" t="s">
        <v>86</v>
      </c>
      <c r="C1" s="14" t="s">
        <v>87</v>
      </c>
      <c r="D1" s="14" t="s">
        <v>88</v>
      </c>
      <c r="E1" s="14" t="s">
        <v>89</v>
      </c>
      <c r="F1" s="14" t="s">
        <v>90</v>
      </c>
      <c r="G1" s="14" t="s">
        <v>91</v>
      </c>
      <c r="I1" s="15" t="s">
        <v>92</v>
      </c>
      <c r="J1" s="15" t="s">
        <v>93</v>
      </c>
    </row>
    <row r="2" spans="1:10" ht="43.2" x14ac:dyDescent="0.3">
      <c r="A2" s="16">
        <v>1</v>
      </c>
      <c r="B2" s="16">
        <v>1</v>
      </c>
      <c r="C2" s="17" t="s">
        <v>94</v>
      </c>
      <c r="D2" s="17" t="s">
        <v>95</v>
      </c>
      <c r="E2" s="17" t="s">
        <v>96</v>
      </c>
      <c r="F2" s="17" t="s">
        <v>97</v>
      </c>
      <c r="G2" s="91">
        <v>0.05</v>
      </c>
      <c r="I2" s="15" t="s">
        <v>95</v>
      </c>
      <c r="J2" s="19">
        <v>0.05</v>
      </c>
    </row>
    <row r="3" spans="1:10" ht="57.6" x14ac:dyDescent="0.3">
      <c r="A3" s="16">
        <v>1</v>
      </c>
      <c r="B3" s="16">
        <v>1</v>
      </c>
      <c r="C3" s="17" t="s">
        <v>98</v>
      </c>
      <c r="D3" s="17" t="s">
        <v>95</v>
      </c>
      <c r="E3" s="17" t="s">
        <v>99</v>
      </c>
      <c r="F3" s="20" t="s">
        <v>100</v>
      </c>
      <c r="G3" s="91"/>
      <c r="I3" s="15" t="s">
        <v>101</v>
      </c>
      <c r="J3" s="19">
        <v>0.1</v>
      </c>
    </row>
    <row r="4" spans="1:10" ht="115.2" x14ac:dyDescent="0.3">
      <c r="A4" s="16">
        <v>1</v>
      </c>
      <c r="B4" s="16">
        <v>1</v>
      </c>
      <c r="C4" s="17" t="s">
        <v>102</v>
      </c>
      <c r="D4" s="17" t="s">
        <v>101</v>
      </c>
      <c r="E4" s="16" t="s">
        <v>103</v>
      </c>
      <c r="F4" s="17" t="s">
        <v>104</v>
      </c>
      <c r="G4" s="91">
        <v>0.1</v>
      </c>
      <c r="I4" s="21" t="s">
        <v>105</v>
      </c>
      <c r="J4" s="19">
        <v>0.85</v>
      </c>
    </row>
    <row r="5" spans="1:10" ht="115.2" x14ac:dyDescent="0.3">
      <c r="A5" s="16">
        <v>1</v>
      </c>
      <c r="B5" s="16">
        <v>1</v>
      </c>
      <c r="C5" s="17" t="s">
        <v>106</v>
      </c>
      <c r="D5" s="17" t="s">
        <v>101</v>
      </c>
      <c r="E5" s="16" t="s">
        <v>103</v>
      </c>
      <c r="F5" s="17" t="s">
        <v>104</v>
      </c>
      <c r="G5" s="92"/>
    </row>
    <row r="6" spans="1:10" ht="144" x14ac:dyDescent="0.3">
      <c r="A6" s="16">
        <v>1</v>
      </c>
      <c r="B6" s="16">
        <v>1</v>
      </c>
      <c r="C6" s="17" t="s">
        <v>107</v>
      </c>
      <c r="D6" s="17" t="s">
        <v>101</v>
      </c>
      <c r="E6" s="16" t="s">
        <v>103</v>
      </c>
      <c r="F6" s="17" t="s">
        <v>104</v>
      </c>
      <c r="G6" s="92"/>
    </row>
    <row r="7" spans="1:10" ht="115.2" x14ac:dyDescent="0.3">
      <c r="A7" s="16">
        <v>1</v>
      </c>
      <c r="B7" s="16">
        <v>1</v>
      </c>
      <c r="C7" s="17" t="s">
        <v>108</v>
      </c>
      <c r="D7" s="17" t="s">
        <v>101</v>
      </c>
      <c r="E7" s="16" t="s">
        <v>103</v>
      </c>
      <c r="F7" s="17" t="s">
        <v>104</v>
      </c>
      <c r="G7" s="92"/>
    </row>
    <row r="8" spans="1:10" ht="115.2" x14ac:dyDescent="0.3">
      <c r="A8" s="16">
        <v>1</v>
      </c>
      <c r="B8" s="16">
        <v>1</v>
      </c>
      <c r="C8" s="17" t="s">
        <v>109</v>
      </c>
      <c r="D8" s="17" t="s">
        <v>101</v>
      </c>
      <c r="E8" s="16" t="s">
        <v>103</v>
      </c>
      <c r="F8" s="17" t="s">
        <v>104</v>
      </c>
      <c r="G8" s="92"/>
    </row>
    <row r="9" spans="1:10" ht="100.8" x14ac:dyDescent="0.3">
      <c r="A9" s="16">
        <v>1</v>
      </c>
      <c r="B9" s="16">
        <v>1</v>
      </c>
      <c r="C9" s="17" t="s">
        <v>110</v>
      </c>
      <c r="D9" s="17" t="s">
        <v>101</v>
      </c>
      <c r="E9" s="16" t="s">
        <v>103</v>
      </c>
      <c r="F9" s="17" t="s">
        <v>104</v>
      </c>
      <c r="G9" s="92"/>
    </row>
    <row r="10" spans="1:10" ht="86.4" x14ac:dyDescent="0.3">
      <c r="A10" s="16">
        <v>1</v>
      </c>
      <c r="B10" s="16">
        <v>2</v>
      </c>
      <c r="C10" s="17" t="s">
        <v>111</v>
      </c>
      <c r="D10" s="17" t="s">
        <v>101</v>
      </c>
      <c r="E10" s="16" t="s">
        <v>103</v>
      </c>
      <c r="F10" s="17" t="s">
        <v>104</v>
      </c>
      <c r="G10" s="92"/>
    </row>
    <row r="11" spans="1:10" ht="86.4" x14ac:dyDescent="0.3">
      <c r="A11" s="16">
        <v>1</v>
      </c>
      <c r="B11" s="16">
        <v>2</v>
      </c>
      <c r="C11" s="17" t="s">
        <v>112</v>
      </c>
      <c r="D11" s="17" t="s">
        <v>101</v>
      </c>
      <c r="E11" s="16" t="s">
        <v>103</v>
      </c>
      <c r="F11" s="17" t="s">
        <v>104</v>
      </c>
      <c r="G11" s="92"/>
    </row>
    <row r="12" spans="1:10" ht="86.4" x14ac:dyDescent="0.3">
      <c r="A12" s="16">
        <v>1</v>
      </c>
      <c r="B12" s="16">
        <v>2</v>
      </c>
      <c r="C12" s="17" t="s">
        <v>113</v>
      </c>
      <c r="D12" s="17" t="s">
        <v>105</v>
      </c>
      <c r="E12" s="17" t="s">
        <v>99</v>
      </c>
      <c r="F12" s="20" t="s">
        <v>100</v>
      </c>
      <c r="G12" s="18">
        <v>0.4</v>
      </c>
    </row>
    <row r="13" spans="1:10" ht="288" x14ac:dyDescent="0.3">
      <c r="A13" s="16">
        <v>2</v>
      </c>
      <c r="B13" s="16">
        <v>3</v>
      </c>
      <c r="C13" s="17" t="s">
        <v>114</v>
      </c>
      <c r="D13" s="17" t="s">
        <v>105</v>
      </c>
      <c r="E13" s="17" t="s">
        <v>115</v>
      </c>
      <c r="F13" s="17" t="s">
        <v>116</v>
      </c>
      <c r="G13" s="18">
        <v>0.45</v>
      </c>
    </row>
  </sheetData>
  <mergeCells count="2">
    <mergeCell ref="G2:G3"/>
    <mergeCell ref="G4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Ciclos de Inspectores</vt:lpstr>
      <vt:lpstr>pesos ponderados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Pereira Barrera, Matias Daniel (Externo)</dc:creator>
  <cp:keywords/>
  <dc:description/>
  <cp:lastModifiedBy>Leonel Morales</cp:lastModifiedBy>
  <cp:revision/>
  <dcterms:created xsi:type="dcterms:W3CDTF">2026-04-06T17:44:50Z</dcterms:created>
  <dcterms:modified xsi:type="dcterms:W3CDTF">2026-09-15T11:38:11Z</dcterms:modified>
  <cp:category/>
  <cp:contentStatus/>
</cp:coreProperties>
</file>