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nelcom.sharepoint.com/sites/SAPCEO/Shared Documents/Archivos/"/>
    </mc:Choice>
  </mc:AlternateContent>
  <xr:revisionPtr revIDLastSave="0" documentId="8_{8488DCD1-00FB-4788-A98A-0BF1B5B3CF99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Totales" sheetId="3" r:id="rId1"/>
    <sheet name="Hoja1" sheetId="8" r:id="rId2"/>
    <sheet name="NEAR MISS" sheetId="7" r:id="rId3"/>
    <sheet name="RDO" sheetId="5" r:id="rId4"/>
    <sheet name="ODI" sheetId="6" r:id="rId5"/>
    <sheet name="INSPECTORES" sheetId="4" r:id="rId6"/>
    <sheet name="LLEE 60 SK" sheetId="1" r:id="rId7"/>
    <sheet name="PODA 16 LLEE" sheetId="2" r:id="rId8"/>
    <sheet name="BD" sheetId="9" r:id="rId9"/>
  </sheets>
  <externalReferences>
    <externalReference r:id="rId10"/>
  </externalReferences>
  <definedNames>
    <definedName name="Pepa2">[1]!Tabla1_2[Columna1]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C25" i="3"/>
  <c r="C24" i="3"/>
  <c r="C23" i="3"/>
  <c r="D22" i="3"/>
  <c r="D19" i="3"/>
  <c r="D21" i="3" s="1"/>
  <c r="E19" i="3"/>
  <c r="F19" i="3"/>
  <c r="D24" i="3" s="1"/>
  <c r="G19" i="3"/>
  <c r="D23" i="3" s="1"/>
  <c r="H19" i="3"/>
  <c r="C19" i="3"/>
  <c r="XEG1048512" i="7"/>
  <c r="XEG1048511" i="7"/>
  <c r="XEG1048510" i="7"/>
  <c r="XEG1048509" i="7"/>
  <c r="XEG1048508" i="7"/>
  <c r="XEG1048507" i="7"/>
  <c r="XEG1048506" i="7"/>
  <c r="XEG1048505" i="7"/>
  <c r="XEG1048504" i="7"/>
  <c r="XEG1048503" i="7"/>
  <c r="XEG1048502" i="7"/>
  <c r="XEG1048501" i="7"/>
  <c r="XEG1048500" i="7"/>
  <c r="XEG1048499" i="7"/>
  <c r="XEG1048498" i="7"/>
  <c r="XEG1048497" i="7"/>
  <c r="XEG1048496" i="7"/>
  <c r="XEG1048495" i="7"/>
  <c r="XEG1048494" i="7"/>
  <c r="XEG1048493" i="7"/>
  <c r="XEG1048492" i="7"/>
  <c r="XEG1048491" i="7"/>
  <c r="XEG1048490" i="7"/>
  <c r="XEG1048489" i="7"/>
  <c r="XEG1048488" i="7"/>
  <c r="XEG1048487" i="7"/>
  <c r="D2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Morales Venegas, Leonel Alberto</author>
  </authors>
  <commentList>
    <comment ref="N14" authorId="0" shapeId="0" xr:uid="{19C7C9B8-61F7-4FEE-ACFA-EE784C01F9F3}">
      <text>
        <r>
          <rPr>
            <b/>
            <sz val="9"/>
            <color indexed="81"/>
            <rFont val="Tahoma"/>
            <family val="2"/>
          </rPr>
          <t>Llenar después de realizada la actividad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<sst xmlns="http://schemas.openxmlformats.org/spreadsheetml/2006/main" count="870" uniqueCount="667">
  <si>
    <t>CATEGORIA</t>
  </si>
  <si>
    <t>TOTAL PERSONAL</t>
  </si>
  <si>
    <t>MES</t>
  </si>
  <si>
    <t>PODA 16 LLEE</t>
  </si>
  <si>
    <t>LLEE 60</t>
  </si>
  <si>
    <t>INS. POWER</t>
  </si>
  <si>
    <t>RDO</t>
  </si>
  <si>
    <t>ODI</t>
  </si>
  <si>
    <t>INF. AEREA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</si>
  <si>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</si>
  <si>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</si>
  <si>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</si>
  <si>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</si>
  <si>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</si>
  <si>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</si>
  <si>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</si>
  <si>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</si>
  <si>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</si>
  <si>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</si>
  <si>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</si>
  <si>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</si>
  <si>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</si>
  <si>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LLEE</t>
  </si>
  <si>
    <t>LLEE PODA</t>
  </si>
  <si>
    <t>ODIS</t>
  </si>
  <si>
    <t>REGISTRO FORMACIÓN</t>
  </si>
  <si>
    <t>Nombre Solicitante</t>
  </si>
  <si>
    <t>Patricia Contreras</t>
  </si>
  <si>
    <t>Fecha</t>
  </si>
  <si>
    <t>Hora Inicio</t>
  </si>
  <si>
    <t>Hora Término</t>
  </si>
  <si>
    <t>Lugar realización</t>
  </si>
  <si>
    <t>Instalaciones Dominion</t>
  </si>
  <si>
    <t>Formador experto</t>
  </si>
  <si>
    <t>Natalia Ceron - Patricia Contreras</t>
  </si>
  <si>
    <t>Tipo de Actividad</t>
  </si>
  <si>
    <t>Presencial - Instalaciones Contratista</t>
  </si>
  <si>
    <t>Nombre del curso de Formación</t>
  </si>
  <si>
    <t>Taller Near Miss</t>
  </si>
  <si>
    <t>Codigo Sence</t>
  </si>
  <si>
    <t>Servicio</t>
  </si>
  <si>
    <t>Observación</t>
  </si>
  <si>
    <t>Empresa / Empresa Contratista</t>
  </si>
  <si>
    <t>RUT (XXXXXXXX-X) Sin Punto y con guión</t>
  </si>
  <si>
    <t>NOMBRE</t>
  </si>
  <si>
    <t>APELLIDO PATERNO</t>
  </si>
  <si>
    <t>APELLIDO MATERNO</t>
  </si>
  <si>
    <t>CARGO</t>
  </si>
  <si>
    <t>Costo $$</t>
  </si>
  <si>
    <t>Aprobado</t>
  </si>
  <si>
    <t xml:space="preserve">Observación </t>
  </si>
  <si>
    <t>DOMINION</t>
  </si>
  <si>
    <t>18093343-3</t>
  </si>
  <si>
    <t>ALAN</t>
  </si>
  <si>
    <t>OSORIO</t>
  </si>
  <si>
    <t>MEZA</t>
  </si>
  <si>
    <t>PREVENCIONISTA</t>
  </si>
  <si>
    <t>17386474-4</t>
  </si>
  <si>
    <t>KARLA</t>
  </si>
  <si>
    <t>PAVEZ</t>
  </si>
  <si>
    <t>VILLAR</t>
  </si>
  <si>
    <t>12861959-3</t>
  </si>
  <si>
    <t>CAROLINA</t>
  </si>
  <si>
    <t>LARRONDO</t>
  </si>
  <si>
    <t>AHUMADA</t>
  </si>
  <si>
    <t>17859328-5</t>
  </si>
  <si>
    <t>PABLO</t>
  </si>
  <si>
    <t>CASTRO</t>
  </si>
  <si>
    <t>MANQUE</t>
  </si>
  <si>
    <t>18031438-5</t>
  </si>
  <si>
    <t>NICOLAS</t>
  </si>
  <si>
    <t>SOTO</t>
  </si>
  <si>
    <t>OYARZO</t>
  </si>
  <si>
    <t>19526180-6</t>
  </si>
  <si>
    <t>JAVIERA</t>
  </si>
  <si>
    <t>LUCERO</t>
  </si>
  <si>
    <t>JARPA</t>
  </si>
  <si>
    <t>18422103-9</t>
  </si>
  <si>
    <t xml:space="preserve">CAROL </t>
  </si>
  <si>
    <t>HERNANDEZ</t>
  </si>
  <si>
    <t>VENEGAS</t>
  </si>
  <si>
    <t>18027536-3</t>
  </si>
  <si>
    <t>JOSE</t>
  </si>
  <si>
    <t>ARANEDA</t>
  </si>
  <si>
    <t>ZUÑIGA</t>
  </si>
  <si>
    <t>18507878-7</t>
  </si>
  <si>
    <t>CARVAJAL</t>
  </si>
  <si>
    <t>CABRERA</t>
  </si>
  <si>
    <t>REGLAMENTO DE OPERACIONES</t>
  </si>
  <si>
    <t>N°</t>
  </si>
  <si>
    <t>FECHA INICIO</t>
  </si>
  <si>
    <t>HORAS</t>
  </si>
  <si>
    <t>14144040-3</t>
  </si>
  <si>
    <t>Victor Andres</t>
  </si>
  <si>
    <t>Cisterna Concha</t>
  </si>
  <si>
    <t>18673386-K</t>
  </si>
  <si>
    <t>Daniel Osvaldo</t>
  </si>
  <si>
    <t>Martinez Muñoz</t>
  </si>
  <si>
    <t>18975124-9</t>
  </si>
  <si>
    <t>Christian Alexander</t>
  </si>
  <si>
    <t>Pino Sagredo</t>
  </si>
  <si>
    <t>19200133-1</t>
  </si>
  <si>
    <t>Néstor Ezequiel</t>
  </si>
  <si>
    <t>Quiroz Baeza</t>
  </si>
  <si>
    <t>19500508-7</t>
  </si>
  <si>
    <t>Bastián Francisco</t>
  </si>
  <si>
    <t>Diaz Arellano</t>
  </si>
  <si>
    <t>20062651-6</t>
  </si>
  <si>
    <t>Gerardo Andres</t>
  </si>
  <si>
    <t>Lobos Osorio</t>
  </si>
  <si>
    <t>14186709-1</t>
  </si>
  <si>
    <t>MARCO ANTONIO</t>
  </si>
  <si>
    <t>YAÑEZ LASTRA</t>
  </si>
  <si>
    <t>9931275-0</t>
  </si>
  <si>
    <t>FRANCISCO ROBERTO ANTONIO</t>
  </si>
  <si>
    <t>CASTILLO SOTO</t>
  </si>
  <si>
    <t>15470003-K</t>
  </si>
  <si>
    <t>Ismael Paul</t>
  </si>
  <si>
    <t>Schindler Gonzalez</t>
  </si>
  <si>
    <t>25832099-9</t>
  </si>
  <si>
    <t>Juan Vicente</t>
  </si>
  <si>
    <t>Conde</t>
  </si>
  <si>
    <t>16586480-8</t>
  </si>
  <si>
    <t>Alex</t>
  </si>
  <si>
    <t>Igor Hernandez</t>
  </si>
  <si>
    <t>18673122-0</t>
  </si>
  <si>
    <t>Raúl</t>
  </si>
  <si>
    <t>Jiménez Albornoz</t>
  </si>
  <si>
    <t>11706676-2</t>
  </si>
  <si>
    <t>Bernardo Joel</t>
  </si>
  <si>
    <t>Cárdenas Corona</t>
  </si>
  <si>
    <t>19065434-6</t>
  </si>
  <si>
    <t>Luis Ignacio</t>
  </si>
  <si>
    <t>Barra Cid</t>
  </si>
  <si>
    <t>26506525-2</t>
  </si>
  <si>
    <t>German Daniel</t>
  </si>
  <si>
    <t>Álvarez Bonilla</t>
  </si>
  <si>
    <t>21198546-1</t>
  </si>
  <si>
    <t>Ronal Ivan </t>
  </si>
  <si>
    <t>Mendoza Villanueva </t>
  </si>
  <si>
    <t>18186359-5</t>
  </si>
  <si>
    <t>BASCOUR ROZAS</t>
  </si>
  <si>
    <t>26215165-4</t>
  </si>
  <si>
    <t>RICHARD ANDERSON</t>
  </si>
  <si>
    <t>GAMBOA LIZARAZO</t>
  </si>
  <si>
    <t>26327955-7</t>
  </si>
  <si>
    <t>SAMUEL DARIO</t>
  </si>
  <si>
    <t>SANCHEZ SANCHEZ</t>
  </si>
  <si>
    <t>9182605-4</t>
  </si>
  <si>
    <t>Sergio Rigoberto</t>
  </si>
  <si>
    <t>Urra Urra</t>
  </si>
  <si>
    <t>10710693-6</t>
  </si>
  <si>
    <t>JORGE IVAN</t>
  </si>
  <si>
    <t>PEREIRA</t>
  </si>
  <si>
    <t>11867787-0</t>
  </si>
  <si>
    <t>CRISTIAN LUIS</t>
  </si>
  <si>
    <t>ALVARADO</t>
  </si>
  <si>
    <t>11882766-K</t>
  </si>
  <si>
    <t>DANIEL ALEJANDRO</t>
  </si>
  <si>
    <t>MUÑOZ</t>
  </si>
  <si>
    <t>26276140-1</t>
  </si>
  <si>
    <t>PEDRO MANUEL</t>
  </si>
  <si>
    <t>YEPEZ</t>
  </si>
  <si>
    <t>26846782-3</t>
  </si>
  <si>
    <t>MARIO ENRIQUE</t>
  </si>
  <si>
    <t>PEÑA</t>
  </si>
  <si>
    <t>27001107-1</t>
  </si>
  <si>
    <t>JHOAN ANTONIO</t>
  </si>
  <si>
    <t>PADRON</t>
  </si>
  <si>
    <t>9017076-7</t>
  </si>
  <si>
    <t>RICARDO ARTURO</t>
  </si>
  <si>
    <t>RUIZ</t>
  </si>
  <si>
    <t>8727263-K</t>
  </si>
  <si>
    <t>CESAR EDUARDO  </t>
  </si>
  <si>
    <t>SANTANDER ROJAS </t>
  </si>
  <si>
    <t>25928296-9</t>
  </si>
  <si>
    <t>JACKSON STHUARD </t>
  </si>
  <si>
    <t>FERRO SALAZAR</t>
  </si>
  <si>
    <t>9358495-3</t>
  </si>
  <si>
    <t>RAUL CEREFINO</t>
  </si>
  <si>
    <t>TORRES CABELLO</t>
  </si>
  <si>
    <t>17169539-2</t>
  </si>
  <si>
    <t>Cristopher Enrique</t>
  </si>
  <si>
    <t>Cisternas Moreno</t>
  </si>
  <si>
    <t>27698223-0</t>
  </si>
  <si>
    <t>Néstor Javier</t>
  </si>
  <si>
    <t>Natera Aguilar</t>
  </si>
  <si>
    <t>26617052-1</t>
  </si>
  <si>
    <t>JUAN GABRIEL</t>
  </si>
  <si>
    <t>AGUERO BETANCOURT</t>
  </si>
  <si>
    <t>19447172-6</t>
  </si>
  <si>
    <t>JORDAN ANDRES</t>
  </si>
  <si>
    <t>BERNAL GONZÁLEZ</t>
  </si>
  <si>
    <t>10436345-8</t>
  </si>
  <si>
    <t>RENE JULIO </t>
  </si>
  <si>
    <t>IBAÑEZ BRUNA</t>
  </si>
  <si>
    <t>11403814-8</t>
  </si>
  <si>
    <t>DANILO MANUEL </t>
  </si>
  <si>
    <t>FUENTES FERNANDEZ</t>
  </si>
  <si>
    <t>17923431-9</t>
  </si>
  <si>
    <t>EDUARDO ERNESTO</t>
  </si>
  <si>
    <t>HERRERA TORRES</t>
  </si>
  <si>
    <t>26428899-1</t>
  </si>
  <si>
    <t>ANSHONY TERRY</t>
  </si>
  <si>
    <t>JARAMILLO MONSERRATTE</t>
  </si>
  <si>
    <t>26584851-6</t>
  </si>
  <si>
    <t>Diego Ignacio</t>
  </si>
  <si>
    <t>Colmenares Marquez</t>
  </si>
  <si>
    <t>26833278-2</t>
  </si>
  <si>
    <t>Luis Fernando</t>
  </si>
  <si>
    <t>Pelayo Pereira</t>
  </si>
  <si>
    <t>12366943-6</t>
  </si>
  <si>
    <t>Jose Manuel</t>
  </si>
  <si>
    <t>Ramirez Cuevas</t>
  </si>
  <si>
    <t>16883248-6</t>
  </si>
  <si>
    <t>Estiven Antonio</t>
  </si>
  <si>
    <t>Maturana Ramirez</t>
  </si>
  <si>
    <t>17838697-2</t>
  </si>
  <si>
    <t>Felipe Andres</t>
  </si>
  <si>
    <t>Perez Ruz</t>
  </si>
  <si>
    <t>25018119-1</t>
  </si>
  <si>
    <t>Carlos </t>
  </si>
  <si>
    <t>Rumay Leyva</t>
  </si>
  <si>
    <t>25974674-4</t>
  </si>
  <si>
    <t>Kenier </t>
  </si>
  <si>
    <t>Limonte Estevez</t>
  </si>
  <si>
    <t>8469664-1</t>
  </si>
  <si>
    <t>Narciso</t>
  </si>
  <si>
    <t>Calfocura</t>
  </si>
  <si>
    <t>25974104-1</t>
  </si>
  <si>
    <t>Sixto Daryan</t>
  </si>
  <si>
    <t>Montilla Montoya</t>
  </si>
  <si>
    <t>26217920-6</t>
  </si>
  <si>
    <t>JULIO ALBERTO</t>
  </si>
  <si>
    <t>BLASCO ARIAS</t>
  </si>
  <si>
    <t>26492041-8</t>
  </si>
  <si>
    <t>CESAR DE JESUS </t>
  </si>
  <si>
    <t>CASTELLANOS JIMENEZ</t>
  </si>
  <si>
    <t>10961609-5</t>
  </si>
  <si>
    <t>ALFREDO HERIBERTO</t>
  </si>
  <si>
    <t>RIFFO CONCHA</t>
  </si>
  <si>
    <t>17069305-1</t>
  </si>
  <si>
    <t>GAMBOA GONZALEZ</t>
  </si>
  <si>
    <t>SEBASTIAN GAMBOA</t>
  </si>
  <si>
    <t>19320356-6</t>
  </si>
  <si>
    <t>MAX ANTONIO</t>
  </si>
  <si>
    <t>COMAS MUÑOZ</t>
  </si>
  <si>
    <t>12367577-0</t>
  </si>
  <si>
    <t>Mauricio Rafael</t>
  </si>
  <si>
    <t>Zamorano Diaz</t>
  </si>
  <si>
    <t>25138588-2</t>
  </si>
  <si>
    <t>Guillermo Leon</t>
  </si>
  <si>
    <t>Rojo Estrada</t>
  </si>
  <si>
    <t>13984380-0</t>
  </si>
  <si>
    <t>Victor Giovanni</t>
  </si>
  <si>
    <t>Gonzalez Cerda</t>
  </si>
  <si>
    <t>16639612-3</t>
  </si>
  <si>
    <t>ROBERTO JACOB</t>
  </si>
  <si>
    <t>MIRANDA RODRIGUEZ</t>
  </si>
  <si>
    <t>25654489-K</t>
  </si>
  <si>
    <t>ANDRES EDUARDO</t>
  </si>
  <si>
    <t>PEREZ YNDRIAGO</t>
  </si>
  <si>
    <t>17851463-6</t>
  </si>
  <si>
    <t>DIEGO ANDRES</t>
  </si>
  <si>
    <t>DIAZ LEPIN</t>
  </si>
  <si>
    <t> 18364471-8</t>
  </si>
  <si>
    <t>Daniel Maximiliano </t>
  </si>
  <si>
    <t>Huilipan Diaz </t>
  </si>
  <si>
    <t>9479704-7</t>
  </si>
  <si>
    <t>JORGE ENRIQUE</t>
  </si>
  <si>
    <t>SAAVEDRA CABRERA</t>
  </si>
  <si>
    <t>19573119-5</t>
  </si>
  <si>
    <t>Sandro Nicolas</t>
  </si>
  <si>
    <t>Torres Vasquez</t>
  </si>
  <si>
    <t>12674243-6</t>
  </si>
  <si>
    <t>RIGOBERTO </t>
  </si>
  <si>
    <t>BARRAZA BUENO</t>
  </si>
  <si>
    <t>20882026-5</t>
  </si>
  <si>
    <t>Miguel Angel</t>
  </si>
  <si>
    <t>Abarca Riquelme</t>
  </si>
  <si>
    <t>15702960-6</t>
  </si>
  <si>
    <t>FELIPE ALBERTO</t>
  </si>
  <si>
    <t>SEQUEIDA SOLANO</t>
  </si>
  <si>
    <t>27323627-9</t>
  </si>
  <si>
    <t>NESTOR RAMON</t>
  </si>
  <si>
    <t>VALLES CAMACHO</t>
  </si>
  <si>
    <t>14311830-4</t>
  </si>
  <si>
    <t>JOSE MIGUEL</t>
  </si>
  <si>
    <t>ALFARO HERRERA</t>
  </si>
  <si>
    <t>17952049-4</t>
  </si>
  <si>
    <t>CARLOS HUMBERTO</t>
  </si>
  <si>
    <t>MARIPANGUI AGUILERA</t>
  </si>
  <si>
    <t>11226578-3</t>
  </si>
  <si>
    <t>Marcelo Ivan</t>
  </si>
  <si>
    <t>Silva Lucero</t>
  </si>
  <si>
    <t>15620912-0</t>
  </si>
  <si>
    <t>Alejandro</t>
  </si>
  <si>
    <t>Quilodran Peña</t>
  </si>
  <si>
    <t>17421147-7</t>
  </si>
  <si>
    <t>Sebastian Antonio</t>
  </si>
  <si>
    <t>Alvarez Alarcon</t>
  </si>
  <si>
    <t>18440008-1</t>
  </si>
  <si>
    <t>Oscar Franco</t>
  </si>
  <si>
    <t>Vallejos Guzman</t>
  </si>
  <si>
    <t>19143659-8</t>
  </si>
  <si>
    <t>Alonso Matias</t>
  </si>
  <si>
    <t>Castro Aros</t>
  </si>
  <si>
    <t>20295466-9</t>
  </si>
  <si>
    <t>PABLO FRANCISCO</t>
  </si>
  <si>
    <t>GALVEZ JORQUERA</t>
  </si>
  <si>
    <t>11166118-9</t>
  </si>
  <si>
    <t> José Reinaldo</t>
  </si>
  <si>
    <t> Lopez Pérez</t>
  </si>
  <si>
    <t>12894467-2</t>
  </si>
  <si>
    <t>Cristian Robert</t>
  </si>
  <si>
    <t>Balboa Aqueveque</t>
  </si>
  <si>
    <t>13834436-3</t>
  </si>
  <si>
    <t>Jaime Dagoberto</t>
  </si>
  <si>
    <t>Lagos Ramírez</t>
  </si>
  <si>
    <t>27102465-7</t>
  </si>
  <si>
    <t>Aniesser Gabriel</t>
  </si>
  <si>
    <t>Franco Castellano</t>
  </si>
  <si>
    <t>27097256-k</t>
  </si>
  <si>
    <t>Eddie David</t>
  </si>
  <si>
    <t>Palencia Reyes</t>
  </si>
  <si>
    <t>24702520-0</t>
  </si>
  <si>
    <t>BENITO ARMANDO</t>
  </si>
  <si>
    <t>BALDEON QUINTANILLA</t>
  </si>
  <si>
    <t>25546883-9</t>
  </si>
  <si>
    <t>ANTONIO</t>
  </si>
  <si>
    <t>VALENCIA ASCATE</t>
  </si>
  <si>
    <t>12468979-1</t>
  </si>
  <si>
    <t>ANDRES EMILIO</t>
  </si>
  <si>
    <t>ROMO FIGUEROA</t>
  </si>
  <si>
    <t>26868041-1</t>
  </si>
  <si>
    <t>DARVIN JESUS</t>
  </si>
  <si>
    <t>DIAZ CASTILLO</t>
  </si>
  <si>
    <t>11696463-5</t>
  </si>
  <si>
    <t>LUIS RODRIGO </t>
  </si>
  <si>
    <t>REINOSO HERNANDEZ</t>
  </si>
  <si>
    <t>12649974-4</t>
  </si>
  <si>
    <t>GERMAN ALEJANDRO</t>
  </si>
  <si>
    <t>JEREZ MAUREIRA</t>
  </si>
  <si>
    <t>14180932-6</t>
  </si>
  <si>
    <t>MOISES DAVID</t>
  </si>
  <si>
    <t>VASQUEZ VARGAS</t>
  </si>
  <si>
    <t>26975819-8</t>
  </si>
  <si>
    <t>WILMER ANDRES</t>
  </si>
  <si>
    <t>CONTRERAS PINEDA</t>
  </si>
  <si>
    <t>16026708-9</t>
  </si>
  <si>
    <t>EMILIO JOSE ANTONIO </t>
  </si>
  <si>
    <t>ABALLAY GONZALEZ</t>
  </si>
  <si>
    <t>27030859-7</t>
  </si>
  <si>
    <t>FELIX DALTON</t>
  </si>
  <si>
    <t>DAVILA CORDERO</t>
  </si>
  <si>
    <t>16855760-4</t>
  </si>
  <si>
    <t>JOSE FERNANDO</t>
  </si>
  <si>
    <t>SILVA VALDOVINOS</t>
  </si>
  <si>
    <t>14417036-9</t>
  </si>
  <si>
    <t>David Hernan</t>
  </si>
  <si>
    <t>Zapata Lobos</t>
  </si>
  <si>
    <t>20845376-9</t>
  </si>
  <si>
    <t>Nicolas Alberto</t>
  </si>
  <si>
    <t>Diaz Aravena</t>
  </si>
  <si>
    <t>16029483-3</t>
  </si>
  <si>
    <t>Ricardo</t>
  </si>
  <si>
    <t>Pinares</t>
  </si>
  <si>
    <t>7636403-6</t>
  </si>
  <si>
    <t>Jorge Arturo </t>
  </si>
  <si>
    <t>Aguirre Nordenflytcht </t>
  </si>
  <si>
    <t>17546762-9</t>
  </si>
  <si>
    <t>Douglas Raziel</t>
  </si>
  <si>
    <t>Aviles Olivarez</t>
  </si>
  <si>
    <t>18863305-6</t>
  </si>
  <si>
    <t>Cristian Sebastian</t>
  </si>
  <si>
    <t>Marin Cifras</t>
  </si>
  <si>
    <t>17310976-8</t>
  </si>
  <si>
    <t>ROLANDO JESUS</t>
  </si>
  <si>
    <t>HERRERA HUENTRUTRIPAY</t>
  </si>
  <si>
    <t> 10656697-6</t>
  </si>
  <si>
    <t>JUAN MANUEL</t>
  </si>
  <si>
    <t>SOLANO MOLINA</t>
  </si>
  <si>
    <t>10854383-3</t>
  </si>
  <si>
    <t>MAURICIO ALONSO</t>
  </si>
  <si>
    <t>GONZALEZ CASTRO</t>
  </si>
  <si>
    <t>12483059-1</t>
  </si>
  <si>
    <t>PEDRO ANTONIO</t>
  </si>
  <si>
    <t>SAAVEDRA PAILLADO</t>
  </si>
  <si>
    <t>12683893-K</t>
  </si>
  <si>
    <t>EDUARDO ANTONIO</t>
  </si>
  <si>
    <t>ARAVENA LAGOS</t>
  </si>
  <si>
    <t>CAPACITACIÓN Y HABILITACIÓN INSPECTORES</t>
  </si>
  <si>
    <t>13292463-5</t>
  </si>
  <si>
    <t xml:space="preserve">RICHARD </t>
  </si>
  <si>
    <t>DIAZ</t>
  </si>
  <si>
    <t>COFRE</t>
  </si>
  <si>
    <t>18908098-0</t>
  </si>
  <si>
    <t xml:space="preserve">HUGO </t>
  </si>
  <si>
    <t>PASTRIAN</t>
  </si>
  <si>
    <t>ZENTENO</t>
  </si>
  <si>
    <t>16201989-9</t>
  </si>
  <si>
    <t xml:space="preserve">NERY </t>
  </si>
  <si>
    <t>RETAMAL</t>
  </si>
  <si>
    <t>BETANCOURT</t>
  </si>
  <si>
    <t>25555496-4</t>
  </si>
  <si>
    <t xml:space="preserve">YECELYS </t>
  </si>
  <si>
    <t>SALAZAR</t>
  </si>
  <si>
    <t>15426724-7</t>
  </si>
  <si>
    <t xml:space="preserve">ELIZABETH </t>
  </si>
  <si>
    <t>SALINAS</t>
  </si>
  <si>
    <t>PARDO</t>
  </si>
  <si>
    <t>12862266-7</t>
  </si>
  <si>
    <t xml:space="preserve">MAXIMILIANO </t>
  </si>
  <si>
    <t>BRAVO</t>
  </si>
  <si>
    <t>18645651-3</t>
  </si>
  <si>
    <t xml:space="preserve">CLAUDIA </t>
  </si>
  <si>
    <t>ORELLANA</t>
  </si>
  <si>
    <t>19289611-8</t>
  </si>
  <si>
    <t xml:space="preserve">LUCAS </t>
  </si>
  <si>
    <t>CACERES</t>
  </si>
  <si>
    <t>LEON</t>
  </si>
  <si>
    <t>15761247-6</t>
  </si>
  <si>
    <t xml:space="preserve">CRISTIAN </t>
  </si>
  <si>
    <t>GONZALEZ</t>
  </si>
  <si>
    <t>18849090-5</t>
  </si>
  <si>
    <t xml:space="preserve">MIRKO </t>
  </si>
  <si>
    <t>BANDA</t>
  </si>
  <si>
    <t>19064635-1</t>
  </si>
  <si>
    <t xml:space="preserve">MACARENA </t>
  </si>
  <si>
    <t>ADASME</t>
  </si>
  <si>
    <t>19032893-7</t>
  </si>
  <si>
    <t xml:space="preserve">ANDREA </t>
  </si>
  <si>
    <t>RAMOS</t>
  </si>
  <si>
    <t>LARRAIN</t>
  </si>
  <si>
    <t>25494140-9</t>
  </si>
  <si>
    <t xml:space="preserve">FRANCISCO </t>
  </si>
  <si>
    <t>OÑATE</t>
  </si>
  <si>
    <t>MORA,ES</t>
  </si>
  <si>
    <t>26357986-0</t>
  </si>
  <si>
    <t xml:space="preserve">AMARILYS </t>
  </si>
  <si>
    <t>BRACHO</t>
  </si>
  <si>
    <t>ALVARES</t>
  </si>
  <si>
    <t>21105026-8</t>
  </si>
  <si>
    <t>IVONNE SOLEDAD</t>
  </si>
  <si>
    <t>RIQUELME</t>
  </si>
  <si>
    <t>18613606-3</t>
  </si>
  <si>
    <t>LUIS</t>
  </si>
  <si>
    <t>CORTES</t>
  </si>
  <si>
    <t>19919942-0</t>
  </si>
  <si>
    <t>JOSHUA</t>
  </si>
  <si>
    <t>PEREZ</t>
  </si>
  <si>
    <t>CAPACITACIÓN LLEE 60 HRS</t>
  </si>
  <si>
    <t>11759840-3</t>
  </si>
  <si>
    <t xml:space="preserve">Juan </t>
  </si>
  <si>
    <t>Gutierrez</t>
  </si>
  <si>
    <t>Aliaga</t>
  </si>
  <si>
    <t>TRABAJADOR DOMINION</t>
  </si>
  <si>
    <t>11366789-3</t>
  </si>
  <si>
    <t xml:space="preserve">Danilo </t>
  </si>
  <si>
    <t>12680263-3</t>
  </si>
  <si>
    <t>Muñoz</t>
  </si>
  <si>
    <t>Palma</t>
  </si>
  <si>
    <t>17884041-k</t>
  </si>
  <si>
    <t>Gerardo</t>
  </si>
  <si>
    <t>Lillo</t>
  </si>
  <si>
    <t>Beltrán</t>
  </si>
  <si>
    <t>26495168-2</t>
  </si>
  <si>
    <t>Carlos</t>
  </si>
  <si>
    <t>Castro</t>
  </si>
  <si>
    <t>Guitierrez</t>
  </si>
  <si>
    <t>26066334-8</t>
  </si>
  <si>
    <t>Isaias</t>
  </si>
  <si>
    <t>Gregorio</t>
  </si>
  <si>
    <t>25322107-0</t>
  </si>
  <si>
    <t>Gustavo</t>
  </si>
  <si>
    <t>Galvis</t>
  </si>
  <si>
    <t>Perez</t>
  </si>
  <si>
    <t>26402204-5</t>
  </si>
  <si>
    <t>Mauricio</t>
  </si>
  <si>
    <t>Espinoza</t>
  </si>
  <si>
    <t>17366971-2</t>
  </si>
  <si>
    <t>Jans</t>
  </si>
  <si>
    <t>Nilsson</t>
  </si>
  <si>
    <t>16956801-4</t>
  </si>
  <si>
    <t>Victor</t>
  </si>
  <si>
    <t>Verdugo</t>
  </si>
  <si>
    <t>INMEL</t>
  </si>
  <si>
    <t>18794096-6</t>
  </si>
  <si>
    <t>Miguel Alexander</t>
  </si>
  <si>
    <t>Larrondo</t>
  </si>
  <si>
    <t>Garcia</t>
  </si>
  <si>
    <t>TRABAJADOR INMEL</t>
  </si>
  <si>
    <t>24.841.507-K</t>
  </si>
  <si>
    <t>GUSTAVO ADOLFO</t>
  </si>
  <si>
    <t>GALVIS</t>
  </si>
  <si>
    <t>TORRES</t>
  </si>
  <si>
    <t>28.065.364-0</t>
  </si>
  <si>
    <t>DAGOBERTO</t>
  </si>
  <si>
    <t>JIMENEZ</t>
  </si>
  <si>
    <t>VILLA</t>
  </si>
  <si>
    <t>18.882.195-2</t>
  </si>
  <si>
    <t>ESTEBAN PATRICIO</t>
  </si>
  <si>
    <t>ESPINOZA</t>
  </si>
  <si>
    <t>GARRIDO</t>
  </si>
  <si>
    <t>26.299.314-0</t>
  </si>
  <si>
    <t>WHALTER</t>
  </si>
  <si>
    <t>RESTREPO</t>
  </si>
  <si>
    <t>27.421.807-K</t>
  </si>
  <si>
    <t>DELIO MAURICIO</t>
  </si>
  <si>
    <t>BUSTAMANTE</t>
  </si>
  <si>
    <t>16.191.366-9</t>
  </si>
  <si>
    <t>CESAR EMILIO</t>
  </si>
  <si>
    <t>HUIRCAN</t>
  </si>
  <si>
    <t>JEREZ</t>
  </si>
  <si>
    <t>25322822-9</t>
  </si>
  <si>
    <t>DORLAN ANDRES</t>
  </si>
  <si>
    <t>MONTOYA</t>
  </si>
  <si>
    <t>25.974.099-1</t>
  </si>
  <si>
    <t>WILFREDO JESUS</t>
  </si>
  <si>
    <t>CUAURO</t>
  </si>
  <si>
    <t>GOMEZ</t>
  </si>
  <si>
    <t>TECNORED</t>
  </si>
  <si>
    <t>16569009-5</t>
  </si>
  <si>
    <t>Anibal</t>
  </si>
  <si>
    <t>Gomez</t>
  </si>
  <si>
    <t>Orellana</t>
  </si>
  <si>
    <t>TRABAJADOR TECNORED</t>
  </si>
  <si>
    <t>26500370-2</t>
  </si>
  <si>
    <t xml:space="preserve">Breeiner </t>
  </si>
  <si>
    <t xml:space="preserve">Parra </t>
  </si>
  <si>
    <t>11944070-K</t>
  </si>
  <si>
    <t xml:space="preserve">Jonas </t>
  </si>
  <si>
    <t>Lemus</t>
  </si>
  <si>
    <t>25574412-7</t>
  </si>
  <si>
    <t xml:space="preserve">Felix </t>
  </si>
  <si>
    <t>Salinas</t>
  </si>
  <si>
    <t>18997351-9</t>
  </si>
  <si>
    <t xml:space="preserve">Miguel </t>
  </si>
  <si>
    <t xml:space="preserve">Romero </t>
  </si>
  <si>
    <t>Cortes</t>
  </si>
  <si>
    <t>15561192-8</t>
  </si>
  <si>
    <t>Carvajal</t>
  </si>
  <si>
    <t>Sepulveda</t>
  </si>
  <si>
    <t>17993062-5</t>
  </si>
  <si>
    <t xml:space="preserve">Roberto </t>
  </si>
  <si>
    <t>Salazar</t>
  </si>
  <si>
    <t>Lopez</t>
  </si>
  <si>
    <t>LARI</t>
  </si>
  <si>
    <t xml:space="preserve">ROLANDO JESUS </t>
  </si>
  <si>
    <t>HERRERA</t>
  </si>
  <si>
    <t>HUENTRUTRIPAY</t>
  </si>
  <si>
    <t>TRABAJADOR LARI</t>
  </si>
  <si>
    <t>EISESA</t>
  </si>
  <si>
    <t>RIGOBERTO WILSON</t>
  </si>
  <si>
    <t>BARRAZA</t>
  </si>
  <si>
    <t>BUENO</t>
  </si>
  <si>
    <t>TRABAJADOR EISESA</t>
  </si>
  <si>
    <t>13359212-1</t>
  </si>
  <si>
    <t>LENIS ANTONIO</t>
  </si>
  <si>
    <t xml:space="preserve">ROJAS </t>
  </si>
  <si>
    <t>CISTERNA</t>
  </si>
  <si>
    <t>15057365-3</t>
  </si>
  <si>
    <t>JUAN FERNANDO</t>
  </si>
  <si>
    <t>MENESES</t>
  </si>
  <si>
    <t>16873850-1</t>
  </si>
  <si>
    <t>IVAN EDGARDO</t>
  </si>
  <si>
    <t>17691165-4</t>
  </si>
  <si>
    <t>DIEGO ESTEBAN</t>
  </si>
  <si>
    <t xml:space="preserve">SOTO </t>
  </si>
  <si>
    <t>HIDALGO</t>
  </si>
  <si>
    <t>18326033-2</t>
  </si>
  <si>
    <t>BRYAN FABIAN</t>
  </si>
  <si>
    <t xml:space="preserve">VALENZUELA </t>
  </si>
  <si>
    <t>ORDENES</t>
  </si>
  <si>
    <t>19503048-0</t>
  </si>
  <si>
    <t>ABRAHAM DOMINGO</t>
  </si>
  <si>
    <t xml:space="preserve">JARA </t>
  </si>
  <si>
    <t>CABELLO</t>
  </si>
  <si>
    <t>19595569-7</t>
  </si>
  <si>
    <t>BARBARA YANIRA</t>
  </si>
  <si>
    <t>FRIZ</t>
  </si>
  <si>
    <t>TAPIA</t>
  </si>
  <si>
    <t>10162207-k</t>
  </si>
  <si>
    <t>Fuentealba</t>
  </si>
  <si>
    <t>Garrido</t>
  </si>
  <si>
    <t>CAPACITACIÓN PODA LLEE 16 HRS</t>
  </si>
  <si>
    <t>Felipe Alberto</t>
  </si>
  <si>
    <t>Sequeira</t>
  </si>
  <si>
    <t>Solano</t>
  </si>
  <si>
    <t>26420426-7</t>
  </si>
  <si>
    <t>Annel Enrique</t>
  </si>
  <si>
    <t>Rivas</t>
  </si>
  <si>
    <t>Ojeda</t>
  </si>
  <si>
    <t>26170209-6</t>
  </si>
  <si>
    <t>Ronal Leonardo</t>
  </si>
  <si>
    <t>Sandoval</t>
  </si>
  <si>
    <t>Buitrago</t>
  </si>
  <si>
    <t>26086404-1</t>
  </si>
  <si>
    <t>Jesus Enrique</t>
  </si>
  <si>
    <t>Arrieta</t>
  </si>
  <si>
    <t>Sanchez</t>
  </si>
  <si>
    <t>NYG</t>
  </si>
  <si>
    <t>15141913-5</t>
  </si>
  <si>
    <t>Fernando Antonio</t>
  </si>
  <si>
    <t>TRABAJADOR NYG</t>
  </si>
  <si>
    <t xml:space="preserve">	27323627-9</t>
  </si>
  <si>
    <t>Nestor Ramón</t>
  </si>
  <si>
    <t>Valles</t>
  </si>
  <si>
    <t>Camacho</t>
  </si>
  <si>
    <t xml:space="preserve">	28255390-2</t>
  </si>
  <si>
    <t>Randy Leonel</t>
  </si>
  <si>
    <t>Castejon</t>
  </si>
  <si>
    <t>Ramirez</t>
  </si>
  <si>
    <t>SOLGELEC</t>
  </si>
  <si>
    <t>27130990-2</t>
  </si>
  <si>
    <t>Robin Jose</t>
  </si>
  <si>
    <t>Gamboa</t>
  </si>
  <si>
    <t>TRABAJADOR SOLGELEC</t>
  </si>
  <si>
    <t>16207398-2</t>
  </si>
  <si>
    <t>Fernando Esteban</t>
  </si>
  <si>
    <t>Jaña</t>
  </si>
  <si>
    <t>CENTINE</t>
  </si>
  <si>
    <t>21473152-5</t>
  </si>
  <si>
    <t>Mariano</t>
  </si>
  <si>
    <t>Zenteno</t>
  </si>
  <si>
    <t>Castañeda</t>
  </si>
  <si>
    <t>TRABAJADOR CENTINE</t>
  </si>
  <si>
    <t>19431257-1</t>
  </si>
  <si>
    <t xml:space="preserve">Cristian </t>
  </si>
  <si>
    <t>Ahumada</t>
  </si>
  <si>
    <t>19134340-9</t>
  </si>
  <si>
    <t>Nicolas</t>
  </si>
  <si>
    <t>Serrano</t>
  </si>
  <si>
    <t>Bustamante</t>
  </si>
  <si>
    <t>17924563-9</t>
  </si>
  <si>
    <t>Jerko</t>
  </si>
  <si>
    <t>Norambuena</t>
  </si>
  <si>
    <t>Ulloa</t>
  </si>
  <si>
    <t>15347020-0</t>
  </si>
  <si>
    <t>Ronny</t>
  </si>
  <si>
    <t xml:space="preserve">Mella </t>
  </si>
  <si>
    <t>19222258-3</t>
  </si>
  <si>
    <t xml:space="preserve">Nicolas </t>
  </si>
  <si>
    <t xml:space="preserve">Fonseca </t>
  </si>
  <si>
    <t>Polanco</t>
  </si>
  <si>
    <t>26778001-3</t>
  </si>
  <si>
    <t>Riso</t>
  </si>
  <si>
    <t>Barrios</t>
  </si>
  <si>
    <t xml:space="preserve">17416606-4 </t>
  </si>
  <si>
    <t>Camilo</t>
  </si>
  <si>
    <t>Ascencio</t>
  </si>
  <si>
    <t xml:space="preserve">Ibañez  </t>
  </si>
  <si>
    <t>24869953-1</t>
  </si>
  <si>
    <t>Luis</t>
  </si>
  <si>
    <t>Fernandez</t>
  </si>
  <si>
    <t>Vilca</t>
  </si>
  <si>
    <t>21429845-7</t>
  </si>
  <si>
    <t>Isaac</t>
  </si>
  <si>
    <t xml:space="preserve">Buendia </t>
  </si>
  <si>
    <t>Silva</t>
  </si>
  <si>
    <t>10207646-k</t>
  </si>
  <si>
    <t xml:space="preserve">Contreras </t>
  </si>
  <si>
    <t>Contreras</t>
  </si>
  <si>
    <t>TEMATICA</t>
  </si>
  <si>
    <t>AÑO</t>
  </si>
  <si>
    <t>$$</t>
  </si>
  <si>
    <t>INSPECTORES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</si>
</sst>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sz val="11"/>
      <color indexed="8"/>
      <name val="Calibri"/>
      <family val="2"/>
      <charset val="1"/>
    </font>
    <font>
      <sz val="9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0" fontId="6" fillId="0" borderId="0"/>
    <xf numFmtId="0" fontId="1" fillId="0" borderId="0"/>
    <xf numFmtId="164" fontId="1" fillId="0" borderId="0"/>
    <xf numFmtId="0" fontId="1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1" fillId="0" borderId="0"/>
    <xf numFmtId="0" fontId="16" fillId="0" borderId="0"/>
  </cellStyleXfs>
  <cellXfs count="81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/>
    <xf numFmtId="0" fontId="9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3" fillId="8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14" fontId="0" fillId="3" borderId="1" xfId="0" applyNumberFormat="1" applyFill="1" applyBorder="1" applyAlignment="1">
      <alignment horizontal="left"/>
    </xf>
    <xf numFmtId="0" fontId="0" fillId="0" borderId="2" xfId="0" applyBorder="1"/>
    <xf numFmtId="20" fontId="0" fillId="3" borderId="1" xfId="0" applyNumberFormat="1" applyFill="1" applyBorder="1"/>
    <xf numFmtId="0" fontId="0" fillId="0" borderId="3" xfId="0" applyBorder="1" applyAlignment="1">
      <alignment horizontal="right"/>
    </xf>
    <xf numFmtId="0" fontId="0" fillId="3" borderId="1" xfId="0" applyFill="1" applyBorder="1"/>
    <xf numFmtId="0" fontId="0" fillId="0" borderId="11" xfId="0" applyBorder="1" applyAlignment="1">
      <alignment horizontal="left"/>
    </xf>
    <xf numFmtId="0" fontId="0" fillId="9" borderId="11" xfId="0" applyFill="1" applyBorder="1" applyAlignment="1">
      <alignment horizontal="center"/>
    </xf>
    <xf numFmtId="0" fontId="17" fillId="10" borderId="12" xfId="29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8" fillId="6" borderId="1" xfId="29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" fillId="6" borderId="0" xfId="0" applyFont="1" applyFill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</cellXfs>
  <cellStyles count="30">
    <cellStyle name="Excel Built-in Normal" xfId="1" xr:uid="{00000000-0005-0000-0000-000001000000}"/>
    <cellStyle name="Moneda 2" xfId="3" xr:uid="{00000000-0005-0000-0000-000003000000}"/>
    <cellStyle name="Moneda 2 2" xfId="5" xr:uid="{00000000-0005-0000-0000-000005000000}"/>
    <cellStyle name="Moneda 2 2 2" xfId="9" xr:uid="{00000000-0005-0000-0000-000009000000}"/>
    <cellStyle name="Moneda 2 2 2 2" xfId="17" xr:uid="{00000000-0005-0000-0000-000011000000}"/>
    <cellStyle name="Moneda 2 2 2 3" xfId="25" xr:uid="{00000000-0005-0000-0000-000019000000}"/>
    <cellStyle name="Moneda 2 2 3" xfId="13" xr:uid="{00000000-0005-0000-0000-00000D000000}"/>
    <cellStyle name="Moneda 2 2 4" xfId="21" xr:uid="{00000000-0005-0000-0000-000015000000}"/>
    <cellStyle name="Moneda 2 3" xfId="6" xr:uid="{00000000-0005-0000-0000-000006000000}"/>
    <cellStyle name="Moneda 2 3 2" xfId="10" xr:uid="{00000000-0005-0000-0000-00000A000000}"/>
    <cellStyle name="Moneda 2 3 2 2" xfId="18" xr:uid="{00000000-0005-0000-0000-000012000000}"/>
    <cellStyle name="Moneda 2 3 2 3" xfId="26" xr:uid="{00000000-0005-0000-0000-00001A000000}"/>
    <cellStyle name="Moneda 2 3 3" xfId="14" xr:uid="{00000000-0005-0000-0000-00000E000000}"/>
    <cellStyle name="Moneda 2 3 4" xfId="22" xr:uid="{00000000-0005-0000-0000-000016000000}"/>
    <cellStyle name="Moneda 2 4" xfId="7" xr:uid="{00000000-0005-0000-0000-000007000000}"/>
    <cellStyle name="Moneda 2 4 2" xfId="11" xr:uid="{00000000-0005-0000-0000-00000B000000}"/>
    <cellStyle name="Moneda 2 4 2 2" xfId="19" xr:uid="{00000000-0005-0000-0000-000013000000}"/>
    <cellStyle name="Moneda 2 4 2 3" xfId="27" xr:uid="{00000000-0005-0000-0000-00001B000000}"/>
    <cellStyle name="Moneda 2 4 3" xfId="15" xr:uid="{00000000-0005-0000-0000-00000F000000}"/>
    <cellStyle name="Moneda 2 4 4" xfId="23" xr:uid="{00000000-0005-0000-0000-000017000000}"/>
    <cellStyle name="Moneda 2 5" xfId="8" xr:uid="{00000000-0005-0000-0000-000008000000}"/>
    <cellStyle name="Moneda 2 5 2" xfId="16" xr:uid="{00000000-0005-0000-0000-000010000000}"/>
    <cellStyle name="Moneda 2 5 3" xfId="24" xr:uid="{00000000-0005-0000-0000-000018000000}"/>
    <cellStyle name="Moneda 2 6" xfId="12" xr:uid="{00000000-0005-0000-0000-00000C000000}"/>
    <cellStyle name="Moneda 2 7" xfId="20" xr:uid="{00000000-0005-0000-0000-000014000000}"/>
    <cellStyle name="Normal" xfId="0" builtinId="0"/>
    <cellStyle name="Normal 2" xfId="2" xr:uid="{00000000-0005-0000-0000-000002000000}"/>
    <cellStyle name="Normal 3" xfId="4" xr:uid="{00000000-0005-0000-0000-000004000000}"/>
    <cellStyle name="Normal 4" xfId="28" xr:uid="{00000000-0005-0000-0000-00001C000000}"/>
    <cellStyle name="Normal_Hoja1" xfId="29" xr:uid="{D328B424-9924-4E14-8F85-EC5F5B558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FORMACIÓN 2026 </a:t>
            </a:r>
          </a:p>
          <a:p>
            <a:pPr>
              <a:defRPr/>
            </a:pPr>
            <a:r>
              <a:rPr lang="en-US" baseline="0"/>
              <a:t>380 Personas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03-455B-A5CF-0C053574F4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03-455B-A5CF-0C053574F4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03-455B-A5CF-0C053574F47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03-455B-A5CF-0C053574F47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03-455B-A5CF-0C053574F47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03-455B-A5CF-0C053574F477}"/>
              </c:ext>
            </c:extLst>
          </c:dPt>
          <c:dLbls>
            <c:dLbl>
              <c:idx val="0"/>
              <c:layout>
                <c:manualLayout>
                  <c:x val="8.6114954254200002E-2"/>
                  <c:y val="3.84443181715687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98909751665655"/>
                      <c:h val="7.77548682703321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E03-455B-A5CF-0C053574F477}"/>
                </c:ext>
              </c:extLst>
            </c:dLbl>
            <c:dLbl>
              <c:idx val="1"/>
              <c:layout>
                <c:manualLayout>
                  <c:x val="0.12799664212013975"/>
                  <c:y val="2.15363801174337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03-455B-A5CF-0C053574F477}"/>
                </c:ext>
              </c:extLst>
            </c:dLbl>
            <c:dLbl>
              <c:idx val="2"/>
              <c:layout>
                <c:manualLayout>
                  <c:x val="7.3198593090843311E-2"/>
                  <c:y val="7.9194739832778634E-3"/>
                </c:manualLayout>
              </c:layout>
              <c:tx>
                <c:rich>
                  <a:bodyPr/>
                  <a:lstStyle/>
                  <a:p>
                    <a:fld id="{88BDEBA7-67FE-4EF6-9635-475FED8311E2}" type="CATEGORYNAME">
                      <a:rPr lang="en-US"/>
                      <a:pPr/>
                      <a:t>[]</a:t>
                    </a:fld>
                    <a:r>
                      <a:rPr lang="en-US" baseline="0"/>
                      <a:t>; 31; </a:t>
                    </a:r>
                    <a:fld id="{BBFA8177-7802-43CB-B96C-52D54C26AF52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E03-455B-A5CF-0C053574F477}"/>
                </c:ext>
              </c:extLst>
            </c:dLbl>
            <c:dLbl>
              <c:idx val="3"/>
              <c:layout>
                <c:manualLayout>
                  <c:x val="0.19037946167660227"/>
                  <c:y val="-7.874412605640798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03-455B-A5CF-0C053574F477}"/>
                </c:ext>
              </c:extLst>
            </c:dLbl>
            <c:dLbl>
              <c:idx val="4"/>
              <c:layout>
                <c:manualLayout>
                  <c:x val="-8.4607308701796904E-2"/>
                  <c:y val="-0.138079750340485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03-455B-A5CF-0C053574F477}"/>
                </c:ext>
              </c:extLst>
            </c:dLbl>
            <c:dLbl>
              <c:idx val="5"/>
              <c:layout>
                <c:manualLayout>
                  <c:x val="-0.36167341430499328"/>
                  <c:y val="0.428701463863408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03-455B-A5CF-0C053574F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Totales!$C$6:$H$6</c:f>
              <c:strCache>
                <c:ptCount val="6"/>
                <c:pt idx="0">
                  <c:v>PODA 16 LLEE</c:v>
                </c:pt>
                <c:pt idx="1">
                  <c:v>LLEE 60</c:v>
                </c:pt>
                <c:pt idx="2">
                  <c:v>INS. POWER</c:v>
                </c:pt>
                <c:pt idx="3">
                  <c:v>RDO</c:v>
                </c:pt>
                <c:pt idx="4">
                  <c:v>ODI</c:v>
                </c:pt>
                <c:pt idx="5">
                  <c:v>INF. AEREA</c:v>
                </c:pt>
              </c:strCache>
            </c:strRef>
          </c:cat>
          <c:val>
            <c:numRef>
              <c:f>Totales!$C$19:$H$19</c:f>
              <c:numCache>
                <c:formatCode>General</c:formatCode>
                <c:ptCount val="6"/>
                <c:pt idx="0">
                  <c:v>36</c:v>
                </c:pt>
                <c:pt idx="1">
                  <c:v>55</c:v>
                </c:pt>
                <c:pt idx="2">
                  <c:v>31</c:v>
                </c:pt>
                <c:pt idx="3">
                  <c:v>133</c:v>
                </c:pt>
                <c:pt idx="4">
                  <c:v>125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9-4BBF-B7C2-22BA14A4F68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Formación Técnica  y Riesgos Eléctricos </a:t>
            </a:r>
          </a:p>
          <a:p>
            <a:pPr>
              <a:defRPr/>
            </a:pPr>
            <a:r>
              <a:rPr lang="es-CL" b="1"/>
              <a:t>349 personas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2-42B4-BDA8-1D538C9C269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2-42B4-BDA8-1D538C9C269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2-42B4-BDA8-1D538C9C269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82-42B4-BDA8-1D538C9C269E}"/>
              </c:ext>
            </c:extLst>
          </c:dPt>
          <c:dLbls>
            <c:dLbl>
              <c:idx val="0"/>
              <c:layout>
                <c:manualLayout>
                  <c:x val="9.4444444444444442E-2"/>
                  <c:y val="-2.31481481481481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LLEE:46p ; </a:t>
                    </a:r>
                    <a:fld id="{749FBF18-6A55-4DE1-B49D-B50D3C43F55D}" type="PERCENTAGE">
                      <a:rPr lang="en-US"/>
                      <a:pPr/>
                      <a:t>[]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82-42B4-BDA8-1D538C9C269E}"/>
                </c:ext>
              </c:extLst>
            </c:dLbl>
            <c:dLbl>
              <c:idx val="1"/>
              <c:layout>
                <c:manualLayout>
                  <c:x val="0.14444444444444435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LLEE PODAS: 20p; </a:t>
                    </a:r>
                    <a:fld id="{A9780300-68B2-4B14-9497-39645CE6FD98}" type="PERCENTAGE">
                      <a:rPr lang="en-US"/>
                      <a:pPr/>
                      <a:t>[]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782-42B4-BDA8-1D538C9C269E}"/>
                </c:ext>
              </c:extLst>
            </c:dLbl>
            <c:dLbl>
              <c:idx val="2"/>
              <c:layout>
                <c:manualLayout>
                  <c:x val="0.10277777777777777"/>
                  <c:y val="-5.09259259259260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ODI: 136p ; </a:t>
                    </a:r>
                    <a:fld id="{57DDF5B3-E02A-421F-BB79-5D3976B04BB6}" type="PERCENTAGE">
                      <a:rPr lang="en-US"/>
                      <a:pPr/>
                      <a:t>[]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782-42B4-BDA8-1D538C9C269E}"/>
                </c:ext>
              </c:extLst>
            </c:dLbl>
            <c:dLbl>
              <c:idx val="3"/>
              <c:layout>
                <c:manualLayout>
                  <c:x val="-0.13333333333333333"/>
                  <c:y val="-5.0925925925925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RDO:</a:t>
                    </a:r>
                    <a:r>
                      <a:rPr lang="en-US" baseline="0"/>
                      <a:t> 132</a:t>
                    </a:r>
                    <a:r>
                      <a:rPr lang="en-US"/>
                      <a:t> ;</a:t>
                    </a:r>
                    <a:fld id="{7169E871-FAE4-4721-8B42-6DB39084CDCE}" type="PERCENTAGE">
                      <a:rPr lang="en-US"/>
                      <a:pPr/>
                      <a:t>[]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782-42B4-BDA8-1D538C9C26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Totales!$B$21:$B$24</c:f>
              <c:strCache>
                <c:ptCount val="4"/>
                <c:pt idx="0">
                  <c:v>LLEE</c:v>
                </c:pt>
                <c:pt idx="1">
                  <c:v>LLEE PODA</c:v>
                </c:pt>
                <c:pt idx="2">
                  <c:v>ODIS</c:v>
                </c:pt>
                <c:pt idx="3">
                  <c:v>RDO</c:v>
                </c:pt>
              </c:strCache>
            </c:strRef>
          </c:cat>
          <c:val>
            <c:numRef>
              <c:f>Totales!$C$21:$C$24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2-497F-A502-A9639863483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82-42B4-BDA8-1D538C9C269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82-42B4-BDA8-1D538C9C269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82-42B4-BDA8-1D538C9C269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82-42B4-BDA8-1D538C9C26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Totales!$B$21:$B$24</c:f>
              <c:strCache>
                <c:ptCount val="4"/>
                <c:pt idx="0">
                  <c:v>LLEE</c:v>
                </c:pt>
                <c:pt idx="1">
                  <c:v>LLEE PODA</c:v>
                </c:pt>
                <c:pt idx="2">
                  <c:v>ODIS</c:v>
                </c:pt>
                <c:pt idx="3">
                  <c:v>RDO</c:v>
                </c:pt>
              </c:strCache>
            </c:strRef>
          </c:cat>
          <c:val>
            <c:numRef>
              <c:f>Totales!$D$21:$D$24</c:f>
              <c:numCache>
                <c:formatCode>General</c:formatCode>
                <c:ptCount val="4"/>
                <c:pt idx="0">
                  <c:v>55</c:v>
                </c:pt>
                <c:pt idx="1">
                  <c:v>36</c:v>
                </c:pt>
                <c:pt idx="2">
                  <c:v>125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2-497F-A502-A9639863483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2</xdr:row>
      <xdr:rowOff>0</xdr:rowOff>
    </xdr:from>
    <xdr:to>
      <xdr:col>17</xdr:col>
      <xdr:colOff>422910</xdr:colOff>
      <xdr:row>17</xdr:row>
      <xdr:rowOff>28575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8660FB99-12F5-47CB-B232-9374D6B5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449580</xdr:colOff>
      <xdr:row>18</xdr:row>
      <xdr:rowOff>179070</xdr:rowOff>
    </xdr:from>
    <xdr:to>
      <xdr:col>18</xdr:col>
      <xdr:colOff>144780</xdr:colOff>
      <xdr:row>33</xdr:row>
      <xdr:rowOff>179070</xdr:rowOff>
    </xdr:to>
    <xdr:graphicFrame macro="">
      <xdr:nvGraphicFramePr>
        <xdr:cNvPr id="44" name="Gráfico 3">
          <a:extLst>
            <a:ext uri="{FF2B5EF4-FFF2-40B4-BE49-F238E27FC236}">
              <a16:creationId xmlns:a16="http://schemas.microsoft.com/office/drawing/2014/main" id="{F591CD22-A11E-257B-6473-C858C1BE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lcom-my.sharepoint.com/personal/yanett_henriquez_enel_com/Documents/Archivos%20de%20chat%20de%20Microsoft%20Teams/Solicitud_CEO%202024%203.xlsx" TargetMode="External"/><Relationship Id="rId1" Type="http://schemas.openxmlformats.org/officeDocument/2006/relationships/externalLinkPath" Target="https://enelcom-my.sharepoint.com/personal/yanett_henriquez_enel_com/Documents/Archivos%20de%20chat%20de%20Microsoft%20Teams/Solicitud_CEO%202024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citud"/>
      <sheetName val="Patio"/>
      <sheetName val="Solicitud_CEO 2024 3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25"/>
  <sheetViews>
    <sheetView topLeftCell="A4" workbookViewId="0">
      <selection activeCell="J6" sqref="J6"/>
    </sheetView>
  </sheetViews>
  <sheetFormatPr defaultColWidth="8.85546875" defaultRowHeight="14.45"/>
  <cols>
    <col min="1" max="1" width="12.28515625" bestFit="1" customWidth="1"/>
    <col min="2" max="2" width="17.7109375" customWidth="1"/>
    <col min="3" max="3" width="15.28515625" bestFit="1" customWidth="1"/>
    <col min="4" max="4" width="14.28515625" bestFit="1" customWidth="1"/>
    <col min="5" max="5" width="12.42578125" bestFit="1" customWidth="1"/>
    <col min="6" max="6" width="10.28515625" customWidth="1"/>
    <col min="7" max="7" width="10.42578125" customWidth="1"/>
    <col min="8" max="8" width="14.5703125" bestFit="1" customWidth="1"/>
  </cols>
  <sheetData>
    <row r="4" spans="2:9">
      <c r="C4" s="50" t="s">
        <v>0</v>
      </c>
      <c r="D4" s="50"/>
      <c r="E4" s="50"/>
      <c r="F4" s="50"/>
      <c r="G4" s="50"/>
      <c r="H4" s="50"/>
    </row>
    <row r="5" spans="2:9">
      <c r="C5" s="50" t="s">
        <v>1</v>
      </c>
      <c r="D5" s="50"/>
      <c r="E5" s="50"/>
      <c r="F5" s="50"/>
      <c r="G5" s="50"/>
      <c r="H5" s="50"/>
    </row>
    <row r="6" spans="2:9">
      <c r="B6" s="23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</row>
    <row r="7" spans="2:9">
      <c r="B7" s="21" t="s">
        <v>9</v>
      </c>
      <c r="C7" s="10">
        <v>0</v>
      </c>
      <c r="D7" s="10">
        <v>0</v>
      </c>
      <c r="E7" s="25">
        <v>0</v>
      </c>
      <c r="F7" s="10">
        <v>30</v>
      </c>
      <c r="G7" s="25">
        <v>35</v>
      </c>
      <c r="H7" s="25">
        <v>0</v>
      </c>
    </row>
    <row r="8" spans="2:9">
      <c r="B8" s="21" t="s">
        <v>10</v>
      </c>
      <c r="C8" s="25">
        <v>10</v>
      </c>
      <c r="D8" s="25">
        <v>0</v>
      </c>
      <c r="E8" s="25">
        <v>0</v>
      </c>
      <c r="F8" s="25">
        <v>29</v>
      </c>
      <c r="G8" s="25">
        <v>24</v>
      </c>
      <c r="H8" s="25">
        <v>0</v>
      </c>
    </row>
    <row r="9" spans="2:9">
      <c r="B9" s="21" t="s">
        <v>11</v>
      </c>
      <c r="C9" s="25">
        <v>10</v>
      </c>
      <c r="D9" s="25">
        <v>37</v>
      </c>
      <c r="E9" s="26">
        <v>0</v>
      </c>
      <c r="F9" s="25">
        <v>23</v>
      </c>
      <c r="G9" s="26">
        <v>47</v>
      </c>
      <c r="H9" s="25">
        <v>0</v>
      </c>
      <c r="I9">
        <v>117</v>
      </c>
    </row>
    <row r="10" spans="2:9">
      <c r="B10" s="21" t="s">
        <v>12</v>
      </c>
      <c r="C10" s="25">
        <v>16</v>
      </c>
      <c r="D10" s="10">
        <v>18</v>
      </c>
      <c r="E10" s="25">
        <v>31</v>
      </c>
      <c r="F10" s="10">
        <f>51</f>
        <v>51</v>
      </c>
      <c r="G10" s="25">
        <v>19</v>
      </c>
      <c r="H10" s="25">
        <v>0</v>
      </c>
    </row>
    <row r="11" spans="2:9">
      <c r="B11" s="21" t="s">
        <v>13</v>
      </c>
      <c r="C11" s="25"/>
      <c r="D11" s="25"/>
      <c r="E11" s="25"/>
      <c r="F11" s="25"/>
      <c r="G11" s="25"/>
      <c r="H11" s="25"/>
    </row>
    <row r="12" spans="2:9">
      <c r="B12" s="21" t="s">
        <v>14</v>
      </c>
      <c r="C12" s="25"/>
      <c r="D12" s="25"/>
      <c r="E12" s="25"/>
      <c r="F12" s="25"/>
      <c r="G12" s="25"/>
      <c r="H12" s="25"/>
    </row>
    <row r="13" spans="2:9">
      <c r="B13" s="21" t="s">
        <v>15</v>
      </c>
      <c r="C13" s="25"/>
      <c r="D13" s="25"/>
      <c r="E13" s="25"/>
      <c r="F13" s="25"/>
      <c r="G13" s="25"/>
      <c r="H13" s="25"/>
    </row>
    <row r="14" spans="2:9">
      <c r="B14" s="21" t="s">
        <v>16</v>
      </c>
      <c r="C14" s="25"/>
      <c r="D14" s="25"/>
      <c r="E14" s="25"/>
      <c r="F14" s="25"/>
      <c r="G14" s="25"/>
      <c r="H14" s="25"/>
    </row>
    <row r="15" spans="2:9">
      <c r="B15" s="21" t="s">
        <v>17</v>
      </c>
      <c r="C15" s="25"/>
      <c r="D15" s="25"/>
      <c r="E15" s="25"/>
      <c r="F15" s="25"/>
      <c r="G15" s="25"/>
      <c r="H15" s="25"/>
    </row>
    <row r="16" spans="2:9">
      <c r="B16" s="21" t="s">
        <v>18</v>
      </c>
      <c r="C16" s="25"/>
      <c r="D16" s="25"/>
      <c r="E16" s="25"/>
      <c r="F16" s="25"/>
      <c r="G16" s="25"/>
      <c r="H16" s="25"/>
    </row>
    <row r="17" spans="2:8">
      <c r="B17" s="21" t="s">
        <v>19</v>
      </c>
      <c r="C17" s="25"/>
      <c r="D17" s="25"/>
      <c r="E17" s="25"/>
      <c r="F17" s="25"/>
      <c r="G17" s="25"/>
      <c r="H17" s="25"/>
    </row>
    <row r="18" spans="2:8">
      <c r="B18" s="21" t="s">
        <v>20</v>
      </c>
      <c r="C18" s="25"/>
      <c r="D18" s="25"/>
      <c r="E18" s="25"/>
      <c r="F18" s="25"/>
      <c r="G18" s="25"/>
      <c r="H18" s="25"/>
    </row>
    <row r="19" spans="2:8">
      <c r="B19" s="24" t="s">
        <v>21</v>
      </c>
      <c r="C19" s="27">
        <f>SUM(C7:C18)</f>
        <v>36</v>
      </c>
      <c r="D19" s="27">
        <f t="shared" ref="D19:H19" si="0">SUM(D7:D18)</f>
        <v>55</v>
      </c>
      <c r="E19" s="27">
        <f t="shared" si="0"/>
        <v>31</v>
      </c>
      <c r="F19" s="27">
        <f t="shared" si="0"/>
        <v>133</v>
      </c>
      <c r="G19" s="27">
        <f t="shared" si="0"/>
        <v>125</v>
      </c>
      <c r="H19" s="27">
        <f t="shared" si="0"/>
        <v>0</v>
      </c>
    </row>
    <row r="21" spans="2:8">
      <c r="B21" t="s">
        <v>22</v>
      </c>
      <c r="C21">
        <v>4</v>
      </c>
      <c r="D21">
        <f>D19</f>
        <v>55</v>
      </c>
    </row>
    <row r="22" spans="2:8">
      <c r="B22" t="s">
        <v>23</v>
      </c>
      <c r="C22">
        <v>3</v>
      </c>
      <c r="D22">
        <f>C19</f>
        <v>36</v>
      </c>
    </row>
    <row r="23" spans="2:8">
      <c r="B23" t="s">
        <v>24</v>
      </c>
      <c r="C23">
        <f>3+4+5+3</f>
        <v>15</v>
      </c>
      <c r="D23">
        <f>G19</f>
        <v>125</v>
      </c>
    </row>
    <row r="24" spans="2:8">
      <c r="B24" t="s">
        <v>6</v>
      </c>
      <c r="C24">
        <f>2+2+2+4</f>
        <v>10</v>
      </c>
      <c r="D24">
        <f>F19</f>
        <v>133</v>
      </c>
    </row>
    <row r="25" spans="2:8">
      <c r="C25" s="47">
        <f>SUM(C21:C24)</f>
        <v>32</v>
      </c>
      <c r="D25" s="47">
        <f>SUM(D21:D24)</f>
        <v>349</v>
      </c>
    </row>
  </sheetData>
  <mergeCells count="2">
    <mergeCell ref="C5:H5"/>
    <mergeCell ref="C4:H4"/>
  </mergeCells>
  <pageMargins left="0.75" right="0.75" top="1" bottom="1" header="0.5" footer="0.5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CDEC-0751-4453-9084-1EA7ABF2B067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6D65-5353-4E5C-A0A0-D3F554BE611D}">
  <dimension ref="A2:XEG1048512"/>
  <sheetViews>
    <sheetView workbookViewId="0">
      <selection sqref="A1:XFD1048576"/>
    </sheetView>
  </sheetViews>
  <sheetFormatPr defaultColWidth="11.42578125" defaultRowHeight="14.45"/>
  <cols>
    <col min="1" max="1" width="36" style="31" bestFit="1" customWidth="1"/>
    <col min="2" max="2" width="24.7109375" customWidth="1"/>
    <col min="3" max="3" width="10.42578125" bestFit="1" customWidth="1"/>
    <col min="4" max="4" width="12.7109375" customWidth="1"/>
    <col min="5" max="5" width="20.28515625" customWidth="1"/>
    <col min="7" max="7" width="2.28515625" customWidth="1"/>
    <col min="9" max="9" width="6.42578125" customWidth="1"/>
    <col min="10" max="10" width="4.42578125" customWidth="1"/>
    <col min="11" max="11" width="25.42578125" style="31" bestFit="1" customWidth="1"/>
    <col min="12" max="12" width="17.7109375" style="26" customWidth="1"/>
    <col min="13" max="13" width="16.5703125" customWidth="1"/>
    <col min="14" max="14" width="19.7109375" bestFit="1" customWidth="1"/>
    <col min="15" max="15" width="28.28515625" customWidth="1"/>
  </cols>
  <sheetData>
    <row r="2" spans="1:15" ht="25.9">
      <c r="A2" s="28" t="s">
        <v>25</v>
      </c>
      <c r="B2" s="29"/>
      <c r="C2" s="30"/>
    </row>
    <row r="4" spans="1:15">
      <c r="A4" s="32" t="s">
        <v>26</v>
      </c>
      <c r="B4" s="33" t="s">
        <v>27</v>
      </c>
      <c r="C4" s="34"/>
      <c r="D4" s="34"/>
      <c r="E4" s="34"/>
      <c r="F4" s="34"/>
      <c r="G4" s="34"/>
      <c r="H4" s="34"/>
      <c r="I4" s="35"/>
    </row>
    <row r="5" spans="1:15">
      <c r="A5" s="32" t="s">
        <v>28</v>
      </c>
      <c r="B5" s="36">
        <v>46041</v>
      </c>
      <c r="C5" s="37" t="s">
        <v>29</v>
      </c>
      <c r="D5" s="38">
        <v>0.375</v>
      </c>
      <c r="E5" s="39" t="s">
        <v>30</v>
      </c>
      <c r="F5" s="38">
        <v>0.45833333333333331</v>
      </c>
    </row>
    <row r="6" spans="1:15">
      <c r="A6" s="32" t="s">
        <v>31</v>
      </c>
      <c r="B6" s="40"/>
      <c r="C6" t="s">
        <v>32</v>
      </c>
    </row>
    <row r="7" spans="1:15">
      <c r="A7" s="32" t="s">
        <v>33</v>
      </c>
      <c r="B7" s="55" t="s">
        <v>34</v>
      </c>
      <c r="C7" s="56"/>
      <c r="D7" s="56"/>
      <c r="E7" s="56"/>
      <c r="F7" s="56"/>
      <c r="G7" s="56"/>
      <c r="H7" s="56"/>
      <c r="I7" s="57"/>
      <c r="L7" s="31"/>
      <c r="M7" s="31"/>
      <c r="N7" s="31"/>
    </row>
    <row r="8" spans="1:15">
      <c r="A8" s="32" t="s">
        <v>35</v>
      </c>
      <c r="B8" s="55" t="s">
        <v>36</v>
      </c>
      <c r="C8" s="56"/>
      <c r="D8" s="56"/>
      <c r="E8" s="56"/>
      <c r="F8" s="56"/>
      <c r="G8" s="56"/>
      <c r="H8" s="56"/>
      <c r="I8" s="57"/>
      <c r="L8" s="31"/>
      <c r="M8" s="31"/>
      <c r="N8" s="31"/>
    </row>
    <row r="9" spans="1:15">
      <c r="A9" s="32" t="s">
        <v>37</v>
      </c>
      <c r="B9" s="55" t="s">
        <v>38</v>
      </c>
      <c r="C9" s="56"/>
      <c r="D9" s="56"/>
      <c r="E9" s="56"/>
      <c r="F9" s="56"/>
      <c r="G9" s="56"/>
      <c r="H9" s="56"/>
      <c r="I9" s="57"/>
      <c r="L9" s="31"/>
      <c r="M9" s="31"/>
      <c r="N9" s="31"/>
    </row>
    <row r="10" spans="1:15">
      <c r="A10" s="32" t="s">
        <v>39</v>
      </c>
      <c r="B10" s="55"/>
      <c r="C10" s="56"/>
      <c r="D10" s="56"/>
      <c r="E10" s="56"/>
      <c r="F10" s="56"/>
      <c r="G10" s="56"/>
      <c r="H10" s="56"/>
      <c r="I10" s="57"/>
      <c r="L10" s="31"/>
      <c r="M10" s="31"/>
      <c r="N10" s="31"/>
    </row>
    <row r="11" spans="1:15">
      <c r="A11" s="32" t="s">
        <v>40</v>
      </c>
      <c r="B11" s="55"/>
      <c r="C11" s="56"/>
      <c r="D11" s="56"/>
      <c r="E11" s="56"/>
      <c r="F11" s="56"/>
      <c r="G11" s="56"/>
      <c r="H11" s="56"/>
      <c r="I11" s="57"/>
      <c r="L11" s="31"/>
      <c r="M11" s="31"/>
      <c r="N11" s="31"/>
    </row>
    <row r="12" spans="1:15">
      <c r="A12" s="32" t="s">
        <v>41</v>
      </c>
      <c r="B12" s="55"/>
      <c r="C12" s="56"/>
      <c r="D12" s="56"/>
      <c r="E12" s="56"/>
      <c r="F12" s="56"/>
      <c r="G12" s="56"/>
      <c r="H12" s="56"/>
      <c r="I12" s="57"/>
    </row>
    <row r="13" spans="1:15">
      <c r="A13" s="41"/>
      <c r="B13" s="42"/>
      <c r="C13" s="42"/>
      <c r="D13" s="42"/>
      <c r="E13" s="42"/>
      <c r="F13" s="42"/>
      <c r="G13" s="42"/>
      <c r="H13" s="42"/>
      <c r="I13" s="42"/>
    </row>
    <row r="14" spans="1:15" s="26" customFormat="1">
      <c r="A14" s="1" t="s">
        <v>42</v>
      </c>
      <c r="B14" s="1" t="s">
        <v>43</v>
      </c>
      <c r="C14" s="49" t="s">
        <v>44</v>
      </c>
      <c r="D14" s="49"/>
      <c r="E14" s="49"/>
      <c r="F14" s="49" t="s">
        <v>45</v>
      </c>
      <c r="G14" s="49"/>
      <c r="H14" s="49"/>
      <c r="I14" s="49" t="s">
        <v>46</v>
      </c>
      <c r="J14" s="49"/>
      <c r="K14" s="49"/>
      <c r="L14" s="2" t="s">
        <v>47</v>
      </c>
      <c r="M14" s="43" t="s">
        <v>48</v>
      </c>
      <c r="N14" s="43" t="s">
        <v>49</v>
      </c>
      <c r="O14" s="43" t="s">
        <v>50</v>
      </c>
    </row>
    <row r="15" spans="1:15">
      <c r="A15" s="44" t="s">
        <v>51</v>
      </c>
      <c r="B15" s="7" t="s">
        <v>52</v>
      </c>
      <c r="C15" s="51" t="s">
        <v>53</v>
      </c>
      <c r="D15" s="52"/>
      <c r="E15" s="53"/>
      <c r="F15" s="54" t="s">
        <v>54</v>
      </c>
      <c r="G15" s="52"/>
      <c r="H15" s="53"/>
      <c r="I15" s="54" t="s">
        <v>55</v>
      </c>
      <c r="J15" s="52"/>
      <c r="K15" s="53"/>
      <c r="L15" s="8" t="s">
        <v>56</v>
      </c>
      <c r="M15" s="45"/>
      <c r="N15" s="45"/>
      <c r="O15" s="46"/>
    </row>
    <row r="16" spans="1:15">
      <c r="A16" s="44" t="s">
        <v>51</v>
      </c>
      <c r="B16" s="7" t="s">
        <v>57</v>
      </c>
      <c r="C16" s="51" t="s">
        <v>58</v>
      </c>
      <c r="D16" s="52"/>
      <c r="E16" s="53"/>
      <c r="F16" s="54" t="s">
        <v>59</v>
      </c>
      <c r="G16" s="52"/>
      <c r="H16" s="53"/>
      <c r="I16" s="54" t="s">
        <v>60</v>
      </c>
      <c r="J16" s="52"/>
      <c r="K16" s="53"/>
      <c r="L16" s="8" t="s">
        <v>56</v>
      </c>
      <c r="M16" s="45"/>
      <c r="N16" s="45"/>
      <c r="O16" s="46"/>
    </row>
    <row r="17" spans="1:15" ht="15" customHeight="1">
      <c r="A17" s="44" t="s">
        <v>51</v>
      </c>
      <c r="B17" s="7" t="s">
        <v>61</v>
      </c>
      <c r="C17" s="51" t="s">
        <v>62</v>
      </c>
      <c r="D17" s="52"/>
      <c r="E17" s="53"/>
      <c r="F17" s="54" t="s">
        <v>63</v>
      </c>
      <c r="G17" s="52"/>
      <c r="H17" s="53"/>
      <c r="I17" s="54" t="s">
        <v>64</v>
      </c>
      <c r="J17" s="52"/>
      <c r="K17" s="53"/>
      <c r="L17" s="8" t="s">
        <v>56</v>
      </c>
      <c r="M17" s="45"/>
      <c r="N17" s="45"/>
      <c r="O17" s="46"/>
    </row>
    <row r="18" spans="1:15">
      <c r="A18" s="44" t="s">
        <v>51</v>
      </c>
      <c r="B18" s="7" t="s">
        <v>65</v>
      </c>
      <c r="C18" s="51" t="s">
        <v>66</v>
      </c>
      <c r="D18" s="52"/>
      <c r="E18" s="53"/>
      <c r="F18" s="54" t="s">
        <v>67</v>
      </c>
      <c r="G18" s="52"/>
      <c r="H18" s="53"/>
      <c r="I18" s="54" t="s">
        <v>68</v>
      </c>
      <c r="J18" s="52"/>
      <c r="K18" s="53"/>
      <c r="L18" s="8" t="s">
        <v>56</v>
      </c>
      <c r="M18" s="45"/>
      <c r="N18" s="45"/>
      <c r="O18" s="46"/>
    </row>
    <row r="19" spans="1:15">
      <c r="A19" s="44" t="s">
        <v>51</v>
      </c>
      <c r="B19" s="7" t="s">
        <v>69</v>
      </c>
      <c r="C19" s="51" t="s">
        <v>70</v>
      </c>
      <c r="D19" s="52"/>
      <c r="E19" s="53"/>
      <c r="F19" s="54" t="s">
        <v>71</v>
      </c>
      <c r="G19" s="52"/>
      <c r="H19" s="53"/>
      <c r="I19" s="54" t="s">
        <v>72</v>
      </c>
      <c r="J19" s="52"/>
      <c r="K19" s="53"/>
      <c r="L19" s="8" t="s">
        <v>56</v>
      </c>
      <c r="M19" s="45"/>
      <c r="N19" s="45"/>
      <c r="O19" s="46"/>
    </row>
    <row r="20" spans="1:15">
      <c r="A20" s="44" t="s">
        <v>51</v>
      </c>
      <c r="B20" s="7" t="s">
        <v>73</v>
      </c>
      <c r="C20" s="51" t="s">
        <v>74</v>
      </c>
      <c r="D20" s="52"/>
      <c r="E20" s="53"/>
      <c r="F20" s="54" t="s">
        <v>75</v>
      </c>
      <c r="G20" s="52"/>
      <c r="H20" s="53"/>
      <c r="I20" s="54" t="s">
        <v>76</v>
      </c>
      <c r="J20" s="52"/>
      <c r="K20" s="53"/>
      <c r="L20" s="8" t="s">
        <v>56</v>
      </c>
      <c r="M20" s="45"/>
      <c r="N20" s="45"/>
      <c r="O20" s="46"/>
    </row>
    <row r="21" spans="1:15">
      <c r="A21" s="44" t="s">
        <v>51</v>
      </c>
      <c r="B21" s="7" t="s">
        <v>77</v>
      </c>
      <c r="C21" s="51" t="s">
        <v>78</v>
      </c>
      <c r="D21" s="52"/>
      <c r="E21" s="53"/>
      <c r="F21" s="54" t="s">
        <v>79</v>
      </c>
      <c r="G21" s="52"/>
      <c r="H21" s="53"/>
      <c r="I21" s="54" t="s">
        <v>80</v>
      </c>
      <c r="J21" s="52"/>
      <c r="K21" s="53"/>
      <c r="L21" s="8" t="s">
        <v>56</v>
      </c>
      <c r="M21" s="45"/>
      <c r="N21" s="45"/>
      <c r="O21" s="46"/>
    </row>
    <row r="22" spans="1:15">
      <c r="A22" s="44" t="s">
        <v>51</v>
      </c>
      <c r="B22" s="7" t="s">
        <v>81</v>
      </c>
      <c r="C22" s="51" t="s">
        <v>82</v>
      </c>
      <c r="D22" s="52"/>
      <c r="E22" s="53"/>
      <c r="F22" s="54" t="s">
        <v>83</v>
      </c>
      <c r="G22" s="52"/>
      <c r="H22" s="53"/>
      <c r="I22" s="54" t="s">
        <v>84</v>
      </c>
      <c r="J22" s="52"/>
      <c r="K22" s="53"/>
      <c r="L22" s="8" t="s">
        <v>56</v>
      </c>
      <c r="M22" s="45"/>
      <c r="N22" s="45"/>
      <c r="O22" s="46"/>
    </row>
    <row r="23" spans="1:15">
      <c r="A23" s="44" t="s">
        <v>51</v>
      </c>
      <c r="B23" s="7" t="s">
        <v>85</v>
      </c>
      <c r="C23" s="51" t="s">
        <v>74</v>
      </c>
      <c r="D23" s="52"/>
      <c r="E23" s="53"/>
      <c r="F23" s="54" t="s">
        <v>86</v>
      </c>
      <c r="G23" s="52"/>
      <c r="H23" s="53"/>
      <c r="I23" s="54" t="s">
        <v>87</v>
      </c>
      <c r="J23" s="52"/>
      <c r="K23" s="53"/>
      <c r="L23" s="8" t="s">
        <v>56</v>
      </c>
      <c r="M23" s="45"/>
      <c r="N23" s="45"/>
      <c r="O23" s="46"/>
    </row>
    <row r="24" spans="1:15">
      <c r="A24" s="44"/>
      <c r="B24" s="7"/>
      <c r="C24" s="51"/>
      <c r="D24" s="52"/>
      <c r="E24" s="53"/>
      <c r="F24" s="54"/>
      <c r="G24" s="52"/>
      <c r="H24" s="53"/>
      <c r="I24" s="54"/>
      <c r="J24" s="52"/>
      <c r="K24" s="53"/>
      <c r="L24" s="8"/>
      <c r="M24" s="45"/>
      <c r="N24" s="45"/>
      <c r="O24" s="46"/>
    </row>
    <row r="25" spans="1:15">
      <c r="A25" s="44"/>
      <c r="B25" s="7"/>
      <c r="C25" s="51"/>
      <c r="D25" s="52"/>
      <c r="E25" s="53"/>
      <c r="F25" s="54"/>
      <c r="G25" s="52"/>
      <c r="H25" s="53"/>
      <c r="I25" s="54"/>
      <c r="J25" s="52"/>
      <c r="K25" s="53"/>
      <c r="L25" s="8"/>
      <c r="M25" s="45"/>
      <c r="N25" s="45"/>
      <c r="O25" s="46"/>
    </row>
    <row r="26" spans="1:15">
      <c r="A26" s="44"/>
      <c r="B26" s="7"/>
      <c r="C26" s="51"/>
      <c r="D26" s="52"/>
      <c r="E26" s="53"/>
      <c r="F26" s="54"/>
      <c r="G26" s="52"/>
      <c r="H26" s="53"/>
      <c r="I26" s="54"/>
      <c r="J26" s="52"/>
      <c r="K26" s="53"/>
      <c r="L26" s="8"/>
      <c r="M26" s="45"/>
      <c r="N26" s="45"/>
      <c r="O26" s="46"/>
    </row>
    <row r="27" spans="1:15">
      <c r="A27" s="44"/>
      <c r="B27" s="7"/>
      <c r="C27" s="51"/>
      <c r="D27" s="52"/>
      <c r="E27" s="53"/>
      <c r="F27" s="54"/>
      <c r="G27" s="52"/>
      <c r="H27" s="53"/>
      <c r="I27" s="54"/>
      <c r="J27" s="52"/>
      <c r="K27" s="53"/>
      <c r="L27" s="8"/>
      <c r="M27" s="45"/>
      <c r="N27" s="45"/>
      <c r="O27" s="46"/>
    </row>
    <row r="28" spans="1:15">
      <c r="A28" s="44"/>
      <c r="B28" s="7"/>
      <c r="C28" s="51"/>
      <c r="D28" s="52"/>
      <c r="E28" s="53"/>
      <c r="F28" s="54"/>
      <c r="G28" s="52"/>
      <c r="H28" s="53"/>
      <c r="I28" s="54"/>
      <c r="J28" s="52"/>
      <c r="K28" s="53"/>
      <c r="L28" s="8"/>
      <c r="M28" s="45"/>
      <c r="N28" s="45"/>
      <c r="O28" s="46"/>
    </row>
    <row r="29" spans="1:15">
      <c r="A29" s="44"/>
      <c r="B29" s="7"/>
      <c r="C29" s="51"/>
      <c r="D29" s="52"/>
      <c r="E29" s="53"/>
      <c r="F29" s="54"/>
      <c r="G29" s="52"/>
      <c r="H29" s="53"/>
      <c r="I29" s="54"/>
      <c r="J29" s="52"/>
      <c r="K29" s="53"/>
      <c r="L29" s="8"/>
      <c r="M29" s="45"/>
      <c r="N29" s="45"/>
      <c r="O29" s="46"/>
    </row>
    <row r="30" spans="1:15">
      <c r="A30" s="44"/>
      <c r="B30" s="7"/>
      <c r="C30" s="51"/>
      <c r="D30" s="52"/>
      <c r="E30" s="53"/>
      <c r="F30" s="54"/>
      <c r="G30" s="52"/>
      <c r="H30" s="53"/>
      <c r="I30" s="54"/>
      <c r="J30" s="52"/>
      <c r="K30" s="53"/>
      <c r="L30" s="8"/>
      <c r="M30" s="45"/>
      <c r="N30" s="45"/>
      <c r="O30" s="46"/>
    </row>
    <row r="31" spans="1:15">
      <c r="A31" s="44"/>
      <c r="B31" s="7"/>
      <c r="C31" s="51"/>
      <c r="D31" s="52"/>
      <c r="E31" s="53"/>
      <c r="F31" s="54"/>
      <c r="G31" s="52"/>
      <c r="H31" s="53"/>
      <c r="I31" s="54"/>
      <c r="J31" s="52"/>
      <c r="K31" s="53"/>
      <c r="L31" s="8"/>
      <c r="M31" s="45"/>
      <c r="N31" s="45"/>
      <c r="O31" s="46"/>
    </row>
    <row r="32" spans="1:15">
      <c r="A32" s="44"/>
      <c r="B32" s="7"/>
      <c r="C32" s="51"/>
      <c r="D32" s="52"/>
      <c r="E32" s="53"/>
      <c r="F32" s="54"/>
      <c r="G32" s="52"/>
      <c r="H32" s="53"/>
      <c r="I32" s="54"/>
      <c r="J32" s="52"/>
      <c r="K32" s="53"/>
      <c r="L32" s="8"/>
      <c r="M32" s="45"/>
      <c r="N32" s="45"/>
      <c r="O32" s="46"/>
    </row>
    <row r="33" spans="1:15">
      <c r="A33" s="44"/>
      <c r="B33" s="7"/>
      <c r="C33" s="51"/>
      <c r="D33" s="52"/>
      <c r="E33" s="53"/>
      <c r="F33" s="54"/>
      <c r="G33" s="52"/>
      <c r="H33" s="53"/>
      <c r="I33" s="54"/>
      <c r="J33" s="52"/>
      <c r="K33" s="53"/>
      <c r="L33" s="8"/>
      <c r="M33" s="45"/>
      <c r="N33" s="45"/>
      <c r="O33" s="46"/>
    </row>
    <row r="34" spans="1:15">
      <c r="A34" s="44"/>
      <c r="B34" s="7"/>
      <c r="C34" s="51"/>
      <c r="D34" s="52"/>
      <c r="E34" s="53"/>
      <c r="F34" s="54"/>
      <c r="G34" s="52"/>
      <c r="H34" s="53"/>
      <c r="I34" s="54"/>
      <c r="J34" s="52"/>
      <c r="K34" s="53"/>
      <c r="L34" s="8"/>
      <c r="M34" s="45"/>
      <c r="N34" s="45"/>
      <c r="O34" s="46"/>
    </row>
    <row r="35" spans="1:15">
      <c r="A35" s="44"/>
      <c r="B35" s="7"/>
      <c r="C35" s="51"/>
      <c r="D35" s="52"/>
      <c r="E35" s="53"/>
      <c r="F35" s="54"/>
      <c r="G35" s="52"/>
      <c r="H35" s="53"/>
      <c r="I35" s="54"/>
      <c r="J35" s="52"/>
      <c r="K35" s="53"/>
      <c r="L35" s="8"/>
      <c r="M35" s="45"/>
      <c r="N35" s="45"/>
      <c r="O35" s="46"/>
    </row>
    <row r="36" spans="1:15">
      <c r="A36" s="44"/>
      <c r="B36" s="7"/>
      <c r="C36" s="51"/>
      <c r="D36" s="52"/>
      <c r="E36" s="53"/>
      <c r="F36" s="54"/>
      <c r="G36" s="52"/>
      <c r="H36" s="53"/>
      <c r="I36" s="54"/>
      <c r="J36" s="52"/>
      <c r="K36" s="53"/>
      <c r="L36" s="8"/>
      <c r="M36" s="45"/>
      <c r="N36" s="45"/>
      <c r="O36" s="46"/>
    </row>
    <row r="37" spans="1:15">
      <c r="A37" s="44"/>
      <c r="B37" s="7"/>
      <c r="C37" s="51"/>
      <c r="D37" s="52"/>
      <c r="E37" s="53"/>
      <c r="F37" s="54"/>
      <c r="G37" s="52"/>
      <c r="H37" s="53"/>
      <c r="I37" s="54"/>
      <c r="J37" s="52"/>
      <c r="K37" s="53"/>
      <c r="L37" s="8"/>
      <c r="M37" s="45"/>
      <c r="N37" s="45"/>
      <c r="O37" s="46"/>
    </row>
    <row r="38" spans="1:15">
      <c r="A38" s="44"/>
      <c r="B38" s="7"/>
      <c r="C38" s="51"/>
      <c r="D38" s="52"/>
      <c r="E38" s="53"/>
      <c r="F38" s="54"/>
      <c r="G38" s="52"/>
      <c r="H38" s="53"/>
      <c r="I38" s="54"/>
      <c r="J38" s="52"/>
      <c r="K38" s="53"/>
      <c r="L38" s="8"/>
      <c r="M38" s="45"/>
      <c r="N38" s="45"/>
      <c r="O38" s="46"/>
    </row>
    <row r="39" spans="1:15">
      <c r="A39" s="44"/>
      <c r="B39" s="7"/>
      <c r="C39" s="51"/>
      <c r="D39" s="52"/>
      <c r="E39" s="53"/>
      <c r="F39" s="54"/>
      <c r="G39" s="52"/>
      <c r="H39" s="53"/>
      <c r="I39" s="54"/>
      <c r="J39" s="52"/>
      <c r="K39" s="53"/>
      <c r="L39" s="8"/>
      <c r="M39" s="45"/>
      <c r="N39" s="45"/>
      <c r="O39" s="46"/>
    </row>
    <row r="40" spans="1:15">
      <c r="A40" s="44"/>
      <c r="B40" s="7"/>
      <c r="C40" s="51"/>
      <c r="D40" s="52"/>
      <c r="E40" s="53"/>
      <c r="F40" s="54"/>
      <c r="G40" s="52"/>
      <c r="H40" s="53"/>
      <c r="I40" s="54"/>
      <c r="J40" s="52"/>
      <c r="K40" s="53"/>
      <c r="L40" s="8"/>
      <c r="M40" s="45"/>
      <c r="N40" s="45"/>
      <c r="O40" s="46"/>
    </row>
    <row r="41" spans="1:15">
      <c r="A41" s="44"/>
      <c r="B41" s="7"/>
      <c r="C41" s="51"/>
      <c r="D41" s="52"/>
      <c r="E41" s="53"/>
      <c r="F41" s="54"/>
      <c r="G41" s="52"/>
      <c r="H41" s="53"/>
      <c r="I41" s="54"/>
      <c r="J41" s="52"/>
      <c r="K41" s="53"/>
      <c r="L41" s="8"/>
      <c r="M41" s="45"/>
      <c r="N41" s="45"/>
      <c r="O41" s="46"/>
    </row>
    <row r="42" spans="1:15">
      <c r="A42" s="44"/>
      <c r="B42" s="7"/>
      <c r="C42" s="51"/>
      <c r="D42" s="52"/>
      <c r="E42" s="53"/>
      <c r="F42" s="54"/>
      <c r="G42" s="52"/>
      <c r="H42" s="53"/>
      <c r="I42" s="54"/>
      <c r="J42" s="52"/>
      <c r="K42" s="53"/>
      <c r="L42" s="8"/>
      <c r="M42" s="45"/>
      <c r="N42" s="45"/>
      <c r="O42" s="46"/>
    </row>
    <row r="43" spans="1:15">
      <c r="A43" s="44"/>
      <c r="B43" s="7"/>
      <c r="C43" s="51"/>
      <c r="D43" s="52"/>
      <c r="E43" s="53"/>
      <c r="F43" s="54"/>
      <c r="G43" s="52"/>
      <c r="H43" s="53"/>
      <c r="I43" s="54"/>
      <c r="J43" s="52"/>
      <c r="K43" s="53"/>
      <c r="L43" s="8"/>
      <c r="M43" s="45"/>
      <c r="N43" s="45"/>
      <c r="O43" s="46"/>
    </row>
    <row r="44" spans="1:15">
      <c r="A44" s="44"/>
      <c r="B44" s="7"/>
      <c r="C44" s="51"/>
      <c r="D44" s="52"/>
      <c r="E44" s="53"/>
      <c r="F44" s="54"/>
      <c r="G44" s="52"/>
      <c r="H44" s="53"/>
      <c r="I44" s="54"/>
      <c r="J44" s="52"/>
      <c r="K44" s="53"/>
      <c r="L44" s="8"/>
      <c r="M44" s="45"/>
      <c r="N44" s="45"/>
      <c r="O44" s="46"/>
    </row>
    <row r="45" spans="1:15">
      <c r="A45" s="44"/>
      <c r="B45" s="7"/>
      <c r="C45" s="51"/>
      <c r="D45" s="52"/>
      <c r="E45" s="53"/>
      <c r="F45" s="54"/>
      <c r="G45" s="52"/>
      <c r="H45" s="53"/>
      <c r="I45" s="54"/>
      <c r="J45" s="52"/>
      <c r="K45" s="53"/>
      <c r="L45" s="8"/>
      <c r="M45" s="45"/>
      <c r="N45" s="45"/>
      <c r="O45" s="46"/>
    </row>
    <row r="46" spans="1:15">
      <c r="A46" s="44"/>
      <c r="B46" s="7"/>
      <c r="C46" s="51"/>
      <c r="D46" s="52"/>
      <c r="E46" s="53"/>
      <c r="F46" s="54"/>
      <c r="G46" s="52"/>
      <c r="H46" s="53"/>
      <c r="I46" s="54"/>
      <c r="J46" s="52"/>
      <c r="K46" s="53"/>
      <c r="L46" s="8"/>
      <c r="M46" s="45"/>
      <c r="N46" s="45"/>
      <c r="O46" s="46"/>
    </row>
    <row r="47" spans="1:15">
      <c r="A47" s="44"/>
      <c r="B47" s="7"/>
      <c r="C47" s="51"/>
      <c r="D47" s="52"/>
      <c r="E47" s="53"/>
      <c r="F47" s="54"/>
      <c r="G47" s="52"/>
      <c r="H47" s="53"/>
      <c r="I47" s="54"/>
      <c r="J47" s="52"/>
      <c r="K47" s="53"/>
      <c r="L47" s="8"/>
      <c r="M47" s="45"/>
      <c r="N47" s="45"/>
      <c r="O47" s="46"/>
    </row>
    <row r="48" spans="1:15">
      <c r="A48" s="44"/>
      <c r="B48" s="7"/>
      <c r="C48" s="51"/>
      <c r="D48" s="52"/>
      <c r="E48" s="53"/>
      <c r="F48" s="54"/>
      <c r="G48" s="52"/>
      <c r="H48" s="53"/>
      <c r="I48" s="54"/>
      <c r="J48" s="52"/>
      <c r="K48" s="53"/>
      <c r="L48" s="8"/>
      <c r="M48" s="45"/>
      <c r="N48" s="45"/>
      <c r="O48" s="46"/>
    </row>
    <row r="49" spans="1:15">
      <c r="A49" s="44"/>
      <c r="B49" s="7"/>
      <c r="C49" s="51"/>
      <c r="D49" s="52"/>
      <c r="E49" s="53"/>
      <c r="F49" s="54"/>
      <c r="G49" s="52"/>
      <c r="H49" s="53"/>
      <c r="I49" s="54"/>
      <c r="J49" s="52"/>
      <c r="K49" s="53"/>
      <c r="L49" s="8"/>
      <c r="M49" s="45"/>
      <c r="N49" s="45"/>
      <c r="O49" s="46"/>
    </row>
    <row r="50" spans="1:15">
      <c r="A50" s="44"/>
      <c r="B50" s="7"/>
      <c r="C50" s="51"/>
      <c r="D50" s="52"/>
      <c r="E50" s="53"/>
      <c r="F50" s="54"/>
      <c r="G50" s="52"/>
      <c r="H50" s="53"/>
      <c r="I50" s="54"/>
      <c r="J50" s="52"/>
      <c r="K50" s="53"/>
      <c r="L50" s="8"/>
      <c r="M50" s="45"/>
      <c r="N50" s="45"/>
      <c r="O50" s="46"/>
    </row>
    <row r="51" spans="1:15">
      <c r="A51" s="44"/>
      <c r="B51" s="7"/>
      <c r="C51" s="51"/>
      <c r="D51" s="52"/>
      <c r="E51" s="53"/>
      <c r="F51" s="54"/>
      <c r="G51" s="52"/>
      <c r="H51" s="53"/>
      <c r="I51" s="54"/>
      <c r="J51" s="52"/>
      <c r="K51" s="53"/>
      <c r="L51" s="8"/>
      <c r="M51" s="45"/>
      <c r="N51" s="45"/>
      <c r="O51" s="46"/>
    </row>
    <row r="52" spans="1:15">
      <c r="A52" s="44"/>
      <c r="B52" s="7"/>
      <c r="C52" s="51"/>
      <c r="D52" s="52"/>
      <c r="E52" s="53"/>
      <c r="F52" s="54"/>
      <c r="G52" s="52"/>
      <c r="H52" s="53"/>
      <c r="I52" s="54"/>
      <c r="J52" s="52"/>
      <c r="K52" s="53"/>
      <c r="L52" s="8"/>
      <c r="M52" s="45"/>
      <c r="N52" s="45"/>
      <c r="O52" s="46"/>
    </row>
    <row r="53" spans="1:15">
      <c r="A53" s="44"/>
      <c r="B53" s="7"/>
      <c r="C53" s="51"/>
      <c r="D53" s="52"/>
      <c r="E53" s="53"/>
      <c r="F53" s="54"/>
      <c r="G53" s="52"/>
      <c r="H53" s="53"/>
      <c r="I53" s="54"/>
      <c r="J53" s="52"/>
      <c r="K53" s="53"/>
      <c r="L53" s="8"/>
      <c r="M53" s="45"/>
      <c r="N53" s="45"/>
      <c r="O53" s="46"/>
    </row>
    <row r="54" spans="1:15">
      <c r="A54" s="44"/>
      <c r="B54" s="7"/>
      <c r="C54" s="51"/>
      <c r="D54" s="52"/>
      <c r="E54" s="53"/>
      <c r="F54" s="54"/>
      <c r="G54" s="52"/>
      <c r="H54" s="53"/>
      <c r="I54" s="54"/>
      <c r="J54" s="52"/>
      <c r="K54" s="53"/>
      <c r="L54" s="8"/>
      <c r="M54" s="45"/>
      <c r="N54" s="45"/>
      <c r="O54" s="46"/>
    </row>
    <row r="55" spans="1:15">
      <c r="A55" s="44"/>
      <c r="B55" s="7"/>
      <c r="C55" s="51"/>
      <c r="D55" s="52"/>
      <c r="E55" s="53"/>
      <c r="F55" s="54"/>
      <c r="G55" s="52"/>
      <c r="H55" s="53"/>
      <c r="I55" s="54"/>
      <c r="J55" s="52"/>
      <c r="K55" s="53"/>
      <c r="L55" s="8"/>
      <c r="M55" s="45"/>
      <c r="N55" s="45"/>
      <c r="O55" s="46"/>
    </row>
    <row r="56" spans="1:15">
      <c r="A56" s="44"/>
      <c r="B56" s="7"/>
      <c r="C56" s="51"/>
      <c r="D56" s="52"/>
      <c r="E56" s="53"/>
      <c r="F56" s="54"/>
      <c r="G56" s="52"/>
      <c r="H56" s="53"/>
      <c r="I56" s="54"/>
      <c r="J56" s="52"/>
      <c r="K56" s="53"/>
      <c r="L56" s="8"/>
      <c r="M56" s="45"/>
      <c r="N56" s="45"/>
      <c r="O56" s="46"/>
    </row>
    <row r="57" spans="1:15">
      <c r="A57" s="44"/>
      <c r="B57" s="7"/>
      <c r="C57" s="51"/>
      <c r="D57" s="52"/>
      <c r="E57" s="53"/>
      <c r="F57" s="54"/>
      <c r="G57" s="52"/>
      <c r="H57" s="53"/>
      <c r="I57" s="54"/>
      <c r="J57" s="52"/>
      <c r="K57" s="53"/>
      <c r="L57" s="8"/>
      <c r="M57" s="45"/>
      <c r="N57" s="45"/>
      <c r="O57" s="46"/>
    </row>
    <row r="58" spans="1:15">
      <c r="A58" s="44"/>
      <c r="B58" s="7"/>
      <c r="C58" s="51"/>
      <c r="D58" s="52"/>
      <c r="E58" s="53"/>
      <c r="F58" s="54"/>
      <c r="G58" s="52"/>
      <c r="H58" s="53"/>
      <c r="I58" s="54"/>
      <c r="J58" s="52"/>
      <c r="K58" s="53"/>
      <c r="L58" s="8"/>
      <c r="M58" s="45"/>
      <c r="N58" s="45"/>
      <c r="O58" s="46"/>
    </row>
    <row r="59" spans="1:15">
      <c r="A59" s="44"/>
      <c r="B59" s="7"/>
      <c r="C59" s="51"/>
      <c r="D59" s="52"/>
      <c r="E59" s="53"/>
      <c r="F59" s="54"/>
      <c r="G59" s="52"/>
      <c r="H59" s="53"/>
      <c r="I59" s="54"/>
      <c r="J59" s="52"/>
      <c r="K59" s="53"/>
      <c r="L59" s="8"/>
      <c r="M59" s="45"/>
      <c r="N59" s="45"/>
      <c r="O59" s="46"/>
    </row>
    <row r="60" spans="1:15">
      <c r="A60" s="44"/>
      <c r="B60" s="7"/>
      <c r="C60" s="51"/>
      <c r="D60" s="52"/>
      <c r="E60" s="53"/>
      <c r="F60" s="54"/>
      <c r="G60" s="52"/>
      <c r="H60" s="53"/>
      <c r="I60" s="54"/>
      <c r="J60" s="52"/>
      <c r="K60" s="53"/>
      <c r="L60" s="8"/>
      <c r="M60" s="45"/>
      <c r="N60" s="45"/>
      <c r="O60" s="46"/>
    </row>
    <row r="61" spans="1:15">
      <c r="A61" s="44"/>
      <c r="B61" s="7"/>
      <c r="C61" s="51"/>
      <c r="D61" s="52"/>
      <c r="E61" s="53"/>
      <c r="F61" s="54"/>
      <c r="G61" s="52"/>
      <c r="H61" s="53"/>
      <c r="I61" s="54"/>
      <c r="J61" s="52"/>
      <c r="K61" s="53"/>
      <c r="L61" s="8"/>
      <c r="M61" s="45"/>
      <c r="N61" s="45"/>
      <c r="O61" s="46"/>
    </row>
    <row r="62" spans="1:15">
      <c r="A62" s="44"/>
      <c r="B62" s="7"/>
      <c r="C62" s="51"/>
      <c r="D62" s="52"/>
      <c r="E62" s="53"/>
      <c r="F62" s="54"/>
      <c r="G62" s="52"/>
      <c r="H62" s="53"/>
      <c r="I62" s="54"/>
      <c r="J62" s="52"/>
      <c r="K62" s="53"/>
      <c r="L62" s="8"/>
      <c r="M62" s="45"/>
      <c r="N62" s="45"/>
      <c r="O62" s="46"/>
    </row>
    <row r="63" spans="1:15">
      <c r="A63" s="44"/>
      <c r="B63" s="7"/>
      <c r="C63" s="51"/>
      <c r="D63" s="52"/>
      <c r="E63" s="53"/>
      <c r="F63" s="54"/>
      <c r="G63" s="52"/>
      <c r="H63" s="53"/>
      <c r="I63" s="54"/>
      <c r="J63" s="52"/>
      <c r="K63" s="53"/>
      <c r="L63" s="8"/>
      <c r="M63" s="45"/>
      <c r="N63" s="45"/>
      <c r="O63" s="46"/>
    </row>
    <row r="64" spans="1:15">
      <c r="A64" s="44"/>
      <c r="B64" s="7"/>
      <c r="C64" s="51"/>
      <c r="D64" s="52"/>
      <c r="E64" s="53"/>
      <c r="F64" s="54"/>
      <c r="G64" s="52"/>
      <c r="H64" s="53"/>
      <c r="I64" s="54"/>
      <c r="J64" s="52"/>
      <c r="K64" s="53"/>
      <c r="L64" s="8"/>
      <c r="M64" s="45"/>
      <c r="N64" s="45"/>
      <c r="O64" s="46"/>
    </row>
    <row r="65" spans="1:15">
      <c r="A65" s="44"/>
      <c r="B65" s="7"/>
      <c r="C65" s="51"/>
      <c r="D65" s="52"/>
      <c r="E65" s="53"/>
      <c r="F65" s="54"/>
      <c r="G65" s="52"/>
      <c r="H65" s="53"/>
      <c r="I65" s="54"/>
      <c r="J65" s="52"/>
      <c r="K65" s="53"/>
      <c r="L65" s="8"/>
      <c r="M65" s="45"/>
      <c r="N65" s="45"/>
      <c r="O65" s="46"/>
    </row>
    <row r="66" spans="1:15">
      <c r="A66" s="44"/>
      <c r="B66" s="7"/>
      <c r="C66" s="51"/>
      <c r="D66" s="52"/>
      <c r="E66" s="53"/>
      <c r="F66" s="54"/>
      <c r="G66" s="52"/>
      <c r="H66" s="53"/>
      <c r="I66" s="54"/>
      <c r="J66" s="52"/>
      <c r="K66" s="53"/>
      <c r="L66" s="8"/>
      <c r="M66" s="45"/>
      <c r="N66" s="45"/>
      <c r="O66" s="46"/>
    </row>
    <row r="67" spans="1:15">
      <c r="A67" s="44"/>
      <c r="B67" s="7"/>
      <c r="C67" s="51"/>
      <c r="D67" s="52"/>
      <c r="E67" s="53"/>
      <c r="F67" s="54"/>
      <c r="G67" s="52"/>
      <c r="H67" s="53"/>
      <c r="I67" s="54"/>
      <c r="J67" s="52"/>
      <c r="K67" s="53"/>
      <c r="L67" s="8"/>
      <c r="M67" s="45"/>
      <c r="N67" s="45"/>
      <c r="O67" s="46"/>
    </row>
    <row r="68" spans="1:15">
      <c r="A68" s="44"/>
      <c r="B68" s="7"/>
      <c r="C68" s="51"/>
      <c r="D68" s="52"/>
      <c r="E68" s="53"/>
      <c r="F68" s="54"/>
      <c r="G68" s="52"/>
      <c r="H68" s="53"/>
      <c r="I68" s="54"/>
      <c r="J68" s="52"/>
      <c r="K68" s="53"/>
      <c r="L68" s="8"/>
      <c r="M68" s="45"/>
      <c r="N68" s="45"/>
      <c r="O68" s="46"/>
    </row>
    <row r="69" spans="1:15">
      <c r="A69" s="44"/>
      <c r="B69" s="7"/>
      <c r="C69" s="51"/>
      <c r="D69" s="52"/>
      <c r="E69" s="53"/>
      <c r="F69" s="54"/>
      <c r="G69" s="52"/>
      <c r="H69" s="53"/>
      <c r="I69" s="54"/>
      <c r="J69" s="52"/>
      <c r="K69" s="53"/>
      <c r="L69" s="8"/>
      <c r="M69" s="45"/>
      <c r="N69" s="45"/>
      <c r="O69" s="46"/>
    </row>
    <row r="70" spans="1:15">
      <c r="A70" s="44"/>
      <c r="B70" s="7"/>
      <c r="C70" s="51"/>
      <c r="D70" s="52"/>
      <c r="E70" s="53"/>
      <c r="F70" s="54"/>
      <c r="G70" s="52"/>
      <c r="H70" s="53"/>
      <c r="I70" s="54"/>
      <c r="J70" s="52"/>
      <c r="K70" s="53"/>
      <c r="L70" s="8"/>
      <c r="M70" s="45"/>
      <c r="N70" s="45"/>
      <c r="O70" s="46"/>
    </row>
    <row r="71" spans="1:15">
      <c r="A71" s="44"/>
      <c r="B71" s="7"/>
      <c r="C71" s="51"/>
      <c r="D71" s="52"/>
      <c r="E71" s="53"/>
      <c r="F71" s="54"/>
      <c r="G71" s="52"/>
      <c r="H71" s="53"/>
      <c r="I71" s="54"/>
      <c r="J71" s="52"/>
      <c r="K71" s="53"/>
      <c r="L71" s="8"/>
      <c r="M71" s="45"/>
      <c r="N71" s="45"/>
      <c r="O71" s="46"/>
    </row>
    <row r="72" spans="1:15">
      <c r="A72" s="44"/>
      <c r="B72" s="7"/>
      <c r="C72" s="51"/>
      <c r="D72" s="52"/>
      <c r="E72" s="53"/>
      <c r="F72" s="54"/>
      <c r="G72" s="52"/>
      <c r="H72" s="53"/>
      <c r="I72" s="54"/>
      <c r="J72" s="52"/>
      <c r="K72" s="53"/>
      <c r="L72" s="8"/>
      <c r="M72" s="45"/>
      <c r="N72" s="45"/>
      <c r="O72" s="46"/>
    </row>
    <row r="73" spans="1:15">
      <c r="A73" s="44"/>
      <c r="B73" s="7"/>
      <c r="C73" s="51"/>
      <c r="D73" s="52"/>
      <c r="E73" s="53"/>
      <c r="F73" s="54"/>
      <c r="G73" s="52"/>
      <c r="H73" s="53"/>
      <c r="I73" s="54"/>
      <c r="J73" s="52"/>
      <c r="K73" s="53"/>
      <c r="L73" s="8"/>
      <c r="M73" s="45"/>
      <c r="N73" s="45"/>
      <c r="O73" s="46"/>
    </row>
    <row r="74" spans="1:15">
      <c r="A74" s="44"/>
      <c r="B74" s="7"/>
      <c r="C74" s="51"/>
      <c r="D74" s="52"/>
      <c r="E74" s="53"/>
      <c r="F74" s="54"/>
      <c r="G74" s="52"/>
      <c r="H74" s="53"/>
      <c r="I74" s="54"/>
      <c r="J74" s="52"/>
      <c r="K74" s="53"/>
      <c r="L74" s="8"/>
      <c r="M74" s="45"/>
      <c r="N74" s="45"/>
      <c r="O74" s="46"/>
    </row>
    <row r="75" spans="1:15">
      <c r="A75" s="44"/>
      <c r="B75" s="7"/>
      <c r="C75" s="51"/>
      <c r="D75" s="52"/>
      <c r="E75" s="53"/>
      <c r="F75" s="54"/>
      <c r="G75" s="52"/>
      <c r="H75" s="53"/>
      <c r="I75" s="54"/>
      <c r="J75" s="52"/>
      <c r="K75" s="53"/>
      <c r="L75" s="8"/>
      <c r="M75" s="45"/>
      <c r="N75" s="45"/>
      <c r="O75" s="46"/>
    </row>
    <row r="76" spans="1:15">
      <c r="A76" s="44"/>
      <c r="B76" s="7"/>
      <c r="C76" s="51"/>
      <c r="D76" s="52"/>
      <c r="E76" s="53"/>
      <c r="F76" s="54"/>
      <c r="G76" s="52"/>
      <c r="H76" s="53"/>
      <c r="I76" s="54"/>
      <c r="J76" s="52"/>
      <c r="K76" s="53"/>
      <c r="L76" s="8"/>
      <c r="M76" s="45"/>
      <c r="N76" s="45"/>
      <c r="O76" s="46"/>
    </row>
    <row r="77" spans="1:15">
      <c r="A77" s="44"/>
      <c r="B77" s="7"/>
      <c r="C77" s="51"/>
      <c r="D77" s="52"/>
      <c r="E77" s="53"/>
      <c r="F77" s="54"/>
      <c r="G77" s="52"/>
      <c r="H77" s="53"/>
      <c r="I77" s="54"/>
      <c r="J77" s="52"/>
      <c r="K77" s="53"/>
      <c r="L77" s="8"/>
      <c r="M77" s="45"/>
      <c r="N77" s="45"/>
      <c r="O77" s="46"/>
    </row>
    <row r="78" spans="1:15">
      <c r="A78" s="44"/>
      <c r="B78" s="7"/>
      <c r="C78" s="51"/>
      <c r="D78" s="52"/>
      <c r="E78" s="53"/>
      <c r="F78" s="54"/>
      <c r="G78" s="52"/>
      <c r="H78" s="53"/>
      <c r="I78" s="54"/>
      <c r="J78" s="52"/>
      <c r="K78" s="53"/>
      <c r="L78" s="8"/>
      <c r="M78" s="45"/>
      <c r="N78" s="45"/>
      <c r="O78" s="46"/>
    </row>
    <row r="79" spans="1:15">
      <c r="A79" s="44"/>
      <c r="B79" s="7"/>
      <c r="C79" s="51"/>
      <c r="D79" s="52"/>
      <c r="E79" s="53"/>
      <c r="F79" s="54"/>
      <c r="G79" s="52"/>
      <c r="H79" s="53"/>
      <c r="I79" s="54"/>
      <c r="J79" s="52"/>
      <c r="K79" s="53"/>
      <c r="L79" s="8"/>
      <c r="M79" s="45"/>
      <c r="N79" s="45"/>
      <c r="O79" s="46"/>
    </row>
    <row r="80" spans="1:15">
      <c r="A80" s="44"/>
      <c r="B80" s="7"/>
      <c r="C80" s="51"/>
      <c r="D80" s="52"/>
      <c r="E80" s="53"/>
      <c r="F80" s="54"/>
      <c r="G80" s="52"/>
      <c r="H80" s="53"/>
      <c r="I80" s="54"/>
      <c r="J80" s="52"/>
      <c r="K80" s="53"/>
      <c r="L80" s="8"/>
      <c r="M80" s="45"/>
      <c r="N80" s="45"/>
      <c r="O80" s="46"/>
    </row>
    <row r="81" spans="1:15">
      <c r="A81" s="44"/>
      <c r="B81" s="7"/>
      <c r="C81" s="51"/>
      <c r="D81" s="52"/>
      <c r="E81" s="53"/>
      <c r="F81" s="54"/>
      <c r="G81" s="52"/>
      <c r="H81" s="53"/>
      <c r="I81" s="54"/>
      <c r="J81" s="52"/>
      <c r="K81" s="53"/>
      <c r="L81" s="8"/>
      <c r="M81" s="45"/>
      <c r="N81" s="45"/>
      <c r="O81" s="46"/>
    </row>
    <row r="82" spans="1:15">
      <c r="A82" s="44"/>
      <c r="B82" s="7"/>
      <c r="C82" s="51"/>
      <c r="D82" s="52"/>
      <c r="E82" s="53"/>
      <c r="F82" s="54"/>
      <c r="G82" s="52"/>
      <c r="H82" s="53"/>
      <c r="I82" s="54"/>
      <c r="J82" s="52"/>
      <c r="K82" s="53"/>
      <c r="L82" s="8"/>
      <c r="M82" s="45"/>
      <c r="N82" s="45"/>
      <c r="O82" s="46"/>
    </row>
    <row r="83" spans="1:15">
      <c r="A83" s="44"/>
      <c r="B83" s="7"/>
      <c r="C83" s="51"/>
      <c r="D83" s="52"/>
      <c r="E83" s="53"/>
      <c r="F83" s="54"/>
      <c r="G83" s="52"/>
      <c r="H83" s="53"/>
      <c r="I83" s="54"/>
      <c r="J83" s="52"/>
      <c r="K83" s="53"/>
      <c r="L83" s="8"/>
      <c r="M83" s="45"/>
      <c r="N83" s="45"/>
      <c r="O83" s="46"/>
    </row>
    <row r="84" spans="1:15">
      <c r="A84" s="44"/>
      <c r="B84" s="7"/>
      <c r="C84" s="51"/>
      <c r="D84" s="52"/>
      <c r="E84" s="53"/>
      <c r="F84" s="54"/>
      <c r="G84" s="52"/>
      <c r="H84" s="53"/>
      <c r="I84" s="54"/>
      <c r="J84" s="52"/>
      <c r="K84" s="53"/>
      <c r="L84" s="8"/>
      <c r="M84" s="45"/>
      <c r="N84" s="45"/>
      <c r="O84" s="46"/>
    </row>
    <row r="85" spans="1:15">
      <c r="A85" s="44"/>
      <c r="B85" s="7"/>
      <c r="C85" s="51"/>
      <c r="D85" s="52"/>
      <c r="E85" s="53"/>
      <c r="F85" s="54"/>
      <c r="G85" s="52"/>
      <c r="H85" s="53"/>
      <c r="I85" s="54"/>
      <c r="J85" s="52"/>
      <c r="K85" s="53"/>
      <c r="L85" s="8"/>
      <c r="M85" s="45"/>
      <c r="N85" s="45"/>
      <c r="O85" s="46"/>
    </row>
    <row r="86" spans="1:15">
      <c r="A86" s="44"/>
      <c r="B86" s="7"/>
      <c r="C86" s="51"/>
      <c r="D86" s="52"/>
      <c r="E86" s="53"/>
      <c r="F86" s="54"/>
      <c r="G86" s="52"/>
      <c r="H86" s="53"/>
      <c r="I86" s="54"/>
      <c r="J86" s="52"/>
      <c r="K86" s="53"/>
      <c r="L86" s="8"/>
      <c r="M86" s="45"/>
      <c r="N86" s="45"/>
      <c r="O86" s="46"/>
    </row>
    <row r="87" spans="1:15">
      <c r="A87" s="44"/>
      <c r="B87" s="7"/>
      <c r="C87" s="51"/>
      <c r="D87" s="52"/>
      <c r="E87" s="53"/>
      <c r="F87" s="54"/>
      <c r="G87" s="52"/>
      <c r="H87" s="53"/>
      <c r="I87" s="54"/>
      <c r="J87" s="52"/>
      <c r="K87" s="53"/>
      <c r="L87" s="8"/>
      <c r="M87" s="45"/>
      <c r="N87" s="45"/>
      <c r="O87" s="46"/>
    </row>
    <row r="88" spans="1:15">
      <c r="A88" s="44"/>
      <c r="B88" s="7"/>
      <c r="C88" s="51"/>
      <c r="D88" s="52"/>
      <c r="E88" s="53"/>
      <c r="F88" s="54"/>
      <c r="G88" s="52"/>
      <c r="H88" s="53"/>
      <c r="I88" s="54"/>
      <c r="J88" s="52"/>
      <c r="K88" s="53"/>
      <c r="L88" s="8"/>
      <c r="M88" s="45"/>
      <c r="N88" s="45"/>
      <c r="O88" s="46"/>
    </row>
    <row r="89" spans="1:15">
      <c r="A89" s="44"/>
      <c r="B89" s="7"/>
      <c r="C89" s="51"/>
      <c r="D89" s="52"/>
      <c r="E89" s="53"/>
      <c r="F89" s="54"/>
      <c r="G89" s="52"/>
      <c r="H89" s="53"/>
      <c r="I89" s="54"/>
      <c r="J89" s="52"/>
      <c r="K89" s="53"/>
      <c r="L89" s="8"/>
      <c r="M89" s="45"/>
      <c r="N89" s="45"/>
      <c r="O89" s="46"/>
    </row>
    <row r="90" spans="1:15">
      <c r="A90" s="44"/>
      <c r="B90" s="7"/>
      <c r="C90" s="51"/>
      <c r="D90" s="52"/>
      <c r="E90" s="53"/>
      <c r="F90" s="54"/>
      <c r="G90" s="52"/>
      <c r="H90" s="53"/>
      <c r="I90" s="54"/>
      <c r="J90" s="52"/>
      <c r="K90" s="53"/>
      <c r="L90" s="8"/>
      <c r="M90" s="45"/>
      <c r="N90" s="45"/>
      <c r="O90" s="46"/>
    </row>
    <row r="91" spans="1:15">
      <c r="A91" s="44"/>
      <c r="B91" s="7"/>
      <c r="C91" s="51"/>
      <c r="D91" s="52"/>
      <c r="E91" s="53"/>
      <c r="F91" s="54"/>
      <c r="G91" s="52"/>
      <c r="H91" s="53"/>
      <c r="I91" s="54"/>
      <c r="J91" s="52"/>
      <c r="K91" s="53"/>
      <c r="L91" s="8"/>
      <c r="M91" s="45"/>
      <c r="N91" s="45"/>
      <c r="O91" s="46"/>
    </row>
    <row r="92" spans="1:15">
      <c r="A92" s="44"/>
      <c r="B92" s="7"/>
      <c r="C92" s="51"/>
      <c r="D92" s="52"/>
      <c r="E92" s="53"/>
      <c r="F92" s="54"/>
      <c r="G92" s="52"/>
      <c r="H92" s="53"/>
      <c r="I92" s="54"/>
      <c r="J92" s="52"/>
      <c r="K92" s="53"/>
      <c r="L92" s="8"/>
      <c r="M92" s="45"/>
      <c r="N92" s="45"/>
      <c r="O92" s="46"/>
    </row>
    <row r="93" spans="1:15">
      <c r="A93" s="44"/>
      <c r="B93" s="7"/>
      <c r="C93" s="51"/>
      <c r="D93" s="52"/>
      <c r="E93" s="53"/>
      <c r="F93" s="54"/>
      <c r="G93" s="52"/>
      <c r="H93" s="53"/>
      <c r="I93" s="54"/>
      <c r="J93" s="52"/>
      <c r="K93" s="53"/>
      <c r="L93" s="8"/>
      <c r="M93" s="45"/>
      <c r="N93" s="45"/>
      <c r="O93" s="46"/>
    </row>
    <row r="94" spans="1:15">
      <c r="A94" s="44"/>
      <c r="B94" s="7"/>
      <c r="C94" s="51"/>
      <c r="D94" s="52"/>
      <c r="E94" s="53"/>
      <c r="F94" s="54"/>
      <c r="G94" s="52"/>
      <c r="H94" s="53"/>
      <c r="I94" s="54"/>
      <c r="J94" s="52"/>
      <c r="K94" s="53"/>
      <c r="L94" s="8"/>
      <c r="M94" s="45"/>
      <c r="N94" s="45"/>
      <c r="O94" s="46"/>
    </row>
    <row r="95" spans="1:15">
      <c r="A95" s="44"/>
      <c r="B95" s="7"/>
      <c r="C95" s="51"/>
      <c r="D95" s="52"/>
      <c r="E95" s="53"/>
      <c r="F95" s="54"/>
      <c r="G95" s="52"/>
      <c r="H95" s="53"/>
      <c r="I95" s="54"/>
      <c r="J95" s="52"/>
      <c r="K95" s="53"/>
      <c r="L95" s="8"/>
      <c r="M95" s="45"/>
      <c r="N95" s="45"/>
      <c r="O95" s="46"/>
    </row>
    <row r="96" spans="1:15">
      <c r="A96" s="44"/>
      <c r="B96" s="7"/>
      <c r="C96" s="51"/>
      <c r="D96" s="52"/>
      <c r="E96" s="53"/>
      <c r="F96" s="54"/>
      <c r="G96" s="52"/>
      <c r="H96" s="53"/>
      <c r="I96" s="54"/>
      <c r="J96" s="52"/>
      <c r="K96" s="53"/>
      <c r="L96" s="8"/>
      <c r="M96" s="45"/>
      <c r="N96" s="45"/>
      <c r="O96" s="46"/>
    </row>
    <row r="97" spans="1:15">
      <c r="A97" s="44"/>
      <c r="B97" s="7"/>
      <c r="C97" s="51"/>
      <c r="D97" s="52"/>
      <c r="E97" s="53"/>
      <c r="F97" s="54"/>
      <c r="G97" s="52"/>
      <c r="H97" s="53"/>
      <c r="I97" s="54"/>
      <c r="J97" s="52"/>
      <c r="K97" s="53"/>
      <c r="L97" s="8"/>
      <c r="M97" s="45"/>
      <c r="N97" s="45"/>
      <c r="O97" s="46"/>
    </row>
    <row r="98" spans="1:15">
      <c r="A98" s="44"/>
      <c r="B98" s="7"/>
      <c r="C98" s="51"/>
      <c r="D98" s="52"/>
      <c r="E98" s="53"/>
      <c r="F98" s="54"/>
      <c r="G98" s="52"/>
      <c r="H98" s="53"/>
      <c r="I98" s="54"/>
      <c r="J98" s="52"/>
      <c r="K98" s="53"/>
      <c r="L98" s="8"/>
      <c r="M98" s="45"/>
      <c r="N98" s="45"/>
      <c r="O98" s="46"/>
    </row>
    <row r="99" spans="1:15">
      <c r="A99" s="44"/>
      <c r="B99" s="7"/>
      <c r="C99" s="51"/>
      <c r="D99" s="52"/>
      <c r="E99" s="53"/>
      <c r="F99" s="54"/>
      <c r="G99" s="52"/>
      <c r="H99" s="53"/>
      <c r="I99" s="54"/>
      <c r="J99" s="52"/>
      <c r="K99" s="53"/>
      <c r="L99" s="8"/>
      <c r="M99" s="45"/>
      <c r="N99" s="45"/>
      <c r="O99" s="46"/>
    </row>
    <row r="100" spans="1:15">
      <c r="A100" s="44"/>
      <c r="B100" s="7"/>
      <c r="C100" s="51"/>
      <c r="D100" s="52"/>
      <c r="E100" s="53"/>
      <c r="F100" s="54"/>
      <c r="G100" s="52"/>
      <c r="H100" s="53"/>
      <c r="I100" s="54"/>
      <c r="J100" s="52"/>
      <c r="K100" s="53"/>
      <c r="L100" s="8"/>
      <c r="M100" s="45"/>
      <c r="N100" s="45"/>
      <c r="O100" s="46"/>
    </row>
    <row r="101" spans="1:15">
      <c r="A101" s="44"/>
      <c r="B101" s="7"/>
      <c r="C101" s="51"/>
      <c r="D101" s="52"/>
      <c r="E101" s="53"/>
      <c r="F101" s="54"/>
      <c r="G101" s="52"/>
      <c r="H101" s="53"/>
      <c r="I101" s="54"/>
      <c r="J101" s="52"/>
      <c r="K101" s="53"/>
      <c r="L101" s="8"/>
      <c r="M101" s="45"/>
      <c r="N101" s="45"/>
      <c r="O101" s="46"/>
    </row>
    <row r="102" spans="1:15">
      <c r="A102" s="44"/>
      <c r="B102" s="7"/>
      <c r="C102" s="51"/>
      <c r="D102" s="52"/>
      <c r="E102" s="53"/>
      <c r="F102" s="54"/>
      <c r="G102" s="52"/>
      <c r="H102" s="53"/>
      <c r="I102" s="54"/>
      <c r="J102" s="52"/>
      <c r="K102" s="53"/>
      <c r="L102" s="8"/>
      <c r="M102" s="45"/>
      <c r="N102" s="45"/>
      <c r="O102" s="46"/>
    </row>
    <row r="103" spans="1:15">
      <c r="A103" s="44"/>
      <c r="B103" s="7"/>
      <c r="C103" s="51"/>
      <c r="D103" s="52"/>
      <c r="E103" s="53"/>
      <c r="F103" s="54"/>
      <c r="G103" s="52"/>
      <c r="H103" s="53"/>
      <c r="I103" s="54"/>
      <c r="J103" s="52"/>
      <c r="K103" s="53"/>
      <c r="L103" s="8"/>
      <c r="M103" s="45"/>
      <c r="N103" s="45"/>
      <c r="O103" s="46"/>
    </row>
    <row r="104" spans="1:15">
      <c r="A104" s="44"/>
      <c r="B104" s="7"/>
      <c r="C104" s="51"/>
      <c r="D104" s="52"/>
      <c r="E104" s="53"/>
      <c r="F104" s="54"/>
      <c r="G104" s="52"/>
      <c r="H104" s="53"/>
      <c r="I104" s="54"/>
      <c r="J104" s="52"/>
      <c r="K104" s="53"/>
      <c r="L104" s="8"/>
      <c r="M104" s="45"/>
      <c r="N104" s="45"/>
      <c r="O104" s="46"/>
    </row>
    <row r="105" spans="1:15">
      <c r="A105" s="44"/>
      <c r="B105" s="7"/>
      <c r="C105" s="51"/>
      <c r="D105" s="52"/>
      <c r="E105" s="53"/>
      <c r="F105" s="54"/>
      <c r="G105" s="52"/>
      <c r="H105" s="53"/>
      <c r="I105" s="54"/>
      <c r="J105" s="52"/>
      <c r="K105" s="53"/>
      <c r="L105" s="8"/>
      <c r="M105" s="45"/>
      <c r="N105" s="45"/>
      <c r="O105" s="46"/>
    </row>
    <row r="106" spans="1:15">
      <c r="A106" s="44"/>
      <c r="B106" s="7"/>
      <c r="C106" s="51"/>
      <c r="D106" s="52"/>
      <c r="E106" s="53"/>
      <c r="F106" s="54"/>
      <c r="G106" s="52"/>
      <c r="H106" s="53"/>
      <c r="I106" s="54"/>
      <c r="J106" s="52"/>
      <c r="K106" s="53"/>
      <c r="L106" s="8"/>
      <c r="M106" s="45"/>
      <c r="N106" s="45"/>
      <c r="O106" s="46"/>
    </row>
    <row r="107" spans="1:15">
      <c r="A107" s="44"/>
      <c r="B107" s="7"/>
      <c r="C107" s="51"/>
      <c r="D107" s="52"/>
      <c r="E107" s="53"/>
      <c r="F107" s="54"/>
      <c r="G107" s="52"/>
      <c r="H107" s="53"/>
      <c r="I107" s="54"/>
      <c r="J107" s="52"/>
      <c r="K107" s="53"/>
      <c r="L107" s="8"/>
      <c r="M107" s="45"/>
      <c r="N107" s="45"/>
      <c r="O107" s="46"/>
    </row>
    <row r="108" spans="1:15">
      <c r="A108" s="44"/>
      <c r="B108" s="7"/>
      <c r="C108" s="51"/>
      <c r="D108" s="52"/>
      <c r="E108" s="53"/>
      <c r="F108" s="54"/>
      <c r="G108" s="52"/>
      <c r="H108" s="53"/>
      <c r="I108" s="54"/>
      <c r="J108" s="52"/>
      <c r="K108" s="53"/>
      <c r="L108" s="8"/>
      <c r="M108" s="45"/>
      <c r="N108" s="45"/>
      <c r="O108" s="46"/>
    </row>
    <row r="109" spans="1:15">
      <c r="A109" s="44"/>
      <c r="B109" s="7"/>
      <c r="C109" s="51"/>
      <c r="D109" s="52"/>
      <c r="E109" s="53"/>
      <c r="F109" s="54"/>
      <c r="G109" s="52"/>
      <c r="H109" s="53"/>
      <c r="I109" s="54"/>
      <c r="J109" s="52"/>
      <c r="K109" s="53"/>
      <c r="L109" s="8"/>
      <c r="M109" s="45"/>
      <c r="N109" s="45"/>
      <c r="O109" s="46"/>
    </row>
    <row r="110" spans="1:15">
      <c r="A110" s="44"/>
      <c r="B110" s="7"/>
      <c r="C110" s="51"/>
      <c r="D110" s="52"/>
      <c r="E110" s="53"/>
      <c r="F110" s="54"/>
      <c r="G110" s="52"/>
      <c r="H110" s="53"/>
      <c r="I110" s="54"/>
      <c r="J110" s="52"/>
      <c r="K110" s="53"/>
      <c r="L110" s="8"/>
      <c r="M110" s="45"/>
      <c r="N110" s="45"/>
      <c r="O110" s="46"/>
    </row>
    <row r="111" spans="1:15">
      <c r="A111" s="44"/>
      <c r="B111" s="7"/>
      <c r="C111" s="51"/>
      <c r="D111" s="52"/>
      <c r="E111" s="53"/>
      <c r="F111" s="54"/>
      <c r="G111" s="52"/>
      <c r="H111" s="53"/>
      <c r="I111" s="54"/>
      <c r="J111" s="52"/>
      <c r="K111" s="53"/>
      <c r="L111" s="8"/>
      <c r="M111" s="45"/>
      <c r="N111" s="45"/>
      <c r="O111" s="46"/>
    </row>
    <row r="112" spans="1:15">
      <c r="A112" s="44"/>
      <c r="B112" s="7"/>
      <c r="C112" s="51"/>
      <c r="D112" s="52"/>
      <c r="E112" s="53"/>
      <c r="F112" s="54"/>
      <c r="G112" s="52"/>
      <c r="H112" s="53"/>
      <c r="I112" s="54"/>
      <c r="J112" s="52"/>
      <c r="K112" s="53"/>
      <c r="L112" s="8"/>
      <c r="M112" s="45"/>
      <c r="N112" s="45"/>
      <c r="O112" s="46"/>
    </row>
    <row r="113" spans="1:15">
      <c r="A113" s="44"/>
      <c r="B113" s="7"/>
      <c r="C113" s="51"/>
      <c r="D113" s="52"/>
      <c r="E113" s="53"/>
      <c r="F113" s="54"/>
      <c r="G113" s="52"/>
      <c r="H113" s="53"/>
      <c r="I113" s="54"/>
      <c r="J113" s="52"/>
      <c r="K113" s="53"/>
      <c r="L113" s="8"/>
      <c r="M113" s="45"/>
      <c r="N113" s="45"/>
      <c r="O113" s="46"/>
    </row>
    <row r="114" spans="1:15">
      <c r="A114" s="44"/>
      <c r="B114" s="7"/>
      <c r="C114" s="51"/>
      <c r="D114" s="52"/>
      <c r="E114" s="53"/>
      <c r="F114" s="54"/>
      <c r="G114" s="52"/>
      <c r="H114" s="53"/>
      <c r="I114" s="54"/>
      <c r="J114" s="52"/>
      <c r="K114" s="53"/>
      <c r="L114" s="8"/>
      <c r="M114" s="45"/>
      <c r="N114" s="45"/>
      <c r="O114" s="46"/>
    </row>
    <row r="115" spans="1:15">
      <c r="A115" s="44"/>
      <c r="B115" s="7"/>
      <c r="C115" s="51"/>
      <c r="D115" s="52"/>
      <c r="E115" s="53"/>
      <c r="F115" s="54"/>
      <c r="G115" s="52"/>
      <c r="H115" s="53"/>
      <c r="I115" s="54"/>
      <c r="J115" s="52"/>
      <c r="K115" s="53"/>
      <c r="L115" s="8"/>
      <c r="M115" s="45"/>
      <c r="N115" s="45"/>
      <c r="O115" s="46"/>
    </row>
    <row r="116" spans="1:15">
      <c r="A116" s="44"/>
      <c r="B116" s="7"/>
      <c r="C116" s="51"/>
      <c r="D116" s="52"/>
      <c r="E116" s="53"/>
      <c r="F116" s="54"/>
      <c r="G116" s="52"/>
      <c r="H116" s="53"/>
      <c r="I116" s="54"/>
      <c r="J116" s="52"/>
      <c r="K116" s="53"/>
      <c r="L116" s="8"/>
      <c r="M116" s="45"/>
      <c r="N116" s="45"/>
      <c r="O116" s="46"/>
    </row>
    <row r="117" spans="1:15">
      <c r="A117" s="44"/>
      <c r="B117" s="7"/>
      <c r="C117" s="51"/>
      <c r="D117" s="52"/>
      <c r="E117" s="53"/>
      <c r="F117" s="54"/>
      <c r="G117" s="52"/>
      <c r="H117" s="53"/>
      <c r="I117" s="54"/>
      <c r="J117" s="52"/>
      <c r="K117" s="53"/>
      <c r="L117" s="8"/>
      <c r="M117" s="45"/>
      <c r="N117" s="45"/>
      <c r="O117" s="46"/>
    </row>
    <row r="118" spans="1:15">
      <c r="A118" s="44"/>
      <c r="B118" s="7"/>
      <c r="C118" s="51"/>
      <c r="D118" s="52"/>
      <c r="E118" s="53"/>
      <c r="F118" s="54"/>
      <c r="G118" s="52"/>
      <c r="H118" s="53"/>
      <c r="I118" s="54"/>
      <c r="J118" s="52"/>
      <c r="K118" s="53"/>
      <c r="L118" s="8"/>
      <c r="M118" s="45"/>
      <c r="N118" s="45"/>
      <c r="O118" s="46"/>
    </row>
    <row r="119" spans="1:15">
      <c r="A119" s="44"/>
      <c r="B119" s="7"/>
      <c r="C119" s="51"/>
      <c r="D119" s="52"/>
      <c r="E119" s="53"/>
      <c r="F119" s="54"/>
      <c r="G119" s="52"/>
      <c r="H119" s="53"/>
      <c r="I119" s="54"/>
      <c r="J119" s="52"/>
      <c r="K119" s="53"/>
      <c r="L119" s="8"/>
      <c r="M119" s="45"/>
      <c r="N119" s="45"/>
      <c r="O119" s="46"/>
    </row>
    <row r="120" spans="1:15">
      <c r="A120" s="44"/>
      <c r="B120" s="7"/>
      <c r="C120" s="51"/>
      <c r="D120" s="52"/>
      <c r="E120" s="53"/>
      <c r="F120" s="54"/>
      <c r="G120" s="52"/>
      <c r="H120" s="53"/>
      <c r="I120" s="54"/>
      <c r="J120" s="52"/>
      <c r="K120" s="53"/>
      <c r="L120" s="8"/>
      <c r="M120" s="45"/>
      <c r="N120" s="45"/>
      <c r="O120" s="46"/>
    </row>
    <row r="121" spans="1:15">
      <c r="A121" s="44"/>
      <c r="B121" s="7"/>
      <c r="C121" s="51"/>
      <c r="D121" s="52"/>
      <c r="E121" s="53"/>
      <c r="F121" s="54"/>
      <c r="G121" s="52"/>
      <c r="H121" s="53"/>
      <c r="I121" s="54"/>
      <c r="J121" s="52"/>
      <c r="K121" s="53"/>
      <c r="L121" s="8"/>
      <c r="M121" s="45"/>
      <c r="N121" s="45"/>
      <c r="O121" s="46"/>
    </row>
    <row r="122" spans="1:15">
      <c r="A122" s="44"/>
      <c r="B122" s="7"/>
      <c r="C122" s="51"/>
      <c r="D122" s="52"/>
      <c r="E122" s="53"/>
      <c r="F122" s="54"/>
      <c r="G122" s="52"/>
      <c r="H122" s="53"/>
      <c r="I122" s="54"/>
      <c r="J122" s="52"/>
      <c r="K122" s="53"/>
      <c r="L122" s="8"/>
      <c r="M122" s="45"/>
      <c r="N122" s="45"/>
      <c r="O122" s="46"/>
    </row>
    <row r="123" spans="1:15">
      <c r="A123" s="44"/>
      <c r="B123" s="7"/>
      <c r="C123" s="51"/>
      <c r="D123" s="52"/>
      <c r="E123" s="53"/>
      <c r="F123" s="54"/>
      <c r="G123" s="52"/>
      <c r="H123" s="53"/>
      <c r="I123" s="54"/>
      <c r="J123" s="52"/>
      <c r="K123" s="53"/>
      <c r="L123" s="8"/>
      <c r="M123" s="45"/>
      <c r="N123" s="45"/>
      <c r="O123" s="46"/>
    </row>
    <row r="124" spans="1:15">
      <c r="A124" s="44"/>
      <c r="B124" s="7"/>
      <c r="C124" s="51"/>
      <c r="D124" s="52"/>
      <c r="E124" s="53"/>
      <c r="F124" s="54"/>
      <c r="G124" s="52"/>
      <c r="H124" s="53"/>
      <c r="I124" s="54"/>
      <c r="J124" s="52"/>
      <c r="K124" s="53"/>
      <c r="L124" s="8"/>
      <c r="M124" s="45"/>
      <c r="N124" s="45"/>
      <c r="O124" s="46"/>
    </row>
    <row r="125" spans="1:15">
      <c r="A125" s="44"/>
      <c r="B125" s="7"/>
      <c r="C125" s="51"/>
      <c r="D125" s="52"/>
      <c r="E125" s="53"/>
      <c r="F125" s="54"/>
      <c r="G125" s="52"/>
      <c r="H125" s="53"/>
      <c r="I125" s="54"/>
      <c r="J125" s="52"/>
      <c r="K125" s="53"/>
      <c r="L125" s="8"/>
      <c r="M125" s="45"/>
      <c r="N125" s="45"/>
      <c r="O125" s="46"/>
    </row>
    <row r="126" spans="1:15">
      <c r="A126" s="44"/>
      <c r="B126" s="7"/>
      <c r="C126" s="51"/>
      <c r="D126" s="52"/>
      <c r="E126" s="53"/>
      <c r="F126" s="54"/>
      <c r="G126" s="52"/>
      <c r="H126" s="53"/>
      <c r="I126" s="54"/>
      <c r="J126" s="52"/>
      <c r="K126" s="53"/>
      <c r="L126" s="8"/>
      <c r="M126" s="45"/>
      <c r="N126" s="45"/>
      <c r="O126" s="46"/>
    </row>
    <row r="127" spans="1:15">
      <c r="A127" s="44"/>
      <c r="B127" s="7"/>
      <c r="C127" s="51"/>
      <c r="D127" s="52"/>
      <c r="E127" s="53"/>
      <c r="F127" s="54"/>
      <c r="G127" s="52"/>
      <c r="H127" s="53"/>
      <c r="I127" s="54"/>
      <c r="J127" s="52"/>
      <c r="K127" s="53"/>
      <c r="L127" s="8"/>
      <c r="M127" s="45"/>
      <c r="N127" s="45"/>
      <c r="O127" s="46"/>
    </row>
    <row r="128" spans="1:15">
      <c r="A128" s="44"/>
      <c r="B128" s="7"/>
      <c r="C128" s="51"/>
      <c r="D128" s="52"/>
      <c r="E128" s="53"/>
      <c r="F128" s="54"/>
      <c r="G128" s="52"/>
      <c r="H128" s="53"/>
      <c r="I128" s="54"/>
      <c r="J128" s="52"/>
      <c r="K128" s="53"/>
      <c r="L128" s="8"/>
      <c r="M128" s="45"/>
      <c r="N128" s="45"/>
      <c r="O128" s="46"/>
    </row>
    <row r="129" spans="1:15">
      <c r="A129" s="44"/>
      <c r="B129" s="7"/>
      <c r="C129" s="51"/>
      <c r="D129" s="52"/>
      <c r="E129" s="53"/>
      <c r="F129" s="54"/>
      <c r="G129" s="52"/>
      <c r="H129" s="53"/>
      <c r="I129" s="54"/>
      <c r="J129" s="52"/>
      <c r="K129" s="53"/>
      <c r="L129" s="8"/>
      <c r="M129" s="45"/>
      <c r="N129" s="45"/>
      <c r="O129" s="46"/>
    </row>
    <row r="130" spans="1:15">
      <c r="A130" s="44"/>
      <c r="B130" s="7"/>
      <c r="C130" s="51"/>
      <c r="D130" s="52"/>
      <c r="E130" s="53"/>
      <c r="F130" s="54"/>
      <c r="G130" s="52"/>
      <c r="H130" s="53"/>
      <c r="I130" s="54"/>
      <c r="J130" s="52"/>
      <c r="K130" s="53"/>
      <c r="L130" s="8"/>
      <c r="M130" s="45"/>
      <c r="N130" s="45"/>
      <c r="O130" s="46"/>
    </row>
    <row r="131" spans="1:15">
      <c r="A131" s="44"/>
      <c r="B131" s="7"/>
      <c r="C131" s="51"/>
      <c r="D131" s="52"/>
      <c r="E131" s="53"/>
      <c r="F131" s="54"/>
      <c r="G131" s="52"/>
      <c r="H131" s="53"/>
      <c r="I131" s="54"/>
      <c r="J131" s="52"/>
      <c r="K131" s="53"/>
      <c r="L131" s="8"/>
      <c r="M131" s="45"/>
      <c r="N131" s="45"/>
      <c r="O131" s="46"/>
    </row>
    <row r="132" spans="1:15">
      <c r="A132" s="44"/>
      <c r="B132" s="7"/>
      <c r="C132" s="51"/>
      <c r="D132" s="52"/>
      <c r="E132" s="53"/>
      <c r="F132" s="54"/>
      <c r="G132" s="52"/>
      <c r="H132" s="53"/>
      <c r="I132" s="54"/>
      <c r="J132" s="52"/>
      <c r="K132" s="53"/>
      <c r="L132" s="8"/>
      <c r="M132" s="45"/>
      <c r="N132" s="45"/>
      <c r="O132" s="46"/>
    </row>
    <row r="133" spans="1:15">
      <c r="A133" s="44"/>
      <c r="B133" s="7"/>
      <c r="C133" s="51"/>
      <c r="D133" s="52"/>
      <c r="E133" s="53"/>
      <c r="F133" s="54"/>
      <c r="G133" s="52"/>
      <c r="H133" s="53"/>
      <c r="I133" s="54"/>
      <c r="J133" s="52"/>
      <c r="K133" s="53"/>
      <c r="L133" s="8"/>
      <c r="M133" s="45"/>
      <c r="N133" s="45"/>
      <c r="O133" s="46"/>
    </row>
    <row r="134" spans="1:15">
      <c r="A134" s="44"/>
      <c r="B134" s="7"/>
      <c r="C134" s="51"/>
      <c r="D134" s="52"/>
      <c r="E134" s="53"/>
      <c r="F134" s="54"/>
      <c r="G134" s="52"/>
      <c r="H134" s="53"/>
      <c r="I134" s="54"/>
      <c r="J134" s="52"/>
      <c r="K134" s="53"/>
      <c r="L134" s="8"/>
      <c r="M134" s="45"/>
      <c r="N134" s="45"/>
      <c r="O134" s="46"/>
    </row>
    <row r="135" spans="1:15">
      <c r="A135" s="44"/>
      <c r="B135" s="7"/>
      <c r="C135" s="51"/>
      <c r="D135" s="52"/>
      <c r="E135" s="53"/>
      <c r="F135" s="54"/>
      <c r="G135" s="52"/>
      <c r="H135" s="53"/>
      <c r="I135" s="54"/>
      <c r="J135" s="52"/>
      <c r="K135" s="53"/>
      <c r="L135" s="8"/>
      <c r="M135" s="45"/>
      <c r="N135" s="45"/>
      <c r="O135" s="46"/>
    </row>
    <row r="136" spans="1:15">
      <c r="A136" s="44"/>
      <c r="B136" s="7"/>
      <c r="C136" s="51"/>
      <c r="D136" s="52"/>
      <c r="E136" s="53"/>
      <c r="F136" s="54"/>
      <c r="G136" s="52"/>
      <c r="H136" s="53"/>
      <c r="I136" s="54"/>
      <c r="J136" s="52"/>
      <c r="K136" s="53"/>
      <c r="L136" s="8"/>
      <c r="M136" s="45"/>
      <c r="N136" s="45"/>
      <c r="O136" s="46"/>
    </row>
    <row r="137" spans="1:15">
      <c r="A137" s="44"/>
      <c r="B137" s="7"/>
      <c r="C137" s="51"/>
      <c r="D137" s="52"/>
      <c r="E137" s="53"/>
      <c r="F137" s="54"/>
      <c r="G137" s="52"/>
      <c r="H137" s="53"/>
      <c r="I137" s="54"/>
      <c r="J137" s="52"/>
      <c r="K137" s="53"/>
      <c r="L137" s="8"/>
      <c r="M137" s="45"/>
      <c r="N137" s="45"/>
      <c r="O137" s="46"/>
    </row>
    <row r="138" spans="1:15">
      <c r="A138" s="44"/>
      <c r="B138" s="7"/>
      <c r="C138" s="51"/>
      <c r="D138" s="52"/>
      <c r="E138" s="53"/>
      <c r="F138" s="54"/>
      <c r="G138" s="52"/>
      <c r="H138" s="53"/>
      <c r="I138" s="54"/>
      <c r="J138" s="52"/>
      <c r="K138" s="53"/>
      <c r="L138" s="8"/>
      <c r="M138" s="45"/>
      <c r="N138" s="45"/>
      <c r="O138" s="46"/>
    </row>
    <row r="139" spans="1:15">
      <c r="A139" s="44"/>
      <c r="B139" s="7"/>
      <c r="C139" s="51"/>
      <c r="D139" s="52"/>
      <c r="E139" s="53"/>
      <c r="F139" s="54"/>
      <c r="G139" s="52"/>
      <c r="H139" s="53"/>
      <c r="I139" s="54"/>
      <c r="J139" s="52"/>
      <c r="K139" s="53"/>
      <c r="L139" s="8"/>
      <c r="M139" s="45"/>
      <c r="N139" s="45"/>
      <c r="O139" s="46"/>
    </row>
    <row r="140" spans="1:15">
      <c r="A140" s="44"/>
      <c r="B140" s="7"/>
      <c r="C140" s="51"/>
      <c r="D140" s="52"/>
      <c r="E140" s="53"/>
      <c r="F140" s="54"/>
      <c r="G140" s="52"/>
      <c r="H140" s="53"/>
      <c r="I140" s="54"/>
      <c r="J140" s="52"/>
      <c r="K140" s="53"/>
      <c r="L140" s="8"/>
      <c r="M140" s="45"/>
      <c r="N140" s="45"/>
      <c r="O140" s="46"/>
    </row>
    <row r="141" spans="1:15">
      <c r="A141" s="44"/>
      <c r="B141" s="7"/>
      <c r="C141" s="51"/>
      <c r="D141" s="52"/>
      <c r="E141" s="53"/>
      <c r="F141" s="54"/>
      <c r="G141" s="52"/>
      <c r="H141" s="53"/>
      <c r="I141" s="54"/>
      <c r="J141" s="52"/>
      <c r="K141" s="53"/>
      <c r="L141" s="8"/>
      <c r="M141" s="45"/>
      <c r="N141" s="45"/>
      <c r="O141" s="46"/>
    </row>
    <row r="142" spans="1:15">
      <c r="A142" s="44"/>
      <c r="B142" s="7"/>
      <c r="C142" s="51"/>
      <c r="D142" s="52"/>
      <c r="E142" s="53"/>
      <c r="F142" s="54"/>
      <c r="G142" s="52"/>
      <c r="H142" s="53"/>
      <c r="I142" s="54"/>
      <c r="J142" s="52"/>
      <c r="K142" s="53"/>
      <c r="L142" s="8"/>
      <c r="M142" s="45"/>
      <c r="N142" s="45"/>
      <c r="O142" s="46"/>
    </row>
    <row r="143" spans="1:15">
      <c r="A143" s="44"/>
      <c r="B143" s="7"/>
      <c r="C143" s="51"/>
      <c r="D143" s="52"/>
      <c r="E143" s="53"/>
      <c r="F143" s="54"/>
      <c r="G143" s="52"/>
      <c r="H143" s="53"/>
      <c r="I143" s="54"/>
      <c r="J143" s="52"/>
      <c r="K143" s="53"/>
      <c r="L143" s="8"/>
      <c r="M143" s="45"/>
      <c r="N143" s="45"/>
      <c r="O143" s="46"/>
    </row>
    <row r="144" spans="1:15">
      <c r="A144" s="44"/>
      <c r="B144" s="7"/>
      <c r="C144" s="51"/>
      <c r="D144" s="52"/>
      <c r="E144" s="53"/>
      <c r="F144" s="54"/>
      <c r="G144" s="52"/>
      <c r="H144" s="53"/>
      <c r="I144" s="54"/>
      <c r="J144" s="52"/>
      <c r="K144" s="53"/>
      <c r="L144" s="8"/>
      <c r="M144" s="45"/>
      <c r="N144" s="45"/>
      <c r="O144" s="46"/>
    </row>
    <row r="145" spans="1:9080">
      <c r="A145" s="44"/>
      <c r="B145" s="7"/>
      <c r="C145" s="51"/>
      <c r="D145" s="52"/>
      <c r="E145" s="53"/>
      <c r="F145" s="54"/>
      <c r="G145" s="52"/>
      <c r="H145" s="53"/>
      <c r="I145" s="54"/>
      <c r="J145" s="52"/>
      <c r="K145" s="53"/>
      <c r="L145" s="8"/>
      <c r="M145" s="45"/>
      <c r="N145" s="45"/>
      <c r="O145" s="46"/>
    </row>
    <row r="146" spans="1:9080">
      <c r="A146" s="44"/>
      <c r="B146" s="7"/>
      <c r="C146" s="51"/>
      <c r="D146" s="52"/>
      <c r="E146" s="53"/>
      <c r="F146" s="54"/>
      <c r="G146" s="52"/>
      <c r="H146" s="53"/>
      <c r="I146" s="54"/>
      <c r="J146" s="52"/>
      <c r="K146" s="53"/>
      <c r="L146" s="8"/>
      <c r="M146" s="45"/>
      <c r="N146" s="45"/>
      <c r="O146" s="46"/>
    </row>
    <row r="147" spans="1:9080">
      <c r="A147" s="44"/>
      <c r="B147" s="7"/>
      <c r="C147" s="51"/>
      <c r="D147" s="52"/>
      <c r="E147" s="53"/>
      <c r="F147" s="54"/>
      <c r="G147" s="52"/>
      <c r="H147" s="53"/>
      <c r="I147" s="54"/>
      <c r="J147" s="52"/>
      <c r="K147" s="53"/>
      <c r="L147" s="8"/>
      <c r="M147" s="45"/>
      <c r="N147" s="45"/>
      <c r="O147" s="46"/>
    </row>
    <row r="148" spans="1:9080">
      <c r="A148" s="44"/>
      <c r="B148" s="7"/>
      <c r="C148" s="51"/>
      <c r="D148" s="52"/>
      <c r="E148" s="53"/>
      <c r="F148" s="54"/>
      <c r="G148" s="52"/>
      <c r="H148" s="53"/>
      <c r="I148" s="54"/>
      <c r="J148" s="52"/>
      <c r="K148" s="53"/>
      <c r="L148" s="8"/>
      <c r="M148" s="45"/>
      <c r="N148" s="45"/>
      <c r="O148" s="46"/>
    </row>
    <row r="149" spans="1:9080">
      <c r="A149" s="44"/>
      <c r="B149" s="7"/>
      <c r="C149" s="51"/>
      <c r="D149" s="52"/>
      <c r="E149" s="53"/>
      <c r="F149" s="54"/>
      <c r="G149" s="52"/>
      <c r="H149" s="53"/>
      <c r="I149" s="54"/>
      <c r="J149" s="52"/>
      <c r="K149" s="53"/>
      <c r="L149" s="8"/>
      <c r="M149" s="45"/>
      <c r="N149" s="45"/>
      <c r="O149" s="46"/>
    </row>
    <row r="150" spans="1:9080">
      <c r="A150" s="44"/>
      <c r="B150" s="7"/>
      <c r="C150" s="51"/>
      <c r="D150" s="52"/>
      <c r="E150" s="53"/>
      <c r="F150" s="54"/>
      <c r="G150" s="52"/>
      <c r="H150" s="53"/>
      <c r="I150" s="54"/>
      <c r="J150" s="52"/>
      <c r="K150" s="53"/>
      <c r="L150" s="8"/>
      <c r="M150" s="45"/>
      <c r="N150" s="45"/>
      <c r="O150" s="46"/>
    </row>
    <row r="151" spans="1:9080">
      <c r="A151" s="44"/>
      <c r="B151" s="7"/>
      <c r="C151" s="51"/>
      <c r="D151" s="52"/>
      <c r="E151" s="53"/>
      <c r="F151" s="54"/>
      <c r="G151" s="52"/>
      <c r="H151" s="53"/>
      <c r="I151" s="54"/>
      <c r="J151" s="52"/>
      <c r="K151" s="53"/>
      <c r="L151" s="8"/>
      <c r="M151" s="45"/>
      <c r="N151" s="45"/>
      <c r="O151" s="46"/>
      <c r="NB151" s="54"/>
      <c r="NC151" s="52"/>
      <c r="ND151" s="53"/>
      <c r="NE151" s="54"/>
      <c r="NF151" s="52"/>
      <c r="NG151" s="53"/>
      <c r="NH151" s="8"/>
      <c r="NI151" s="45"/>
      <c r="NJ151" s="45"/>
      <c r="NK151" s="46"/>
      <c r="NL151" s="44"/>
      <c r="NM151" s="7"/>
      <c r="NN151" s="51"/>
      <c r="NO151" s="52"/>
      <c r="NP151" s="53"/>
      <c r="NQ151" s="54"/>
      <c r="NR151" s="52"/>
      <c r="NS151" s="53"/>
      <c r="NT151" s="54"/>
      <c r="NU151" s="52"/>
      <c r="NV151" s="53"/>
      <c r="NW151" s="8"/>
      <c r="NX151" s="45"/>
      <c r="NY151" s="45"/>
      <c r="NZ151" s="46"/>
      <c r="OA151" s="44"/>
      <c r="OB151" s="7"/>
      <c r="OC151" s="51"/>
      <c r="OD151" s="52"/>
      <c r="OE151" s="53"/>
      <c r="OF151" s="54"/>
      <c r="OG151" s="52"/>
      <c r="OH151" s="53"/>
      <c r="OI151" s="54"/>
      <c r="OJ151" s="52"/>
      <c r="OK151" s="53"/>
      <c r="OL151" s="8"/>
      <c r="OM151" s="45"/>
      <c r="ON151" s="45"/>
      <c r="OO151" s="46"/>
      <c r="OP151" s="44"/>
      <c r="OQ151" s="7"/>
      <c r="OR151" s="51"/>
      <c r="OS151" s="52"/>
      <c r="OT151" s="53"/>
      <c r="OU151" s="54"/>
      <c r="OV151" s="52"/>
      <c r="OW151" s="53"/>
      <c r="OX151" s="54"/>
      <c r="OY151" s="52"/>
      <c r="OZ151" s="53"/>
      <c r="PA151" s="8"/>
      <c r="PB151" s="45"/>
      <c r="PC151" s="45"/>
      <c r="PD151" s="46"/>
      <c r="PE151" s="44"/>
      <c r="PF151" s="7"/>
      <c r="PG151" s="51"/>
      <c r="PH151" s="52"/>
      <c r="PI151" s="53"/>
      <c r="PJ151" s="54"/>
      <c r="PK151" s="52"/>
      <c r="PL151" s="53"/>
      <c r="PM151" s="54"/>
      <c r="PN151" s="52"/>
      <c r="PO151" s="53"/>
      <c r="PP151" s="8"/>
      <c r="PQ151" s="45"/>
      <c r="PR151" s="45"/>
      <c r="PS151" s="46"/>
      <c r="PT151" s="44"/>
      <c r="PU151" s="7"/>
      <c r="PV151" s="51"/>
      <c r="PW151" s="52"/>
      <c r="PX151" s="53"/>
      <c r="PY151" s="54"/>
      <c r="PZ151" s="52"/>
      <c r="QA151" s="53"/>
      <c r="QB151" s="54"/>
      <c r="QC151" s="52"/>
      <c r="QD151" s="53"/>
      <c r="QE151" s="8"/>
      <c r="QF151" s="45"/>
      <c r="QG151" s="45"/>
      <c r="QH151" s="46"/>
      <c r="QI151" s="44"/>
      <c r="QJ151" s="7"/>
      <c r="QK151" s="51"/>
      <c r="QL151" s="52"/>
      <c r="QM151" s="53"/>
      <c r="QN151" s="54"/>
      <c r="QO151" s="52"/>
      <c r="QP151" s="53"/>
      <c r="QQ151" s="54"/>
      <c r="QR151" s="52"/>
      <c r="QS151" s="53"/>
      <c r="QT151" s="8"/>
      <c r="QU151" s="45"/>
      <c r="QV151" s="45"/>
      <c r="QW151" s="46"/>
      <c r="QX151" s="44"/>
      <c r="QY151" s="7"/>
      <c r="QZ151" s="51"/>
      <c r="RA151" s="52"/>
      <c r="RB151" s="53"/>
      <c r="RC151" s="54"/>
      <c r="RD151" s="52"/>
      <c r="RE151" s="53"/>
      <c r="RF151" s="54"/>
      <c r="RG151" s="52"/>
      <c r="RH151" s="53"/>
      <c r="RI151" s="8"/>
      <c r="RJ151" s="45"/>
      <c r="RK151" s="45"/>
      <c r="RL151" s="46"/>
      <c r="RM151" s="44"/>
      <c r="RN151" s="7"/>
      <c r="RO151" s="51"/>
      <c r="RP151" s="52"/>
      <c r="RQ151" s="53"/>
      <c r="RR151" s="54"/>
      <c r="RS151" s="52"/>
      <c r="RT151" s="53"/>
      <c r="RU151" s="54"/>
      <c r="RV151" s="52"/>
      <c r="RW151" s="53"/>
      <c r="RX151" s="8"/>
      <c r="RY151" s="45"/>
      <c r="RZ151" s="45"/>
      <c r="SA151" s="46"/>
      <c r="SB151" s="44"/>
      <c r="SC151" s="7"/>
      <c r="SD151" s="51"/>
      <c r="SE151" s="52"/>
      <c r="SF151" s="53"/>
      <c r="SG151" s="54"/>
      <c r="SH151" s="52"/>
      <c r="SI151" s="53"/>
      <c r="SJ151" s="54"/>
      <c r="SK151" s="52"/>
      <c r="SL151" s="53"/>
      <c r="SM151" s="8"/>
      <c r="SN151" s="45"/>
      <c r="SO151" s="45"/>
      <c r="SP151" s="46"/>
      <c r="SQ151" s="44"/>
      <c r="SR151" s="7"/>
      <c r="SS151" s="51"/>
      <c r="ST151" s="52"/>
      <c r="SU151" s="53"/>
      <c r="SV151" s="54"/>
      <c r="SW151" s="52"/>
      <c r="SX151" s="53"/>
      <c r="SY151" s="54"/>
      <c r="SZ151" s="52"/>
      <c r="TA151" s="53"/>
      <c r="TB151" s="8"/>
      <c r="TC151" s="45"/>
      <c r="TD151" s="45"/>
      <c r="TE151" s="46"/>
      <c r="TF151" s="44"/>
      <c r="TG151" s="7"/>
      <c r="TH151" s="51"/>
      <c r="TI151" s="52"/>
      <c r="TJ151" s="53"/>
      <c r="TK151" s="54"/>
      <c r="TL151" s="52"/>
      <c r="TM151" s="53"/>
      <c r="TN151" s="54"/>
      <c r="TO151" s="52"/>
      <c r="TP151" s="53"/>
      <c r="TQ151" s="8"/>
      <c r="TR151" s="45"/>
      <c r="TS151" s="45"/>
      <c r="TT151" s="46"/>
      <c r="TU151" s="44"/>
      <c r="TV151" s="7"/>
      <c r="TW151" s="51"/>
      <c r="TX151" s="52"/>
      <c r="TY151" s="53"/>
      <c r="TZ151" s="54"/>
      <c r="UA151" s="52"/>
      <c r="UB151" s="53"/>
      <c r="UC151" s="54"/>
      <c r="UD151" s="52"/>
      <c r="UE151" s="53"/>
      <c r="UF151" s="8"/>
      <c r="UG151" s="45"/>
      <c r="UH151" s="45"/>
      <c r="UI151" s="46"/>
      <c r="UJ151" s="44"/>
      <c r="UK151" s="7"/>
      <c r="UL151" s="51"/>
      <c r="UM151" s="52"/>
      <c r="UN151" s="53"/>
      <c r="UO151" s="54"/>
      <c r="UP151" s="52"/>
      <c r="UQ151" s="53"/>
      <c r="UR151" s="54"/>
      <c r="US151" s="52"/>
      <c r="UT151" s="53"/>
      <c r="UU151" s="8"/>
      <c r="UV151" s="45"/>
      <c r="UW151" s="45"/>
      <c r="UX151" s="46"/>
      <c r="UY151" s="44"/>
      <c r="UZ151" s="7"/>
      <c r="VA151" s="51"/>
      <c r="VB151" s="52"/>
      <c r="VC151" s="53"/>
      <c r="VD151" s="54"/>
      <c r="VE151" s="52"/>
      <c r="VF151" s="53"/>
      <c r="VG151" s="54"/>
      <c r="VH151" s="52"/>
      <c r="VI151" s="53"/>
      <c r="VJ151" s="8"/>
      <c r="VK151" s="45"/>
      <c r="VL151" s="45"/>
      <c r="VM151" s="46"/>
      <c r="VN151" s="44"/>
      <c r="VO151" s="7"/>
      <c r="VP151" s="51"/>
      <c r="VQ151" s="52"/>
      <c r="VR151" s="53"/>
      <c r="VS151" s="54"/>
      <c r="VT151" s="52"/>
      <c r="VU151" s="53"/>
      <c r="VV151" s="54"/>
      <c r="VW151" s="52"/>
      <c r="VX151" s="53"/>
      <c r="VY151" s="8"/>
      <c r="VZ151" s="45"/>
      <c r="WA151" s="45"/>
      <c r="WB151" s="46"/>
      <c r="WC151" s="44"/>
      <c r="WD151" s="7"/>
      <c r="WE151" s="51"/>
      <c r="WF151" s="52"/>
      <c r="WG151" s="53"/>
      <c r="WH151" s="54"/>
      <c r="WI151" s="52"/>
      <c r="WJ151" s="53"/>
      <c r="WK151" s="54"/>
      <c r="WL151" s="52"/>
      <c r="WM151" s="53"/>
      <c r="WN151" s="8"/>
      <c r="WO151" s="45"/>
      <c r="WP151" s="45"/>
      <c r="WQ151" s="46"/>
      <c r="WR151" s="44"/>
      <c r="WS151" s="7"/>
      <c r="WT151" s="51"/>
      <c r="WU151" s="52"/>
      <c r="WV151" s="53"/>
      <c r="WW151" s="54"/>
      <c r="WX151" s="52"/>
      <c r="WY151" s="53"/>
      <c r="WZ151" s="54"/>
      <c r="XA151" s="52"/>
      <c r="XB151" s="53"/>
      <c r="XC151" s="8"/>
      <c r="XD151" s="45"/>
      <c r="XE151" s="45"/>
      <c r="XF151" s="46"/>
      <c r="XG151" s="44"/>
      <c r="XH151" s="7"/>
      <c r="XI151" s="51"/>
      <c r="XJ151" s="52"/>
      <c r="XK151" s="53"/>
      <c r="XL151" s="54"/>
      <c r="XM151" s="52"/>
      <c r="XN151" s="53"/>
      <c r="XO151" s="54"/>
      <c r="XP151" s="52"/>
      <c r="XQ151" s="53"/>
      <c r="XR151" s="8"/>
      <c r="XS151" s="45"/>
      <c r="XT151" s="45"/>
      <c r="XU151" s="46"/>
      <c r="XV151" s="44"/>
      <c r="XW151" s="7"/>
      <c r="XX151" s="51"/>
      <c r="XY151" s="52"/>
      <c r="XZ151" s="53"/>
      <c r="YA151" s="54"/>
      <c r="YB151" s="52"/>
      <c r="YC151" s="53"/>
      <c r="YD151" s="54"/>
      <c r="YE151" s="52"/>
      <c r="YF151" s="53"/>
      <c r="YG151" s="8"/>
      <c r="YH151" s="45"/>
      <c r="YI151" s="45"/>
      <c r="YJ151" s="46"/>
      <c r="YK151" s="44"/>
      <c r="YL151" s="7"/>
      <c r="YM151" s="51"/>
      <c r="YN151" s="52"/>
      <c r="YO151" s="53"/>
      <c r="YP151" s="54"/>
      <c r="YQ151" s="52"/>
      <c r="YR151" s="53"/>
      <c r="YS151" s="54"/>
      <c r="YT151" s="52"/>
      <c r="YU151" s="53"/>
      <c r="YV151" s="8"/>
      <c r="YW151" s="45"/>
      <c r="YX151" s="45"/>
      <c r="YY151" s="46"/>
      <c r="YZ151" s="44"/>
      <c r="ZA151" s="7"/>
      <c r="ZB151" s="51"/>
      <c r="ZC151" s="52"/>
      <c r="ZD151" s="53"/>
      <c r="ZE151" s="54"/>
      <c r="ZF151" s="52"/>
      <c r="ZG151" s="53"/>
      <c r="ZH151" s="54"/>
      <c r="ZI151" s="52"/>
      <c r="ZJ151" s="53"/>
      <c r="ZK151" s="8"/>
      <c r="ZL151" s="45"/>
      <c r="ZM151" s="45"/>
      <c r="ZN151" s="46"/>
      <c r="ZO151" s="44"/>
      <c r="ZP151" s="7"/>
      <c r="ZQ151" s="51"/>
      <c r="ZR151" s="52"/>
      <c r="ZS151" s="53"/>
      <c r="ZT151" s="54"/>
      <c r="ZU151" s="52"/>
      <c r="ZV151" s="53"/>
      <c r="ZW151" s="54"/>
      <c r="ZX151" s="52"/>
      <c r="ZY151" s="53"/>
      <c r="ZZ151" s="8"/>
      <c r="AAA151" s="45"/>
      <c r="AAB151" s="45"/>
      <c r="AAC151" s="46"/>
      <c r="AAD151" s="44"/>
      <c r="AAE151" s="7"/>
      <c r="AAF151" s="51"/>
      <c r="AAG151" s="52"/>
      <c r="AAH151" s="53"/>
      <c r="AAI151" s="54"/>
      <c r="AAJ151" s="52"/>
      <c r="AAK151" s="53"/>
      <c r="AAL151" s="54"/>
      <c r="AAM151" s="52"/>
      <c r="AAN151" s="53"/>
      <c r="AAO151" s="8"/>
      <c r="AAP151" s="45"/>
      <c r="AAQ151" s="45"/>
      <c r="AAR151" s="46"/>
      <c r="AAS151" s="44"/>
      <c r="AAT151" s="7"/>
      <c r="AAU151" s="51"/>
      <c r="AAV151" s="52"/>
      <c r="AAW151" s="53"/>
      <c r="AAX151" s="54"/>
      <c r="AAY151" s="52"/>
      <c r="AAZ151" s="53"/>
      <c r="ABA151" s="54"/>
      <c r="ABB151" s="52"/>
      <c r="ABC151" s="53"/>
      <c r="ABD151" s="8"/>
      <c r="ABE151" s="45"/>
      <c r="ABF151" s="45"/>
      <c r="ABG151" s="46"/>
      <c r="ABH151" s="44"/>
      <c r="ABI151" s="7"/>
      <c r="ABJ151" s="51"/>
      <c r="ABK151" s="52"/>
      <c r="ABL151" s="53"/>
      <c r="ABM151" s="54"/>
      <c r="ABN151" s="52"/>
      <c r="ABO151" s="53"/>
      <c r="ABP151" s="54"/>
      <c r="ABQ151" s="52"/>
      <c r="ABR151" s="53"/>
      <c r="ABS151" s="8"/>
      <c r="ABT151" s="45"/>
      <c r="ABU151" s="45"/>
      <c r="ABV151" s="46"/>
      <c r="ABW151" s="44"/>
      <c r="ABX151" s="7"/>
      <c r="ABY151" s="51"/>
      <c r="ABZ151" s="52"/>
      <c r="ACA151" s="53"/>
      <c r="ACB151" s="54"/>
      <c r="ACC151" s="52"/>
      <c r="ACD151" s="53"/>
      <c r="ACE151" s="54"/>
      <c r="ACF151" s="52"/>
      <c r="ACG151" s="53"/>
      <c r="ACH151" s="8"/>
      <c r="ACI151" s="45"/>
      <c r="ACJ151" s="45"/>
      <c r="ACK151" s="46"/>
      <c r="ACL151" s="44"/>
      <c r="ACM151" s="7"/>
      <c r="ACN151" s="51"/>
      <c r="ACO151" s="52"/>
      <c r="ACP151" s="53"/>
      <c r="ACQ151" s="54"/>
      <c r="ACR151" s="52"/>
      <c r="ACS151" s="53"/>
      <c r="ACT151" s="54"/>
      <c r="ACU151" s="52"/>
      <c r="ACV151" s="53"/>
      <c r="ACW151" s="8"/>
      <c r="ACX151" s="45"/>
      <c r="ACY151" s="45"/>
      <c r="ACZ151" s="46"/>
      <c r="ADA151" s="44"/>
      <c r="ADB151" s="7"/>
      <c r="ADC151" s="51"/>
      <c r="ADD151" s="52"/>
      <c r="ADE151" s="53"/>
      <c r="ADF151" s="54"/>
      <c r="ADG151" s="52"/>
      <c r="ADH151" s="53"/>
      <c r="ADI151" s="54"/>
      <c r="ADJ151" s="52"/>
      <c r="ADK151" s="53"/>
      <c r="ADL151" s="8"/>
      <c r="ADM151" s="45"/>
      <c r="ADN151" s="45"/>
      <c r="ADO151" s="46"/>
      <c r="ADP151" s="44"/>
      <c r="ADQ151" s="7"/>
      <c r="ADR151" s="51"/>
      <c r="ADS151" s="52"/>
      <c r="ADT151" s="53"/>
      <c r="ADU151" s="54"/>
      <c r="ADV151" s="52"/>
      <c r="ADW151" s="53"/>
      <c r="ADX151" s="54"/>
      <c r="ADY151" s="52"/>
      <c r="ADZ151" s="53"/>
      <c r="AEA151" s="8"/>
      <c r="AEB151" s="45"/>
      <c r="AEC151" s="45"/>
      <c r="AED151" s="46"/>
      <c r="AEE151" s="44"/>
      <c r="AEF151" s="7"/>
      <c r="AEG151" s="51"/>
      <c r="AEH151" s="52"/>
      <c r="AEI151" s="53"/>
      <c r="AEJ151" s="54"/>
      <c r="AEK151" s="52"/>
      <c r="AEL151" s="53"/>
      <c r="AEM151" s="54"/>
      <c r="AEN151" s="52"/>
      <c r="AEO151" s="53"/>
      <c r="AEP151" s="8"/>
      <c r="AEQ151" s="45"/>
      <c r="AER151" s="45"/>
      <c r="AES151" s="46"/>
      <c r="AET151" s="44"/>
      <c r="AEU151" s="7"/>
      <c r="AEV151" s="51"/>
      <c r="AEW151" s="52"/>
      <c r="AEX151" s="53"/>
      <c r="AEY151" s="54"/>
      <c r="AEZ151" s="52"/>
      <c r="AFA151" s="53"/>
      <c r="AFB151" s="54"/>
      <c r="AFC151" s="52"/>
      <c r="AFD151" s="53"/>
      <c r="AFE151" s="8"/>
      <c r="AFF151" s="45"/>
      <c r="AFG151" s="45"/>
      <c r="AFH151" s="46"/>
      <c r="AFI151" s="44"/>
      <c r="AFJ151" s="7"/>
      <c r="AFK151" s="51"/>
      <c r="AFL151" s="52"/>
      <c r="AFM151" s="53"/>
      <c r="AFN151" s="54"/>
      <c r="AFO151" s="52"/>
      <c r="AFP151" s="53"/>
      <c r="AFQ151" s="54"/>
      <c r="AFR151" s="52"/>
      <c r="AFS151" s="53"/>
      <c r="AFT151" s="8"/>
      <c r="AFU151" s="45"/>
      <c r="AFV151" s="45"/>
      <c r="AFW151" s="46"/>
      <c r="AFX151" s="44"/>
      <c r="AFY151" s="7"/>
      <c r="AFZ151" s="51"/>
      <c r="AGA151" s="52"/>
      <c r="AGB151" s="53"/>
      <c r="AGC151" s="54"/>
      <c r="AGD151" s="52"/>
      <c r="AGE151" s="53"/>
      <c r="AGF151" s="54"/>
      <c r="AGG151" s="52"/>
      <c r="AGH151" s="53"/>
      <c r="AGI151" s="8"/>
      <c r="AGJ151" s="45"/>
      <c r="AGK151" s="45"/>
      <c r="AGL151" s="46"/>
      <c r="AGM151" s="44"/>
      <c r="AGN151" s="7"/>
      <c r="AGO151" s="51"/>
      <c r="AGP151" s="52"/>
      <c r="AGQ151" s="53"/>
      <c r="AGR151" s="54"/>
      <c r="AGS151" s="52"/>
      <c r="AGT151" s="53"/>
      <c r="AGU151" s="54"/>
      <c r="AGV151" s="52"/>
      <c r="AGW151" s="53"/>
      <c r="AGX151" s="8"/>
      <c r="AGY151" s="45"/>
      <c r="AGZ151" s="45"/>
      <c r="AHA151" s="46"/>
      <c r="AHB151" s="44"/>
      <c r="AHC151" s="7"/>
      <c r="AHD151" s="51"/>
      <c r="AHE151" s="52"/>
      <c r="AHF151" s="53"/>
      <c r="AHG151" s="54"/>
      <c r="AHH151" s="52"/>
      <c r="AHI151" s="53"/>
      <c r="AHJ151" s="54"/>
      <c r="AHK151" s="52"/>
      <c r="AHL151" s="53"/>
      <c r="AHM151" s="8"/>
      <c r="AHN151" s="45"/>
      <c r="AHO151" s="45"/>
      <c r="AHP151" s="46"/>
      <c r="AHQ151" s="44"/>
      <c r="AHR151" s="7"/>
      <c r="AHS151" s="51"/>
      <c r="AHT151" s="52"/>
      <c r="AHU151" s="53"/>
      <c r="AHV151" s="54"/>
      <c r="AHW151" s="52"/>
      <c r="AHX151" s="53"/>
      <c r="AHY151" s="54"/>
      <c r="AHZ151" s="52"/>
      <c r="AIA151" s="53"/>
      <c r="AIB151" s="8"/>
      <c r="AIC151" s="45"/>
      <c r="AID151" s="45"/>
      <c r="AIE151" s="46"/>
      <c r="AIF151" s="44"/>
      <c r="AIG151" s="7"/>
      <c r="AIH151" s="51"/>
      <c r="AII151" s="52"/>
      <c r="AIJ151" s="53"/>
      <c r="AIK151" s="54"/>
      <c r="AIL151" s="52"/>
      <c r="AIM151" s="53"/>
      <c r="AIN151" s="54"/>
      <c r="AIO151" s="52"/>
      <c r="AIP151" s="53"/>
      <c r="AIQ151" s="8"/>
      <c r="AIR151" s="45"/>
      <c r="AIS151" s="45"/>
      <c r="AIT151" s="46"/>
      <c r="AIU151" s="44"/>
      <c r="AIV151" s="7"/>
      <c r="AIW151" s="51"/>
      <c r="AIX151" s="52"/>
      <c r="AIY151" s="53"/>
      <c r="AIZ151" s="54"/>
      <c r="AJA151" s="52"/>
      <c r="AJB151" s="53"/>
      <c r="AJC151" s="54"/>
      <c r="AJD151" s="52"/>
      <c r="AJE151" s="53"/>
      <c r="AJF151" s="8"/>
      <c r="AJG151" s="45"/>
      <c r="AJH151" s="45"/>
      <c r="AJI151" s="46"/>
      <c r="AJJ151" s="44"/>
      <c r="AJK151" s="7"/>
      <c r="AJL151" s="51"/>
      <c r="AJM151" s="52"/>
      <c r="AJN151" s="53"/>
      <c r="AJO151" s="54"/>
      <c r="AJP151" s="52"/>
      <c r="AJQ151" s="53"/>
      <c r="AJR151" s="54"/>
      <c r="AJS151" s="52"/>
      <c r="AJT151" s="53"/>
      <c r="AJU151" s="8"/>
      <c r="AJV151" s="45"/>
      <c r="AJW151" s="45"/>
      <c r="AJX151" s="46"/>
      <c r="AJY151" s="44"/>
      <c r="AJZ151" s="7"/>
      <c r="AKA151" s="51"/>
      <c r="AKB151" s="52"/>
      <c r="AKC151" s="53"/>
      <c r="AKD151" s="54"/>
      <c r="AKE151" s="52"/>
      <c r="AKF151" s="53"/>
      <c r="AKG151" s="54"/>
      <c r="AKH151" s="52"/>
      <c r="AKI151" s="53"/>
      <c r="AKJ151" s="8"/>
      <c r="AKK151" s="45"/>
      <c r="AKL151" s="45"/>
      <c r="AKM151" s="46"/>
      <c r="AKN151" s="44"/>
      <c r="AKO151" s="7"/>
      <c r="AKP151" s="51"/>
      <c r="AKQ151" s="52"/>
      <c r="AKR151" s="53"/>
      <c r="AKS151" s="54"/>
      <c r="AKT151" s="52"/>
      <c r="AKU151" s="53"/>
      <c r="AKV151" s="54"/>
      <c r="AKW151" s="52"/>
      <c r="AKX151" s="53"/>
      <c r="AKY151" s="8"/>
      <c r="AKZ151" s="45"/>
      <c r="ALA151" s="45"/>
      <c r="ALB151" s="46"/>
      <c r="ALC151" s="44"/>
      <c r="ALD151" s="7"/>
      <c r="ALE151" s="51"/>
      <c r="ALF151" s="52"/>
      <c r="ALG151" s="53"/>
      <c r="ALH151" s="54"/>
      <c r="ALI151" s="52"/>
      <c r="ALJ151" s="53"/>
      <c r="ALK151" s="54"/>
      <c r="ALL151" s="52"/>
      <c r="ALM151" s="53"/>
      <c r="ALN151" s="8"/>
      <c r="ALO151" s="45"/>
      <c r="ALP151" s="45"/>
      <c r="ALQ151" s="46"/>
      <c r="ALR151" s="44"/>
      <c r="ALS151" s="7"/>
      <c r="ALT151" s="51"/>
      <c r="ALU151" s="52"/>
      <c r="ALV151" s="53"/>
      <c r="ALW151" s="54"/>
      <c r="ALX151" s="52"/>
      <c r="ALY151" s="53"/>
      <c r="ALZ151" s="54"/>
      <c r="AMA151" s="52"/>
      <c r="AMB151" s="53"/>
      <c r="AMC151" s="8"/>
      <c r="AMD151" s="45"/>
      <c r="AME151" s="45"/>
      <c r="AMF151" s="46"/>
      <c r="AMG151" s="44"/>
      <c r="AMH151" s="7"/>
      <c r="AMI151" s="51"/>
      <c r="AMJ151" s="52"/>
      <c r="AMK151" s="53"/>
      <c r="AML151" s="54"/>
      <c r="AMM151" s="52"/>
      <c r="AMN151" s="53"/>
      <c r="AMO151" s="54"/>
      <c r="AMP151" s="52"/>
      <c r="AMQ151" s="53"/>
      <c r="AMR151" s="8"/>
      <c r="AMS151" s="45"/>
      <c r="AMT151" s="45"/>
      <c r="AMU151" s="46"/>
      <c r="AMV151" s="44"/>
      <c r="AMW151" s="7"/>
      <c r="AMX151" s="51"/>
      <c r="AMY151" s="52"/>
      <c r="AMZ151" s="53"/>
      <c r="ANA151" s="54"/>
      <c r="ANB151" s="52"/>
      <c r="ANC151" s="53"/>
      <c r="AND151" s="54"/>
      <c r="ANE151" s="52"/>
      <c r="ANF151" s="53"/>
      <c r="ANG151" s="8"/>
      <c r="ANH151" s="45"/>
      <c r="ANI151" s="45"/>
      <c r="ANJ151" s="46"/>
      <c r="ANK151" s="44"/>
      <c r="ANL151" s="7"/>
      <c r="ANM151" s="51"/>
      <c r="ANN151" s="52"/>
      <c r="ANO151" s="53"/>
      <c r="ANP151" s="54"/>
      <c r="ANQ151" s="52"/>
      <c r="ANR151" s="53"/>
      <c r="ANS151" s="54"/>
      <c r="ANT151" s="52"/>
      <c r="ANU151" s="53"/>
      <c r="ANV151" s="8"/>
      <c r="ANW151" s="45"/>
      <c r="ANX151" s="45"/>
      <c r="ANY151" s="46"/>
      <c r="ANZ151" s="44"/>
      <c r="AOA151" s="7"/>
      <c r="AOB151" s="51"/>
      <c r="AOC151" s="52"/>
      <c r="AOD151" s="53"/>
      <c r="AOE151" s="54"/>
      <c r="AOF151" s="52"/>
      <c r="AOG151" s="53"/>
      <c r="AOH151" s="54"/>
      <c r="AOI151" s="52"/>
      <c r="AOJ151" s="53"/>
      <c r="AOK151" s="8"/>
      <c r="AOL151" s="45"/>
      <c r="AOM151" s="45"/>
      <c r="AON151" s="46"/>
      <c r="AOO151" s="44"/>
      <c r="AOP151" s="7"/>
      <c r="AOQ151" s="51"/>
      <c r="AOR151" s="52"/>
      <c r="AOS151" s="53"/>
      <c r="AOT151" s="54"/>
      <c r="AOU151" s="52"/>
      <c r="AOV151" s="53"/>
      <c r="AOW151" s="54"/>
      <c r="AOX151" s="52"/>
      <c r="AOY151" s="53"/>
      <c r="AOZ151" s="8"/>
      <c r="APA151" s="45"/>
      <c r="APB151" s="45"/>
      <c r="APC151" s="46"/>
      <c r="APD151" s="44"/>
      <c r="APE151" s="7"/>
      <c r="APF151" s="51"/>
      <c r="APG151" s="52"/>
      <c r="APH151" s="53"/>
      <c r="API151" s="54"/>
      <c r="APJ151" s="52"/>
      <c r="APK151" s="53"/>
      <c r="APL151" s="54"/>
      <c r="APM151" s="52"/>
      <c r="APN151" s="53"/>
      <c r="APO151" s="8"/>
      <c r="APP151" s="45"/>
      <c r="APQ151" s="45"/>
      <c r="APR151" s="46"/>
      <c r="APS151" s="44"/>
      <c r="APT151" s="7"/>
      <c r="APU151" s="51"/>
      <c r="APV151" s="52"/>
      <c r="APW151" s="53"/>
      <c r="APX151" s="54"/>
      <c r="APY151" s="52"/>
      <c r="APZ151" s="53"/>
      <c r="AQA151" s="54"/>
      <c r="AQB151" s="52"/>
      <c r="AQC151" s="53"/>
      <c r="AQD151" s="8"/>
      <c r="AQE151" s="45"/>
      <c r="AQF151" s="45"/>
      <c r="AQG151" s="46"/>
      <c r="AQH151" s="44"/>
      <c r="AQI151" s="7"/>
      <c r="AQJ151" s="51"/>
      <c r="AQK151" s="52"/>
      <c r="AQL151" s="53"/>
      <c r="AQM151" s="54"/>
      <c r="AQN151" s="52"/>
      <c r="AQO151" s="53"/>
      <c r="AQP151" s="54"/>
      <c r="AQQ151" s="52"/>
      <c r="AQR151" s="53"/>
      <c r="AQS151" s="8"/>
      <c r="AQT151" s="45"/>
      <c r="AQU151" s="45"/>
      <c r="AQV151" s="46"/>
      <c r="AQW151" s="44"/>
      <c r="AQX151" s="7"/>
      <c r="AQY151" s="51"/>
      <c r="AQZ151" s="52"/>
      <c r="ARA151" s="53"/>
      <c r="ARB151" s="54"/>
      <c r="ARC151" s="52"/>
      <c r="ARD151" s="53"/>
      <c r="ARE151" s="54"/>
      <c r="ARF151" s="52"/>
      <c r="ARG151" s="53"/>
      <c r="ARH151" s="8"/>
      <c r="ARI151" s="45"/>
      <c r="ARJ151" s="45"/>
      <c r="ARK151" s="46"/>
      <c r="ARL151" s="44"/>
      <c r="ARM151" s="7"/>
      <c r="ARN151" s="51"/>
      <c r="ARO151" s="52"/>
      <c r="ARP151" s="53"/>
      <c r="ARQ151" s="54"/>
      <c r="ARR151" s="52"/>
      <c r="ARS151" s="53"/>
      <c r="ART151" s="54"/>
      <c r="ARU151" s="52"/>
      <c r="ARV151" s="53"/>
      <c r="ARW151" s="8"/>
      <c r="ARX151" s="45"/>
      <c r="ARY151" s="45"/>
      <c r="ARZ151" s="46"/>
      <c r="ASA151" s="44"/>
      <c r="ASB151" s="7"/>
      <c r="ASC151" s="51"/>
      <c r="ASD151" s="52"/>
      <c r="ASE151" s="53"/>
      <c r="ASF151" s="54"/>
      <c r="ASG151" s="52"/>
      <c r="ASH151" s="53"/>
      <c r="ASI151" s="54"/>
      <c r="ASJ151" s="52"/>
      <c r="ASK151" s="53"/>
      <c r="ASL151" s="8"/>
      <c r="ASM151" s="45"/>
      <c r="ASN151" s="45"/>
      <c r="ASO151" s="46"/>
      <c r="ASP151" s="44"/>
      <c r="ASQ151" s="7"/>
      <c r="ASR151" s="51"/>
      <c r="ASS151" s="52"/>
      <c r="AST151" s="53"/>
      <c r="ASU151" s="54"/>
      <c r="ASV151" s="52"/>
      <c r="ASW151" s="53"/>
      <c r="ASX151" s="54"/>
      <c r="ASY151" s="52"/>
      <c r="ASZ151" s="53"/>
      <c r="ATA151" s="8"/>
      <c r="ATB151" s="45"/>
      <c r="ATC151" s="45"/>
      <c r="ATD151" s="46"/>
      <c r="ATE151" s="44"/>
      <c r="ATF151" s="7"/>
      <c r="ATG151" s="51"/>
      <c r="ATH151" s="52"/>
      <c r="ATI151" s="53"/>
      <c r="ATJ151" s="54"/>
      <c r="ATK151" s="52"/>
      <c r="ATL151" s="53"/>
      <c r="ATM151" s="54"/>
      <c r="ATN151" s="52"/>
      <c r="ATO151" s="53"/>
      <c r="ATP151" s="8"/>
      <c r="ATQ151" s="45"/>
      <c r="ATR151" s="45"/>
      <c r="ATS151" s="46"/>
      <c r="ATT151" s="44"/>
      <c r="ATU151" s="7"/>
      <c r="ATV151" s="51"/>
      <c r="ATW151" s="52"/>
      <c r="ATX151" s="53"/>
      <c r="ATY151" s="54"/>
      <c r="ATZ151" s="52"/>
      <c r="AUA151" s="53"/>
      <c r="AUB151" s="54"/>
      <c r="AUC151" s="52"/>
      <c r="AUD151" s="53"/>
      <c r="AUE151" s="8"/>
      <c r="AUF151" s="45"/>
      <c r="AUG151" s="45"/>
      <c r="AUH151" s="46"/>
      <c r="AUI151" s="44"/>
      <c r="AUJ151" s="7"/>
      <c r="AUK151" s="51"/>
      <c r="AUL151" s="52"/>
      <c r="AUM151" s="53"/>
      <c r="AUN151" s="54"/>
      <c r="AUO151" s="52"/>
      <c r="AUP151" s="53"/>
      <c r="AUQ151" s="54"/>
      <c r="AUR151" s="52"/>
      <c r="AUS151" s="53"/>
      <c r="AUT151" s="8"/>
      <c r="AUU151" s="45"/>
      <c r="AUV151" s="45"/>
      <c r="AUW151" s="46"/>
      <c r="AUX151" s="44"/>
      <c r="AUY151" s="7"/>
      <c r="AUZ151" s="51"/>
      <c r="AVA151" s="52"/>
      <c r="AVB151" s="53"/>
      <c r="AVC151" s="54"/>
      <c r="AVD151" s="52"/>
      <c r="AVE151" s="53"/>
      <c r="AVF151" s="54"/>
      <c r="AVG151" s="52"/>
      <c r="AVH151" s="53"/>
      <c r="AVI151" s="8"/>
      <c r="AVJ151" s="45"/>
      <c r="AVK151" s="45"/>
      <c r="AVL151" s="46"/>
      <c r="AVM151" s="44"/>
      <c r="AVN151" s="7"/>
      <c r="AVO151" s="51"/>
      <c r="AVP151" s="52"/>
      <c r="AVQ151" s="53"/>
      <c r="AVR151" s="54"/>
      <c r="AVS151" s="52"/>
      <c r="AVT151" s="53"/>
      <c r="AVU151" s="54"/>
      <c r="AVV151" s="52"/>
      <c r="AVW151" s="53"/>
      <c r="AVX151" s="8"/>
      <c r="AVY151" s="45"/>
      <c r="AVZ151" s="45"/>
      <c r="AWA151" s="46"/>
      <c r="AWB151" s="44"/>
      <c r="AWC151" s="7"/>
      <c r="AWD151" s="51"/>
      <c r="AWE151" s="52"/>
      <c r="AWF151" s="53"/>
      <c r="AWG151" s="54"/>
      <c r="AWH151" s="52"/>
      <c r="AWI151" s="53"/>
      <c r="AWJ151" s="54"/>
      <c r="AWK151" s="52"/>
      <c r="AWL151" s="53"/>
      <c r="AWM151" s="8"/>
      <c r="AWN151" s="45"/>
      <c r="AWO151" s="45"/>
      <c r="AWP151" s="46"/>
      <c r="AWQ151" s="44"/>
      <c r="AWR151" s="7"/>
      <c r="AWS151" s="51"/>
      <c r="AWT151" s="52"/>
      <c r="AWU151" s="53"/>
      <c r="AWV151" s="54"/>
      <c r="AWW151" s="52"/>
      <c r="AWX151" s="53"/>
      <c r="AWY151" s="54"/>
      <c r="AWZ151" s="52"/>
      <c r="AXA151" s="53"/>
      <c r="AXB151" s="8"/>
      <c r="AXC151" s="45"/>
      <c r="AXD151" s="45"/>
      <c r="AXE151" s="46"/>
      <c r="AXF151" s="44"/>
      <c r="AXG151" s="7"/>
      <c r="AXH151" s="51"/>
      <c r="AXI151" s="52"/>
      <c r="AXJ151" s="53"/>
      <c r="AXK151" s="54"/>
      <c r="AXL151" s="52"/>
      <c r="AXM151" s="53"/>
      <c r="AXN151" s="54"/>
      <c r="AXO151" s="52"/>
      <c r="AXP151" s="53"/>
      <c r="AXQ151" s="8"/>
      <c r="AXR151" s="45"/>
      <c r="AXS151" s="45"/>
      <c r="AXT151" s="46"/>
      <c r="AXU151" s="44"/>
      <c r="AXV151" s="7"/>
      <c r="AXW151" s="51"/>
      <c r="AXX151" s="52"/>
      <c r="AXY151" s="53"/>
      <c r="AXZ151" s="54"/>
      <c r="AYA151" s="52"/>
      <c r="AYB151" s="53"/>
      <c r="AYC151" s="54"/>
      <c r="AYD151" s="52"/>
      <c r="AYE151" s="53"/>
      <c r="AYF151" s="8"/>
      <c r="AYG151" s="45"/>
      <c r="AYH151" s="45"/>
      <c r="AYI151" s="46"/>
      <c r="AYJ151" s="44"/>
      <c r="AYK151" s="7"/>
      <c r="AYL151" s="51"/>
      <c r="AYM151" s="52"/>
      <c r="AYN151" s="53"/>
      <c r="AYO151" s="54"/>
      <c r="AYP151" s="52"/>
      <c r="AYQ151" s="53"/>
      <c r="AYR151" s="54"/>
      <c r="AYS151" s="52"/>
      <c r="AYT151" s="53"/>
      <c r="AYU151" s="8"/>
      <c r="AYV151" s="45"/>
      <c r="AYW151" s="45"/>
      <c r="AYX151" s="46"/>
      <c r="AYY151" s="44"/>
      <c r="AYZ151" s="7"/>
      <c r="AZA151" s="51"/>
      <c r="AZB151" s="52"/>
      <c r="AZC151" s="53"/>
      <c r="AZD151" s="54"/>
      <c r="AZE151" s="52"/>
      <c r="AZF151" s="53"/>
      <c r="AZG151" s="54"/>
      <c r="AZH151" s="52"/>
      <c r="AZI151" s="53"/>
      <c r="AZJ151" s="8"/>
      <c r="AZK151" s="45"/>
      <c r="AZL151" s="45"/>
      <c r="AZM151" s="46"/>
      <c r="AZN151" s="44"/>
      <c r="AZO151" s="7"/>
      <c r="AZP151" s="51"/>
      <c r="AZQ151" s="52"/>
      <c r="AZR151" s="53"/>
      <c r="AZS151" s="54"/>
      <c r="AZT151" s="52"/>
      <c r="AZU151" s="53"/>
      <c r="AZV151" s="54"/>
      <c r="AZW151" s="52"/>
      <c r="AZX151" s="53"/>
      <c r="AZY151" s="8"/>
      <c r="AZZ151" s="45"/>
      <c r="BAA151" s="45"/>
      <c r="BAB151" s="46"/>
      <c r="BAC151" s="44"/>
      <c r="BAD151" s="7"/>
      <c r="BAE151" s="51"/>
      <c r="BAF151" s="52"/>
      <c r="BAG151" s="53"/>
      <c r="BAH151" s="54"/>
      <c r="BAI151" s="52"/>
      <c r="BAJ151" s="53"/>
      <c r="BAK151" s="54"/>
      <c r="BAL151" s="52"/>
      <c r="BAM151" s="53"/>
      <c r="BAN151" s="8"/>
      <c r="BAO151" s="45"/>
      <c r="BAP151" s="45"/>
      <c r="BAQ151" s="46"/>
      <c r="BAR151" s="44"/>
      <c r="BAS151" s="7"/>
      <c r="BAT151" s="51"/>
      <c r="BAU151" s="52"/>
      <c r="BAV151" s="53"/>
      <c r="BAW151" s="54"/>
      <c r="BAX151" s="52"/>
      <c r="BAY151" s="53"/>
      <c r="BAZ151" s="54"/>
      <c r="BBA151" s="52"/>
      <c r="BBB151" s="53"/>
      <c r="BBC151" s="8"/>
      <c r="BBD151" s="45"/>
      <c r="BBE151" s="45"/>
      <c r="BBF151" s="46"/>
      <c r="BBG151" s="44"/>
      <c r="BBH151" s="7"/>
      <c r="BBI151" s="51"/>
      <c r="BBJ151" s="52"/>
      <c r="BBK151" s="53"/>
      <c r="BBL151" s="54"/>
      <c r="BBM151" s="52"/>
      <c r="BBN151" s="53"/>
      <c r="BBO151" s="54"/>
      <c r="BBP151" s="52"/>
      <c r="BBQ151" s="53"/>
      <c r="BBR151" s="8"/>
      <c r="BBS151" s="45"/>
      <c r="BBT151" s="45"/>
      <c r="BBU151" s="46"/>
      <c r="BBV151" s="44"/>
      <c r="BBW151" s="7"/>
      <c r="BBX151" s="51"/>
      <c r="BBY151" s="52"/>
      <c r="BBZ151" s="53"/>
      <c r="BCA151" s="54"/>
      <c r="BCB151" s="52"/>
      <c r="BCC151" s="53"/>
      <c r="BCD151" s="54"/>
      <c r="BCE151" s="52"/>
      <c r="BCF151" s="53"/>
      <c r="BCG151" s="8"/>
      <c r="BCH151" s="45"/>
      <c r="BCI151" s="45"/>
      <c r="BCJ151" s="46"/>
      <c r="BCK151" s="44"/>
      <c r="BCL151" s="7"/>
      <c r="BCM151" s="51"/>
      <c r="BCN151" s="52"/>
      <c r="BCO151" s="53"/>
      <c r="BCP151" s="54"/>
      <c r="BCQ151" s="52"/>
      <c r="BCR151" s="53"/>
      <c r="BCS151" s="54"/>
      <c r="BCT151" s="52"/>
      <c r="BCU151" s="53"/>
      <c r="BCV151" s="8"/>
      <c r="BCW151" s="45"/>
      <c r="BCX151" s="45"/>
      <c r="BCY151" s="46"/>
      <c r="BCZ151" s="44"/>
      <c r="BDA151" s="7"/>
      <c r="BDB151" s="51"/>
      <c r="BDC151" s="52"/>
      <c r="BDD151" s="53"/>
      <c r="BDE151" s="54"/>
      <c r="BDF151" s="52"/>
      <c r="BDG151" s="53"/>
      <c r="BDH151" s="54"/>
      <c r="BDI151" s="52"/>
      <c r="BDJ151" s="53"/>
      <c r="BDK151" s="8"/>
      <c r="BDL151" s="45"/>
      <c r="BDM151" s="45"/>
      <c r="BDN151" s="46"/>
      <c r="BDO151" s="44"/>
      <c r="BDP151" s="7"/>
      <c r="BDQ151" s="51"/>
      <c r="BDR151" s="52"/>
      <c r="BDS151" s="53"/>
      <c r="BDT151" s="54"/>
      <c r="BDU151" s="52"/>
      <c r="BDV151" s="53"/>
      <c r="BDW151" s="54"/>
      <c r="BDX151" s="52"/>
      <c r="BDY151" s="53"/>
      <c r="BDZ151" s="8"/>
      <c r="BEA151" s="45"/>
      <c r="BEB151" s="45"/>
      <c r="BEC151" s="46"/>
      <c r="BED151" s="44"/>
      <c r="BEE151" s="7"/>
      <c r="BEF151" s="51"/>
      <c r="BEG151" s="52"/>
      <c r="BEH151" s="53"/>
      <c r="BEI151" s="54"/>
      <c r="BEJ151" s="52"/>
      <c r="BEK151" s="53"/>
      <c r="BEL151" s="54"/>
      <c r="BEM151" s="52"/>
      <c r="BEN151" s="53"/>
      <c r="BEO151" s="8"/>
      <c r="BEP151" s="45"/>
      <c r="BEQ151" s="45"/>
      <c r="BER151" s="46"/>
      <c r="BES151" s="44"/>
      <c r="BET151" s="7"/>
      <c r="BEU151" s="51"/>
      <c r="BEV151" s="52"/>
      <c r="BEW151" s="53"/>
      <c r="BEX151" s="54"/>
      <c r="BEY151" s="52"/>
      <c r="BEZ151" s="53"/>
      <c r="BFA151" s="54"/>
      <c r="BFB151" s="52"/>
      <c r="BFC151" s="53"/>
      <c r="BFD151" s="8"/>
      <c r="BFE151" s="45"/>
      <c r="BFF151" s="45"/>
      <c r="BFG151" s="46"/>
      <c r="BFH151" s="44"/>
      <c r="BFI151" s="7"/>
      <c r="BFJ151" s="51"/>
      <c r="BFK151" s="52"/>
      <c r="BFL151" s="53"/>
      <c r="BFM151" s="54"/>
      <c r="BFN151" s="52"/>
      <c r="BFO151" s="53"/>
      <c r="BFP151" s="54"/>
      <c r="BFQ151" s="52"/>
      <c r="BFR151" s="53"/>
      <c r="BFS151" s="8"/>
      <c r="BFT151" s="45"/>
      <c r="BFU151" s="45"/>
      <c r="BFV151" s="46"/>
      <c r="BFW151" s="44"/>
      <c r="BFX151" s="7"/>
      <c r="BFY151" s="51"/>
      <c r="BFZ151" s="52"/>
      <c r="BGA151" s="53"/>
      <c r="BGB151" s="54"/>
      <c r="BGC151" s="52"/>
      <c r="BGD151" s="53"/>
      <c r="BGE151" s="54"/>
      <c r="BGF151" s="52"/>
      <c r="BGG151" s="53"/>
      <c r="BGH151" s="8"/>
      <c r="BGI151" s="45"/>
      <c r="BGJ151" s="45"/>
      <c r="BGK151" s="46"/>
      <c r="BGL151" s="44"/>
      <c r="BGM151" s="7"/>
      <c r="BGN151" s="51"/>
      <c r="BGO151" s="52"/>
      <c r="BGP151" s="53"/>
      <c r="BGQ151" s="54"/>
      <c r="BGR151" s="52"/>
      <c r="BGS151" s="53"/>
      <c r="BGT151" s="54"/>
      <c r="BGU151" s="52"/>
      <c r="BGV151" s="53"/>
      <c r="BGW151" s="8"/>
      <c r="BGX151" s="45"/>
      <c r="BGY151" s="45"/>
      <c r="BGZ151" s="46"/>
      <c r="BHA151" s="44"/>
      <c r="BHB151" s="7"/>
      <c r="BHC151" s="51"/>
      <c r="BHD151" s="52"/>
      <c r="BHE151" s="53"/>
      <c r="BHF151" s="54"/>
      <c r="BHG151" s="52"/>
      <c r="BHH151" s="53"/>
      <c r="BHI151" s="54"/>
      <c r="BHJ151" s="52"/>
      <c r="BHK151" s="53"/>
      <c r="BHL151" s="8"/>
      <c r="BHM151" s="45"/>
      <c r="BHN151" s="45"/>
      <c r="BHO151" s="46"/>
      <c r="BHP151" s="44"/>
      <c r="BHQ151" s="7"/>
      <c r="BHR151" s="51"/>
      <c r="BHS151" s="52"/>
      <c r="BHT151" s="53"/>
      <c r="BHU151" s="54"/>
      <c r="BHV151" s="52"/>
      <c r="BHW151" s="53"/>
      <c r="BHX151" s="54"/>
      <c r="BHY151" s="52"/>
      <c r="BHZ151" s="53"/>
      <c r="BIA151" s="8"/>
      <c r="BIB151" s="45"/>
      <c r="BIC151" s="45"/>
      <c r="BID151" s="46"/>
      <c r="BIE151" s="44"/>
      <c r="BIF151" s="7"/>
      <c r="BIG151" s="51"/>
      <c r="BIH151" s="52"/>
      <c r="BII151" s="53"/>
      <c r="BIJ151" s="54"/>
      <c r="BIK151" s="52"/>
      <c r="BIL151" s="53"/>
      <c r="BIM151" s="54"/>
      <c r="BIN151" s="52"/>
      <c r="BIO151" s="53"/>
      <c r="BIP151" s="8"/>
      <c r="BIQ151" s="45"/>
      <c r="BIR151" s="45"/>
      <c r="BIS151" s="46"/>
      <c r="BIT151" s="44"/>
      <c r="BIU151" s="7"/>
      <c r="BIV151" s="51"/>
      <c r="BIW151" s="52"/>
      <c r="BIX151" s="53"/>
      <c r="BIY151" s="54"/>
      <c r="BIZ151" s="52"/>
      <c r="BJA151" s="53"/>
      <c r="BJB151" s="54"/>
      <c r="BJC151" s="52"/>
      <c r="BJD151" s="53"/>
      <c r="BJE151" s="8"/>
      <c r="BJF151" s="45"/>
      <c r="BJG151" s="45"/>
      <c r="BJH151" s="46"/>
      <c r="BJI151" s="44"/>
      <c r="BJJ151" s="7"/>
      <c r="BJK151" s="51"/>
      <c r="BJL151" s="52"/>
      <c r="BJM151" s="53"/>
      <c r="BJN151" s="54"/>
      <c r="BJO151" s="52"/>
      <c r="BJP151" s="53"/>
      <c r="BJQ151" s="54"/>
      <c r="BJR151" s="52"/>
      <c r="BJS151" s="53"/>
      <c r="BJT151" s="8"/>
      <c r="BJU151" s="45"/>
      <c r="BJV151" s="45"/>
      <c r="BJW151" s="46"/>
      <c r="BJX151" s="44"/>
      <c r="BJY151" s="7"/>
      <c r="BJZ151" s="51"/>
      <c r="BKA151" s="52"/>
      <c r="BKB151" s="53"/>
      <c r="BKC151" s="54"/>
      <c r="BKD151" s="52"/>
      <c r="BKE151" s="53"/>
      <c r="BKF151" s="54"/>
      <c r="BKG151" s="52"/>
      <c r="BKH151" s="53"/>
      <c r="BKI151" s="8"/>
      <c r="BKJ151" s="45"/>
      <c r="BKK151" s="45"/>
      <c r="BKL151" s="46"/>
      <c r="BKM151" s="44"/>
      <c r="BKN151" s="7"/>
      <c r="BKO151" s="51"/>
      <c r="BKP151" s="52"/>
      <c r="BKQ151" s="53"/>
      <c r="BKR151" s="54"/>
      <c r="BKS151" s="52"/>
      <c r="BKT151" s="53"/>
      <c r="BKU151" s="54"/>
      <c r="BKV151" s="52"/>
      <c r="BKW151" s="53"/>
      <c r="BKX151" s="8"/>
      <c r="BKY151" s="45"/>
      <c r="BKZ151" s="45"/>
      <c r="BLA151" s="46"/>
      <c r="BLB151" s="44"/>
      <c r="BLC151" s="7"/>
      <c r="BLD151" s="51"/>
      <c r="BLE151" s="52"/>
      <c r="BLF151" s="53"/>
      <c r="BLG151" s="54"/>
      <c r="BLH151" s="52"/>
      <c r="BLI151" s="53"/>
      <c r="BLJ151" s="54"/>
      <c r="BLK151" s="52"/>
      <c r="BLL151" s="53"/>
      <c r="BLM151" s="8"/>
      <c r="BLN151" s="45"/>
      <c r="BLO151" s="45"/>
      <c r="BLP151" s="46"/>
      <c r="BLQ151" s="44"/>
      <c r="BLR151" s="7"/>
      <c r="BLS151" s="51"/>
      <c r="BLT151" s="52"/>
      <c r="BLU151" s="53"/>
      <c r="BLV151" s="54"/>
      <c r="BLW151" s="52"/>
      <c r="BLX151" s="53"/>
      <c r="BLY151" s="54"/>
      <c r="BLZ151" s="52"/>
      <c r="BMA151" s="53"/>
      <c r="BMB151" s="8"/>
      <c r="BMC151" s="45"/>
      <c r="BMD151" s="45"/>
      <c r="BME151" s="46"/>
      <c r="BMF151" s="44"/>
      <c r="BMG151" s="7"/>
      <c r="BMH151" s="51"/>
      <c r="BMI151" s="52"/>
      <c r="BMJ151" s="53"/>
      <c r="BMK151" s="54"/>
      <c r="BML151" s="52"/>
      <c r="BMM151" s="53"/>
      <c r="BMN151" s="54"/>
      <c r="BMO151" s="52"/>
      <c r="BMP151" s="53"/>
      <c r="BMQ151" s="8"/>
      <c r="BMR151" s="45"/>
      <c r="BMS151" s="45"/>
      <c r="BMT151" s="46"/>
      <c r="BMU151" s="44"/>
      <c r="BMV151" s="7"/>
      <c r="BMW151" s="51"/>
      <c r="BMX151" s="52"/>
      <c r="BMY151" s="53"/>
      <c r="BMZ151" s="54"/>
      <c r="BNA151" s="52"/>
      <c r="BNB151" s="53"/>
      <c r="BNC151" s="54"/>
      <c r="BND151" s="52"/>
      <c r="BNE151" s="53"/>
      <c r="BNF151" s="8"/>
      <c r="BNG151" s="45"/>
      <c r="BNH151" s="45"/>
      <c r="BNI151" s="46"/>
      <c r="BNJ151" s="44"/>
      <c r="BNK151" s="7"/>
      <c r="BNL151" s="51"/>
      <c r="BNM151" s="52"/>
      <c r="BNN151" s="53"/>
      <c r="BNO151" s="54"/>
      <c r="BNP151" s="52"/>
      <c r="BNQ151" s="53"/>
      <c r="BNR151" s="54"/>
      <c r="BNS151" s="52"/>
      <c r="BNT151" s="53"/>
      <c r="BNU151" s="8"/>
      <c r="BNV151" s="45"/>
      <c r="BNW151" s="45"/>
      <c r="BNX151" s="46"/>
      <c r="BNY151" s="44"/>
      <c r="BNZ151" s="7"/>
      <c r="BOA151" s="51"/>
      <c r="BOB151" s="52"/>
      <c r="BOC151" s="53"/>
      <c r="BOD151" s="54"/>
      <c r="BOE151" s="52"/>
      <c r="BOF151" s="53"/>
      <c r="BOG151" s="54"/>
      <c r="BOH151" s="52"/>
      <c r="BOI151" s="53"/>
      <c r="BOJ151" s="8"/>
      <c r="BOK151" s="45"/>
      <c r="BOL151" s="45"/>
      <c r="BOM151" s="46"/>
      <c r="BON151" s="44"/>
      <c r="BOO151" s="7"/>
      <c r="BOP151" s="51"/>
      <c r="BOQ151" s="52"/>
      <c r="BOR151" s="53"/>
      <c r="BOS151" s="54"/>
      <c r="BOT151" s="52"/>
      <c r="BOU151" s="53"/>
      <c r="BOV151" s="54"/>
      <c r="BOW151" s="52"/>
      <c r="BOX151" s="53"/>
      <c r="BOY151" s="8"/>
      <c r="BOZ151" s="45"/>
      <c r="BPA151" s="45"/>
      <c r="BPB151" s="46"/>
      <c r="BPC151" s="44"/>
      <c r="BPD151" s="7"/>
      <c r="BPE151" s="51"/>
      <c r="BPF151" s="52"/>
      <c r="BPG151" s="53"/>
      <c r="BPH151" s="54"/>
      <c r="BPI151" s="52"/>
      <c r="BPJ151" s="53"/>
      <c r="BPK151" s="54"/>
      <c r="BPL151" s="52"/>
      <c r="BPM151" s="53"/>
      <c r="BPN151" s="8"/>
      <c r="BPO151" s="45"/>
      <c r="BPP151" s="45"/>
      <c r="BPQ151" s="46"/>
      <c r="BPR151" s="44"/>
      <c r="BPS151" s="7"/>
      <c r="BPT151" s="51"/>
      <c r="BPU151" s="52"/>
      <c r="BPV151" s="53"/>
      <c r="BPW151" s="54"/>
      <c r="BPX151" s="52"/>
      <c r="BPY151" s="53"/>
      <c r="BPZ151" s="54"/>
      <c r="BQA151" s="52"/>
      <c r="BQB151" s="53"/>
      <c r="BQC151" s="8"/>
      <c r="BQD151" s="45"/>
      <c r="BQE151" s="45"/>
      <c r="BQF151" s="46"/>
      <c r="BQG151" s="44"/>
      <c r="BQH151" s="7"/>
      <c r="BQI151" s="51"/>
      <c r="BQJ151" s="52"/>
      <c r="BQK151" s="53"/>
      <c r="BQL151" s="54"/>
      <c r="BQM151" s="52"/>
      <c r="BQN151" s="53"/>
      <c r="BQO151" s="54"/>
      <c r="BQP151" s="52"/>
      <c r="BQQ151" s="53"/>
      <c r="BQR151" s="8"/>
      <c r="BQS151" s="45"/>
      <c r="BQT151" s="45"/>
      <c r="BQU151" s="46"/>
      <c r="BQV151" s="44"/>
      <c r="BQW151" s="7"/>
      <c r="BQX151" s="51"/>
      <c r="BQY151" s="52"/>
      <c r="BQZ151" s="53"/>
      <c r="BRA151" s="54"/>
      <c r="BRB151" s="52"/>
      <c r="BRC151" s="53"/>
      <c r="BRD151" s="54"/>
      <c r="BRE151" s="52"/>
      <c r="BRF151" s="53"/>
      <c r="BRG151" s="8"/>
      <c r="BRH151" s="45"/>
      <c r="BRI151" s="45"/>
      <c r="BRJ151" s="46"/>
      <c r="BRK151" s="44"/>
      <c r="BRL151" s="7"/>
      <c r="BRM151" s="51"/>
      <c r="BRN151" s="52"/>
      <c r="BRO151" s="53"/>
      <c r="BRP151" s="54"/>
      <c r="BRQ151" s="52"/>
      <c r="BRR151" s="53"/>
      <c r="BRS151" s="54"/>
      <c r="BRT151" s="52"/>
      <c r="BRU151" s="53"/>
      <c r="BRV151" s="8"/>
      <c r="BRW151" s="45"/>
      <c r="BRX151" s="45"/>
      <c r="BRY151" s="46"/>
      <c r="BRZ151" s="44"/>
      <c r="BSA151" s="7"/>
      <c r="BSB151" s="51"/>
      <c r="BSC151" s="52"/>
      <c r="BSD151" s="53"/>
      <c r="BSE151" s="54"/>
      <c r="BSF151" s="52"/>
      <c r="BSG151" s="53"/>
      <c r="BSH151" s="54"/>
      <c r="BSI151" s="52"/>
      <c r="BSJ151" s="53"/>
      <c r="BSK151" s="8"/>
      <c r="BSL151" s="45"/>
      <c r="BSM151" s="45"/>
      <c r="BSN151" s="46"/>
      <c r="BSO151" s="44"/>
      <c r="BSP151" s="7"/>
      <c r="BSQ151" s="51"/>
      <c r="BSR151" s="52"/>
      <c r="BSS151" s="53"/>
      <c r="BST151" s="54"/>
      <c r="BSU151" s="52"/>
      <c r="BSV151" s="53"/>
      <c r="BSW151" s="54"/>
      <c r="BSX151" s="52"/>
      <c r="BSY151" s="53"/>
      <c r="BSZ151" s="8"/>
      <c r="BTA151" s="45"/>
      <c r="BTB151" s="45"/>
      <c r="BTC151" s="46"/>
      <c r="BTD151" s="44"/>
      <c r="BTE151" s="7"/>
      <c r="BTF151" s="51"/>
      <c r="BTG151" s="52"/>
      <c r="BTH151" s="53"/>
      <c r="BTI151" s="54"/>
      <c r="BTJ151" s="52"/>
      <c r="BTK151" s="53"/>
      <c r="BTL151" s="54"/>
      <c r="BTM151" s="52"/>
      <c r="BTN151" s="53"/>
      <c r="BTO151" s="8"/>
      <c r="BTP151" s="45"/>
      <c r="BTQ151" s="45"/>
      <c r="BTR151" s="46"/>
      <c r="BTS151" s="44"/>
      <c r="BTT151" s="7"/>
      <c r="BTU151" s="51"/>
      <c r="BTV151" s="52"/>
      <c r="BTW151" s="53"/>
      <c r="BTX151" s="54"/>
      <c r="BTY151" s="52"/>
      <c r="BTZ151" s="53"/>
      <c r="BUA151" s="54"/>
      <c r="BUB151" s="52"/>
      <c r="BUC151" s="53"/>
      <c r="BUD151" s="8"/>
      <c r="BUE151" s="45"/>
      <c r="BUF151" s="45"/>
      <c r="BUG151" s="46"/>
      <c r="BUH151" s="44"/>
      <c r="BUI151" s="7"/>
      <c r="BUJ151" s="51"/>
      <c r="BUK151" s="52"/>
      <c r="BUL151" s="53"/>
      <c r="BUM151" s="54"/>
      <c r="BUN151" s="52"/>
      <c r="BUO151" s="53"/>
      <c r="BUP151" s="54"/>
      <c r="BUQ151" s="52"/>
      <c r="BUR151" s="53"/>
      <c r="BUS151" s="8"/>
      <c r="BUT151" s="45"/>
      <c r="BUU151" s="45"/>
      <c r="BUV151" s="46"/>
      <c r="BUW151" s="44"/>
      <c r="BUX151" s="7"/>
      <c r="BUY151" s="51"/>
      <c r="BUZ151" s="52"/>
      <c r="BVA151" s="53"/>
      <c r="BVB151" s="54"/>
      <c r="BVC151" s="52"/>
      <c r="BVD151" s="53"/>
      <c r="BVE151" s="54"/>
      <c r="BVF151" s="52"/>
      <c r="BVG151" s="53"/>
      <c r="BVH151" s="8"/>
      <c r="BVI151" s="45"/>
      <c r="BVJ151" s="45"/>
      <c r="BVK151" s="46"/>
      <c r="BVL151" s="44"/>
      <c r="BVM151" s="7"/>
      <c r="BVN151" s="51"/>
      <c r="BVO151" s="52"/>
      <c r="BVP151" s="53"/>
      <c r="BVQ151" s="54"/>
      <c r="BVR151" s="52"/>
      <c r="BVS151" s="53"/>
      <c r="BVT151" s="54"/>
      <c r="BVU151" s="52"/>
      <c r="BVV151" s="53"/>
      <c r="BVW151" s="8"/>
      <c r="BVX151" s="45"/>
      <c r="BVY151" s="45"/>
      <c r="BVZ151" s="46"/>
      <c r="BWA151" s="44"/>
      <c r="BWB151" s="7"/>
      <c r="BWC151" s="51"/>
      <c r="BWD151" s="52"/>
      <c r="BWE151" s="53"/>
      <c r="BWF151" s="54"/>
      <c r="BWG151" s="52"/>
      <c r="BWH151" s="53"/>
      <c r="BWI151" s="54"/>
      <c r="BWJ151" s="52"/>
      <c r="BWK151" s="53"/>
      <c r="BWL151" s="8"/>
      <c r="BWM151" s="45"/>
      <c r="BWN151" s="45"/>
      <c r="BWO151" s="46"/>
      <c r="BWP151" s="44"/>
      <c r="BWQ151" s="7"/>
      <c r="BWR151" s="51"/>
      <c r="BWS151" s="52"/>
      <c r="BWT151" s="53"/>
      <c r="BWU151" s="54"/>
      <c r="BWV151" s="52"/>
      <c r="BWW151" s="53"/>
      <c r="BWX151" s="54"/>
      <c r="BWY151" s="52"/>
      <c r="BWZ151" s="53"/>
      <c r="BXA151" s="8"/>
      <c r="BXB151" s="45"/>
      <c r="BXC151" s="45"/>
      <c r="BXD151" s="46"/>
      <c r="BXE151" s="44"/>
      <c r="BXF151" s="7"/>
      <c r="BXG151" s="51"/>
      <c r="BXH151" s="52"/>
      <c r="BXI151" s="53"/>
      <c r="BXJ151" s="54"/>
      <c r="BXK151" s="52"/>
      <c r="BXL151" s="53"/>
      <c r="BXM151" s="54"/>
      <c r="BXN151" s="52"/>
      <c r="BXO151" s="53"/>
      <c r="BXP151" s="8"/>
      <c r="BXQ151" s="45"/>
      <c r="BXR151" s="45"/>
      <c r="BXS151" s="46"/>
      <c r="BXT151" s="44"/>
      <c r="BXU151" s="7"/>
      <c r="BXV151" s="51"/>
      <c r="BXW151" s="52"/>
      <c r="BXX151" s="53"/>
      <c r="BXY151" s="54"/>
      <c r="BXZ151" s="52"/>
      <c r="BYA151" s="53"/>
      <c r="BYB151" s="54"/>
      <c r="BYC151" s="52"/>
      <c r="BYD151" s="53"/>
      <c r="BYE151" s="8"/>
      <c r="BYF151" s="45"/>
      <c r="BYG151" s="45"/>
      <c r="BYH151" s="46"/>
      <c r="BYI151" s="44"/>
      <c r="BYJ151" s="7"/>
      <c r="BYK151" s="51"/>
      <c r="BYL151" s="52"/>
      <c r="BYM151" s="53"/>
      <c r="BYN151" s="54"/>
      <c r="BYO151" s="52"/>
      <c r="BYP151" s="53"/>
      <c r="BYQ151" s="54"/>
      <c r="BYR151" s="52"/>
      <c r="BYS151" s="53"/>
      <c r="BYT151" s="8"/>
      <c r="BYU151" s="45"/>
      <c r="BYV151" s="45"/>
      <c r="BYW151" s="46"/>
      <c r="BYX151" s="44"/>
      <c r="BYY151" s="7"/>
      <c r="BYZ151" s="51"/>
      <c r="BZA151" s="52"/>
      <c r="BZB151" s="53"/>
      <c r="BZC151" s="54"/>
      <c r="BZD151" s="52"/>
      <c r="BZE151" s="53"/>
      <c r="BZF151" s="54"/>
      <c r="BZG151" s="52"/>
      <c r="BZH151" s="53"/>
      <c r="BZI151" s="8"/>
      <c r="BZJ151" s="45"/>
      <c r="BZK151" s="45"/>
      <c r="BZL151" s="46"/>
      <c r="BZM151" s="44"/>
      <c r="BZN151" s="7"/>
      <c r="BZO151" s="51"/>
      <c r="BZP151" s="52"/>
      <c r="BZQ151" s="53"/>
      <c r="BZR151" s="54"/>
      <c r="BZS151" s="52"/>
      <c r="BZT151" s="53"/>
      <c r="BZU151" s="54"/>
      <c r="BZV151" s="52"/>
      <c r="BZW151" s="53"/>
      <c r="BZX151" s="8"/>
      <c r="BZY151" s="45"/>
      <c r="BZZ151" s="45"/>
      <c r="CAA151" s="46"/>
      <c r="CAB151" s="44"/>
      <c r="CAC151" s="7"/>
      <c r="CAD151" s="51"/>
      <c r="CAE151" s="52"/>
      <c r="CAF151" s="53"/>
      <c r="CAG151" s="54"/>
      <c r="CAH151" s="52"/>
      <c r="CAI151" s="53"/>
      <c r="CAJ151" s="54"/>
      <c r="CAK151" s="52"/>
      <c r="CAL151" s="53"/>
      <c r="CAM151" s="8"/>
      <c r="CAN151" s="45"/>
      <c r="CAO151" s="45"/>
      <c r="CAP151" s="46"/>
      <c r="CAQ151" s="44"/>
      <c r="CAR151" s="7"/>
      <c r="CAS151" s="51"/>
      <c r="CAT151" s="52"/>
      <c r="CAU151" s="53"/>
      <c r="CAV151" s="54"/>
      <c r="CAW151" s="52"/>
      <c r="CAX151" s="53"/>
      <c r="CAY151" s="54"/>
      <c r="CAZ151" s="52"/>
      <c r="CBA151" s="53"/>
      <c r="CBB151" s="8"/>
      <c r="CBC151" s="45"/>
      <c r="CBD151" s="45"/>
      <c r="CBE151" s="46"/>
      <c r="CBF151" s="44"/>
      <c r="CBG151" s="7"/>
      <c r="CBH151" s="51"/>
      <c r="CBI151" s="52"/>
      <c r="CBJ151" s="53"/>
      <c r="CBK151" s="54"/>
      <c r="CBL151" s="52"/>
      <c r="CBM151" s="53"/>
      <c r="CBN151" s="54"/>
      <c r="CBO151" s="52"/>
      <c r="CBP151" s="53"/>
      <c r="CBQ151" s="8"/>
      <c r="CBR151" s="45"/>
      <c r="CBS151" s="45"/>
      <c r="CBT151" s="46"/>
      <c r="CBU151" s="44"/>
      <c r="CBV151" s="7"/>
      <c r="CBW151" s="51"/>
      <c r="CBX151" s="52"/>
      <c r="CBY151" s="53"/>
      <c r="CBZ151" s="54"/>
      <c r="CCA151" s="52"/>
      <c r="CCB151" s="53"/>
      <c r="CCC151" s="54"/>
      <c r="CCD151" s="52"/>
      <c r="CCE151" s="53"/>
      <c r="CCF151" s="8"/>
      <c r="CCG151" s="45"/>
      <c r="CCH151" s="45"/>
      <c r="CCI151" s="46"/>
      <c r="CCJ151" s="44"/>
      <c r="CCK151" s="7"/>
      <c r="CCL151" s="51"/>
      <c r="CCM151" s="52"/>
      <c r="CCN151" s="53"/>
      <c r="CCO151" s="54"/>
      <c r="CCP151" s="52"/>
      <c r="CCQ151" s="53"/>
      <c r="CCR151" s="54"/>
      <c r="CCS151" s="52"/>
      <c r="CCT151" s="53"/>
      <c r="CCU151" s="8"/>
      <c r="CCV151" s="45"/>
      <c r="CCW151" s="45"/>
      <c r="CCX151" s="46"/>
      <c r="CCY151" s="44"/>
      <c r="CCZ151" s="7"/>
      <c r="CDA151" s="51"/>
      <c r="CDB151" s="52"/>
      <c r="CDC151" s="53"/>
      <c r="CDD151" s="54"/>
      <c r="CDE151" s="52"/>
      <c r="CDF151" s="53"/>
      <c r="CDG151" s="54"/>
      <c r="CDH151" s="52"/>
      <c r="CDI151" s="53"/>
      <c r="CDJ151" s="8"/>
      <c r="CDK151" s="45"/>
      <c r="CDL151" s="45"/>
      <c r="CDM151" s="46"/>
      <c r="CDN151" s="44"/>
      <c r="CDO151" s="7"/>
      <c r="CDP151" s="51"/>
      <c r="CDQ151" s="52"/>
      <c r="CDR151" s="53"/>
      <c r="CDS151" s="54"/>
      <c r="CDT151" s="52"/>
      <c r="CDU151" s="53"/>
      <c r="CDV151" s="54"/>
      <c r="CDW151" s="52"/>
      <c r="CDX151" s="53"/>
      <c r="CDY151" s="8"/>
      <c r="CDZ151" s="45"/>
      <c r="CEA151" s="45"/>
      <c r="CEB151" s="46"/>
      <c r="CEC151" s="44"/>
      <c r="CED151" s="7"/>
      <c r="CEE151" s="51"/>
      <c r="CEF151" s="52"/>
      <c r="CEG151" s="53"/>
      <c r="CEH151" s="54"/>
      <c r="CEI151" s="52"/>
      <c r="CEJ151" s="53"/>
      <c r="CEK151" s="54"/>
      <c r="CEL151" s="52"/>
      <c r="CEM151" s="53"/>
      <c r="CEN151" s="8"/>
      <c r="CEO151" s="45"/>
      <c r="CEP151" s="45"/>
      <c r="CEQ151" s="46"/>
      <c r="CER151" s="44"/>
      <c r="CES151" s="7"/>
      <c r="CET151" s="51"/>
      <c r="CEU151" s="52"/>
      <c r="CEV151" s="53"/>
      <c r="CEW151" s="54"/>
      <c r="CEX151" s="52"/>
      <c r="CEY151" s="53"/>
      <c r="CEZ151" s="54"/>
      <c r="CFA151" s="52"/>
      <c r="CFB151" s="53"/>
      <c r="CFC151" s="8"/>
      <c r="CFD151" s="45"/>
      <c r="CFE151" s="45"/>
      <c r="CFF151" s="46"/>
      <c r="CFG151" s="44"/>
      <c r="CFH151" s="7"/>
      <c r="CFI151" s="51"/>
      <c r="CFJ151" s="52"/>
      <c r="CFK151" s="53"/>
      <c r="CFL151" s="54"/>
      <c r="CFM151" s="52"/>
      <c r="CFN151" s="53"/>
      <c r="CFO151" s="54"/>
      <c r="CFP151" s="52"/>
      <c r="CFQ151" s="53"/>
      <c r="CFR151" s="8"/>
      <c r="CFS151" s="45"/>
      <c r="CFT151" s="45"/>
      <c r="CFU151" s="46"/>
      <c r="CFV151" s="44"/>
      <c r="CFW151" s="7"/>
      <c r="CFX151" s="51"/>
      <c r="CFY151" s="52"/>
      <c r="CFZ151" s="53"/>
      <c r="CGA151" s="54"/>
      <c r="CGB151" s="52"/>
      <c r="CGC151" s="53"/>
      <c r="CGD151" s="54"/>
      <c r="CGE151" s="52"/>
      <c r="CGF151" s="53"/>
      <c r="CGG151" s="8"/>
      <c r="CGH151" s="45"/>
      <c r="CGI151" s="45"/>
      <c r="CGJ151" s="46"/>
      <c r="CGK151" s="44"/>
      <c r="CGL151" s="7"/>
      <c r="CGM151" s="51"/>
      <c r="CGN151" s="52"/>
      <c r="CGO151" s="53"/>
      <c r="CGP151" s="54"/>
      <c r="CGQ151" s="52"/>
      <c r="CGR151" s="53"/>
      <c r="CGS151" s="54"/>
      <c r="CGT151" s="52"/>
      <c r="CGU151" s="53"/>
      <c r="CGV151" s="8"/>
      <c r="CGW151" s="45"/>
      <c r="CGX151" s="45"/>
      <c r="CGY151" s="46"/>
      <c r="CGZ151" s="44"/>
      <c r="CHA151" s="7"/>
      <c r="CHB151" s="51"/>
      <c r="CHC151" s="52"/>
      <c r="CHD151" s="53"/>
      <c r="CHE151" s="54"/>
      <c r="CHF151" s="52"/>
      <c r="CHG151" s="53"/>
      <c r="CHH151" s="54"/>
      <c r="CHI151" s="52"/>
      <c r="CHJ151" s="53"/>
      <c r="CHK151" s="8"/>
      <c r="CHL151" s="45"/>
      <c r="CHM151" s="45"/>
      <c r="CHN151" s="46"/>
      <c r="CHO151" s="44"/>
      <c r="CHP151" s="7"/>
      <c r="CHQ151" s="51"/>
      <c r="CHR151" s="52"/>
      <c r="CHS151" s="53"/>
      <c r="CHT151" s="54"/>
      <c r="CHU151" s="52"/>
      <c r="CHV151" s="53"/>
      <c r="CHW151" s="54"/>
      <c r="CHX151" s="52"/>
      <c r="CHY151" s="53"/>
      <c r="CHZ151" s="8"/>
      <c r="CIA151" s="45"/>
      <c r="CIB151" s="45"/>
      <c r="CIC151" s="46"/>
      <c r="CID151" s="44"/>
      <c r="CIE151" s="7"/>
      <c r="CIF151" s="51"/>
      <c r="CIG151" s="52"/>
      <c r="CIH151" s="53"/>
      <c r="CII151" s="54"/>
      <c r="CIJ151" s="52"/>
      <c r="CIK151" s="53"/>
      <c r="CIL151" s="54"/>
      <c r="CIM151" s="52"/>
      <c r="CIN151" s="53"/>
      <c r="CIO151" s="8"/>
      <c r="CIP151" s="45"/>
      <c r="CIQ151" s="45"/>
      <c r="CIR151" s="46"/>
      <c r="CIS151" s="44"/>
      <c r="CIT151" s="7"/>
      <c r="CIU151" s="51"/>
      <c r="CIV151" s="52"/>
      <c r="CIW151" s="53"/>
      <c r="CIX151" s="54"/>
      <c r="CIY151" s="52"/>
      <c r="CIZ151" s="53"/>
      <c r="CJA151" s="54"/>
      <c r="CJB151" s="52"/>
      <c r="CJC151" s="53"/>
      <c r="CJD151" s="8"/>
      <c r="CJE151" s="45"/>
      <c r="CJF151" s="45"/>
      <c r="CJG151" s="46"/>
      <c r="CJH151" s="44"/>
      <c r="CJI151" s="7"/>
      <c r="CJJ151" s="51"/>
      <c r="CJK151" s="52"/>
      <c r="CJL151" s="53"/>
      <c r="CJM151" s="54"/>
      <c r="CJN151" s="52"/>
      <c r="CJO151" s="53"/>
      <c r="CJP151" s="54"/>
      <c r="CJQ151" s="52"/>
      <c r="CJR151" s="53"/>
      <c r="CJS151" s="8"/>
      <c r="CJT151" s="45"/>
      <c r="CJU151" s="45"/>
      <c r="CJV151" s="46"/>
      <c r="CJW151" s="44"/>
      <c r="CJX151" s="7"/>
      <c r="CJY151" s="51"/>
      <c r="CJZ151" s="52"/>
      <c r="CKA151" s="53"/>
      <c r="CKB151" s="54"/>
      <c r="CKC151" s="52"/>
      <c r="CKD151" s="53"/>
      <c r="CKE151" s="54"/>
      <c r="CKF151" s="52"/>
      <c r="CKG151" s="53"/>
      <c r="CKH151" s="8"/>
      <c r="CKI151" s="45"/>
      <c r="CKJ151" s="45"/>
      <c r="CKK151" s="46"/>
      <c r="CKL151" s="44"/>
      <c r="CKM151" s="7"/>
      <c r="CKN151" s="51"/>
      <c r="CKO151" s="52"/>
      <c r="CKP151" s="53"/>
      <c r="CKQ151" s="54"/>
      <c r="CKR151" s="52"/>
      <c r="CKS151" s="53"/>
      <c r="CKT151" s="54"/>
      <c r="CKU151" s="52"/>
      <c r="CKV151" s="53"/>
      <c r="CKW151" s="8"/>
      <c r="CKX151" s="45"/>
      <c r="CKY151" s="45"/>
      <c r="CKZ151" s="46"/>
      <c r="CLA151" s="44"/>
      <c r="CLB151" s="7"/>
      <c r="CLC151" s="51"/>
      <c r="CLD151" s="52"/>
      <c r="CLE151" s="53"/>
      <c r="CLF151" s="54"/>
      <c r="CLG151" s="52"/>
      <c r="CLH151" s="53"/>
      <c r="CLI151" s="54"/>
      <c r="CLJ151" s="52"/>
      <c r="CLK151" s="53"/>
      <c r="CLL151" s="8"/>
      <c r="CLM151" s="45"/>
      <c r="CLN151" s="45"/>
      <c r="CLO151" s="46"/>
      <c r="CLP151" s="44"/>
      <c r="CLQ151" s="7"/>
      <c r="CLR151" s="51"/>
      <c r="CLS151" s="52"/>
      <c r="CLT151" s="53"/>
      <c r="CLU151" s="54"/>
      <c r="CLV151" s="52"/>
      <c r="CLW151" s="53"/>
      <c r="CLX151" s="54"/>
      <c r="CLY151" s="52"/>
      <c r="CLZ151" s="53"/>
      <c r="CMA151" s="8"/>
      <c r="CMB151" s="45"/>
      <c r="CMC151" s="45"/>
      <c r="CMD151" s="46"/>
      <c r="CME151" s="44"/>
      <c r="CMF151" s="7"/>
      <c r="CMG151" s="51"/>
      <c r="CMH151" s="52"/>
      <c r="CMI151" s="53"/>
      <c r="CMJ151" s="54"/>
      <c r="CMK151" s="52"/>
      <c r="CML151" s="53"/>
      <c r="CMM151" s="54"/>
      <c r="CMN151" s="52"/>
      <c r="CMO151" s="53"/>
      <c r="CMP151" s="8"/>
      <c r="CMQ151" s="45"/>
      <c r="CMR151" s="45"/>
      <c r="CMS151" s="46"/>
      <c r="CMT151" s="44"/>
      <c r="CMU151" s="7"/>
      <c r="CMV151" s="51"/>
      <c r="CMW151" s="52"/>
      <c r="CMX151" s="53"/>
      <c r="CMY151" s="54"/>
      <c r="CMZ151" s="52"/>
      <c r="CNA151" s="53"/>
      <c r="CNB151" s="54"/>
      <c r="CNC151" s="52"/>
      <c r="CND151" s="53"/>
      <c r="CNE151" s="8"/>
      <c r="CNF151" s="45"/>
      <c r="CNG151" s="45"/>
      <c r="CNH151" s="46"/>
      <c r="CNI151" s="44"/>
      <c r="CNJ151" s="7"/>
      <c r="CNK151" s="51"/>
      <c r="CNL151" s="52"/>
      <c r="CNM151" s="53"/>
      <c r="CNN151" s="54"/>
      <c r="CNO151" s="52"/>
      <c r="CNP151" s="53"/>
      <c r="CNQ151" s="54"/>
      <c r="CNR151" s="52"/>
      <c r="CNS151" s="53"/>
      <c r="CNT151" s="8"/>
      <c r="CNU151" s="45"/>
      <c r="CNV151" s="45"/>
      <c r="CNW151" s="46"/>
      <c r="CNX151" s="44"/>
      <c r="CNY151" s="7"/>
      <c r="CNZ151" s="51"/>
      <c r="COA151" s="52"/>
      <c r="COB151" s="53"/>
      <c r="COC151" s="54"/>
      <c r="COD151" s="52"/>
      <c r="COE151" s="53"/>
      <c r="COF151" s="54"/>
      <c r="COG151" s="52"/>
      <c r="COH151" s="53"/>
      <c r="COI151" s="8"/>
      <c r="COJ151" s="45"/>
      <c r="COK151" s="45"/>
      <c r="COL151" s="46"/>
      <c r="COM151" s="44"/>
      <c r="CON151" s="7"/>
      <c r="COO151" s="51"/>
      <c r="COP151" s="52"/>
      <c r="COQ151" s="53"/>
      <c r="COR151" s="54"/>
      <c r="COS151" s="52"/>
      <c r="COT151" s="53"/>
      <c r="COU151" s="54"/>
      <c r="COV151" s="52"/>
      <c r="COW151" s="53"/>
      <c r="COX151" s="8"/>
      <c r="COY151" s="45"/>
      <c r="COZ151" s="45"/>
      <c r="CPA151" s="46"/>
      <c r="CPB151" s="44"/>
      <c r="CPC151" s="7"/>
      <c r="CPD151" s="51"/>
      <c r="CPE151" s="52"/>
      <c r="CPF151" s="53"/>
      <c r="CPG151" s="54"/>
      <c r="CPH151" s="52"/>
      <c r="CPI151" s="53"/>
      <c r="CPJ151" s="54"/>
      <c r="CPK151" s="52"/>
      <c r="CPL151" s="53"/>
      <c r="CPM151" s="8"/>
      <c r="CPN151" s="45"/>
      <c r="CPO151" s="45"/>
      <c r="CPP151" s="46"/>
      <c r="CPQ151" s="44"/>
      <c r="CPR151" s="7"/>
      <c r="CPS151" s="51"/>
      <c r="CPT151" s="52"/>
      <c r="CPU151" s="53"/>
      <c r="CPV151" s="54"/>
      <c r="CPW151" s="52"/>
      <c r="CPX151" s="53"/>
      <c r="CPY151" s="54"/>
      <c r="CPZ151" s="52"/>
      <c r="CQA151" s="53"/>
      <c r="CQB151" s="8"/>
      <c r="CQC151" s="45"/>
      <c r="CQD151" s="45"/>
      <c r="CQE151" s="46"/>
      <c r="CQF151" s="44"/>
      <c r="CQG151" s="7"/>
      <c r="CQH151" s="51"/>
      <c r="CQI151" s="52"/>
      <c r="CQJ151" s="53"/>
      <c r="CQK151" s="54"/>
      <c r="CQL151" s="52"/>
      <c r="CQM151" s="53"/>
      <c r="CQN151" s="54"/>
      <c r="CQO151" s="52"/>
      <c r="CQP151" s="53"/>
      <c r="CQQ151" s="8"/>
      <c r="CQR151" s="45"/>
      <c r="CQS151" s="45"/>
      <c r="CQT151" s="46"/>
      <c r="CQU151" s="44"/>
      <c r="CQV151" s="7"/>
      <c r="CQW151" s="51"/>
      <c r="CQX151" s="52"/>
      <c r="CQY151" s="53"/>
      <c r="CQZ151" s="54"/>
      <c r="CRA151" s="52"/>
      <c r="CRB151" s="53"/>
      <c r="CRC151" s="54"/>
      <c r="CRD151" s="52"/>
      <c r="CRE151" s="53"/>
      <c r="CRF151" s="8"/>
      <c r="CRG151" s="45"/>
      <c r="CRH151" s="45"/>
      <c r="CRI151" s="46"/>
      <c r="CRJ151" s="44"/>
      <c r="CRK151" s="7"/>
      <c r="CRL151" s="51"/>
      <c r="CRM151" s="52"/>
      <c r="CRN151" s="53"/>
      <c r="CRO151" s="54"/>
      <c r="CRP151" s="52"/>
      <c r="CRQ151" s="53"/>
      <c r="CRR151" s="54"/>
      <c r="CRS151" s="52"/>
      <c r="CRT151" s="53"/>
      <c r="CRU151" s="8"/>
      <c r="CRV151" s="45"/>
      <c r="CRW151" s="45"/>
      <c r="CRX151" s="46"/>
      <c r="CRY151" s="44"/>
      <c r="CRZ151" s="7"/>
      <c r="CSA151" s="51"/>
      <c r="CSB151" s="52"/>
      <c r="CSC151" s="53"/>
      <c r="CSD151" s="54"/>
      <c r="CSE151" s="52"/>
      <c r="CSF151" s="53"/>
      <c r="CSG151" s="54"/>
      <c r="CSH151" s="52"/>
      <c r="CSI151" s="53"/>
      <c r="CSJ151" s="8"/>
      <c r="CSK151" s="45"/>
      <c r="CSL151" s="45"/>
      <c r="CSM151" s="46"/>
      <c r="CSN151" s="44"/>
      <c r="CSO151" s="7"/>
      <c r="CSP151" s="51"/>
      <c r="CSQ151" s="52"/>
      <c r="CSR151" s="53"/>
      <c r="CSS151" s="54"/>
      <c r="CST151" s="52"/>
      <c r="CSU151" s="53"/>
      <c r="CSV151" s="54"/>
      <c r="CSW151" s="52"/>
      <c r="CSX151" s="53"/>
      <c r="CSY151" s="8"/>
      <c r="CSZ151" s="45"/>
      <c r="CTA151" s="45"/>
      <c r="CTB151" s="46"/>
      <c r="CTC151" s="44"/>
      <c r="CTD151" s="7"/>
      <c r="CTE151" s="51"/>
      <c r="CTF151" s="52"/>
      <c r="CTG151" s="53"/>
      <c r="CTH151" s="54"/>
      <c r="CTI151" s="52"/>
      <c r="CTJ151" s="53"/>
      <c r="CTK151" s="54"/>
      <c r="CTL151" s="52"/>
      <c r="CTM151" s="53"/>
      <c r="CTN151" s="8"/>
      <c r="CTO151" s="45"/>
      <c r="CTP151" s="45"/>
      <c r="CTQ151" s="46"/>
      <c r="CTR151" s="44"/>
      <c r="CTS151" s="7"/>
      <c r="CTT151" s="51"/>
      <c r="CTU151" s="52"/>
      <c r="CTV151" s="53"/>
      <c r="CTW151" s="54"/>
      <c r="CTX151" s="52"/>
      <c r="CTY151" s="53"/>
      <c r="CTZ151" s="54"/>
      <c r="CUA151" s="52"/>
      <c r="CUB151" s="53"/>
      <c r="CUC151" s="8"/>
      <c r="CUD151" s="45"/>
      <c r="CUE151" s="45"/>
      <c r="CUF151" s="46"/>
      <c r="CUG151" s="44"/>
      <c r="CUH151" s="7"/>
      <c r="CUI151" s="51"/>
      <c r="CUJ151" s="52"/>
      <c r="CUK151" s="53"/>
      <c r="CUL151" s="54"/>
      <c r="CUM151" s="52"/>
      <c r="CUN151" s="53"/>
      <c r="CUO151" s="54"/>
      <c r="CUP151" s="52"/>
      <c r="CUQ151" s="53"/>
      <c r="CUR151" s="8"/>
      <c r="CUS151" s="45"/>
      <c r="CUT151" s="45"/>
      <c r="CUU151" s="46"/>
      <c r="CUV151" s="44"/>
      <c r="CUW151" s="7"/>
      <c r="CUX151" s="51"/>
      <c r="CUY151" s="52"/>
      <c r="CUZ151" s="53"/>
      <c r="CVA151" s="54"/>
      <c r="CVB151" s="52"/>
      <c r="CVC151" s="53"/>
      <c r="CVD151" s="54"/>
      <c r="CVE151" s="52"/>
      <c r="CVF151" s="53"/>
      <c r="CVG151" s="8"/>
      <c r="CVH151" s="45"/>
      <c r="CVI151" s="45"/>
      <c r="CVJ151" s="46"/>
      <c r="CVK151" s="44"/>
      <c r="CVL151" s="7"/>
      <c r="CVM151" s="51"/>
      <c r="CVN151" s="52"/>
      <c r="CVO151" s="53"/>
      <c r="CVP151" s="54"/>
      <c r="CVQ151" s="52"/>
      <c r="CVR151" s="53"/>
      <c r="CVS151" s="54"/>
      <c r="CVT151" s="52"/>
      <c r="CVU151" s="53"/>
      <c r="CVV151" s="8"/>
      <c r="CVW151" s="45"/>
      <c r="CVX151" s="45"/>
      <c r="CVY151" s="46"/>
      <c r="CVZ151" s="44"/>
      <c r="CWA151" s="7"/>
      <c r="CWB151" s="51"/>
      <c r="CWC151" s="52"/>
      <c r="CWD151" s="53"/>
      <c r="CWE151" s="54"/>
      <c r="CWF151" s="52"/>
      <c r="CWG151" s="53"/>
      <c r="CWH151" s="54"/>
      <c r="CWI151" s="52"/>
      <c r="CWJ151" s="53"/>
      <c r="CWK151" s="8"/>
      <c r="CWL151" s="45"/>
      <c r="CWM151" s="45"/>
      <c r="CWN151" s="46"/>
      <c r="CWO151" s="44"/>
      <c r="CWP151" s="7"/>
      <c r="CWQ151" s="51"/>
      <c r="CWR151" s="52"/>
      <c r="CWS151" s="53"/>
      <c r="CWT151" s="54"/>
      <c r="CWU151" s="52"/>
      <c r="CWV151" s="53"/>
      <c r="CWW151" s="54"/>
      <c r="CWX151" s="52"/>
      <c r="CWY151" s="53"/>
      <c r="CWZ151" s="8"/>
      <c r="CXA151" s="45"/>
      <c r="CXB151" s="45"/>
      <c r="CXC151" s="46"/>
      <c r="CXD151" s="44"/>
      <c r="CXE151" s="7"/>
      <c r="CXF151" s="51"/>
      <c r="CXG151" s="52"/>
      <c r="CXH151" s="53"/>
      <c r="CXI151" s="54"/>
      <c r="CXJ151" s="52"/>
      <c r="CXK151" s="53"/>
      <c r="CXL151" s="54"/>
      <c r="CXM151" s="52"/>
      <c r="CXN151" s="53"/>
      <c r="CXO151" s="8"/>
      <c r="CXP151" s="45"/>
      <c r="CXQ151" s="45"/>
      <c r="CXR151" s="46"/>
      <c r="CXS151" s="44"/>
      <c r="CXT151" s="7"/>
      <c r="CXU151" s="51"/>
      <c r="CXV151" s="52"/>
      <c r="CXW151" s="53"/>
      <c r="CXX151" s="54"/>
      <c r="CXY151" s="52"/>
      <c r="CXZ151" s="53"/>
      <c r="CYA151" s="54"/>
      <c r="CYB151" s="52"/>
      <c r="CYC151" s="53"/>
      <c r="CYD151" s="8"/>
      <c r="CYE151" s="45"/>
      <c r="CYF151" s="45"/>
      <c r="CYG151" s="46"/>
      <c r="CYH151" s="44"/>
      <c r="CYI151" s="7"/>
      <c r="CYJ151" s="51"/>
      <c r="CYK151" s="52"/>
      <c r="CYL151" s="53"/>
      <c r="CYM151" s="54"/>
      <c r="CYN151" s="52"/>
      <c r="CYO151" s="53"/>
      <c r="CYP151" s="54"/>
      <c r="CYQ151" s="52"/>
      <c r="CYR151" s="53"/>
      <c r="CYS151" s="8"/>
      <c r="CYT151" s="45"/>
      <c r="CYU151" s="45"/>
      <c r="CYV151" s="46"/>
      <c r="CYW151" s="44"/>
      <c r="CYX151" s="7"/>
      <c r="CYY151" s="51"/>
      <c r="CYZ151" s="52"/>
      <c r="CZA151" s="53"/>
      <c r="CZB151" s="54"/>
      <c r="CZC151" s="52"/>
      <c r="CZD151" s="53"/>
      <c r="CZE151" s="54"/>
      <c r="CZF151" s="52"/>
      <c r="CZG151" s="53"/>
      <c r="CZH151" s="8"/>
      <c r="CZI151" s="45"/>
      <c r="CZJ151" s="45"/>
      <c r="CZK151" s="46"/>
      <c r="CZL151" s="44"/>
      <c r="CZM151" s="7"/>
      <c r="CZN151" s="51"/>
      <c r="CZO151" s="52"/>
      <c r="CZP151" s="53"/>
      <c r="CZQ151" s="54"/>
      <c r="CZR151" s="52"/>
      <c r="CZS151" s="53"/>
      <c r="CZT151" s="54"/>
      <c r="CZU151" s="52"/>
      <c r="CZV151" s="53"/>
      <c r="CZW151" s="8"/>
      <c r="CZX151" s="45"/>
      <c r="CZY151" s="45"/>
      <c r="CZZ151" s="46"/>
      <c r="DAA151" s="44"/>
      <c r="DAB151" s="7"/>
      <c r="DAC151" s="51"/>
      <c r="DAD151" s="52"/>
      <c r="DAE151" s="53"/>
      <c r="DAF151" s="54"/>
      <c r="DAG151" s="52"/>
      <c r="DAH151" s="53"/>
      <c r="DAI151" s="54"/>
      <c r="DAJ151" s="52"/>
      <c r="DAK151" s="53"/>
      <c r="DAL151" s="8"/>
      <c r="DAM151" s="45"/>
      <c r="DAN151" s="45"/>
      <c r="DAO151" s="46"/>
      <c r="DAP151" s="44"/>
      <c r="DAQ151" s="7"/>
      <c r="DAR151" s="51"/>
      <c r="DAS151" s="52"/>
      <c r="DAT151" s="53"/>
      <c r="DAU151" s="54"/>
      <c r="DAV151" s="52"/>
      <c r="DAW151" s="53"/>
      <c r="DAX151" s="54"/>
      <c r="DAY151" s="52"/>
      <c r="DAZ151" s="53"/>
      <c r="DBA151" s="8"/>
      <c r="DBB151" s="45"/>
      <c r="DBC151" s="45"/>
      <c r="DBD151" s="46"/>
      <c r="DBE151" s="44"/>
      <c r="DBF151" s="7"/>
      <c r="DBG151" s="51"/>
      <c r="DBH151" s="52"/>
      <c r="DBI151" s="53"/>
      <c r="DBJ151" s="54"/>
      <c r="DBK151" s="52"/>
      <c r="DBL151" s="53"/>
      <c r="DBM151" s="54"/>
      <c r="DBN151" s="52"/>
      <c r="DBO151" s="53"/>
      <c r="DBP151" s="8"/>
      <c r="DBQ151" s="45"/>
      <c r="DBR151" s="45"/>
      <c r="DBS151" s="46"/>
      <c r="DBT151" s="44"/>
      <c r="DBU151" s="7"/>
      <c r="DBV151" s="51"/>
      <c r="DBW151" s="52"/>
      <c r="DBX151" s="53"/>
      <c r="DBY151" s="54"/>
      <c r="DBZ151" s="52"/>
      <c r="DCA151" s="53"/>
      <c r="DCB151" s="54"/>
      <c r="DCC151" s="52"/>
      <c r="DCD151" s="53"/>
      <c r="DCE151" s="8"/>
      <c r="DCF151" s="45"/>
      <c r="DCG151" s="45"/>
      <c r="DCH151" s="46"/>
      <c r="DCI151" s="44"/>
      <c r="DCJ151" s="7"/>
      <c r="DCK151" s="51"/>
      <c r="DCL151" s="52"/>
      <c r="DCM151" s="53"/>
      <c r="DCN151" s="54"/>
      <c r="DCO151" s="52"/>
      <c r="DCP151" s="53"/>
      <c r="DCQ151" s="54"/>
      <c r="DCR151" s="52"/>
      <c r="DCS151" s="53"/>
      <c r="DCT151" s="8"/>
      <c r="DCU151" s="45"/>
      <c r="DCV151" s="45"/>
      <c r="DCW151" s="46"/>
      <c r="DCX151" s="44"/>
      <c r="DCY151" s="7"/>
      <c r="DCZ151" s="51"/>
      <c r="DDA151" s="52"/>
      <c r="DDB151" s="53"/>
      <c r="DDC151" s="54"/>
      <c r="DDD151" s="52"/>
      <c r="DDE151" s="53"/>
      <c r="DDF151" s="54"/>
      <c r="DDG151" s="52"/>
      <c r="DDH151" s="53"/>
      <c r="DDI151" s="8"/>
      <c r="DDJ151" s="45"/>
      <c r="DDK151" s="45"/>
      <c r="DDL151" s="46"/>
      <c r="DDM151" s="44"/>
      <c r="DDN151" s="7"/>
      <c r="DDO151" s="51"/>
      <c r="DDP151" s="52"/>
      <c r="DDQ151" s="53"/>
      <c r="DDR151" s="54"/>
      <c r="DDS151" s="52"/>
      <c r="DDT151" s="53"/>
      <c r="DDU151" s="54"/>
      <c r="DDV151" s="52"/>
      <c r="DDW151" s="53"/>
      <c r="DDX151" s="8"/>
      <c r="DDY151" s="45"/>
      <c r="DDZ151" s="45"/>
      <c r="DEA151" s="46"/>
      <c r="DEB151" s="44"/>
      <c r="DEC151" s="7"/>
      <c r="DED151" s="51"/>
      <c r="DEE151" s="52"/>
      <c r="DEF151" s="53"/>
      <c r="DEG151" s="54"/>
      <c r="DEH151" s="52"/>
      <c r="DEI151" s="53"/>
      <c r="DEJ151" s="54"/>
      <c r="DEK151" s="52"/>
      <c r="DEL151" s="53"/>
      <c r="DEM151" s="8"/>
      <c r="DEN151" s="45"/>
      <c r="DEO151" s="45"/>
      <c r="DEP151" s="46"/>
      <c r="DEQ151" s="44"/>
      <c r="DER151" s="7"/>
      <c r="DES151" s="51"/>
      <c r="DET151" s="52"/>
      <c r="DEU151" s="53"/>
      <c r="DEV151" s="54"/>
      <c r="DEW151" s="52"/>
      <c r="DEX151" s="53"/>
      <c r="DEY151" s="54"/>
      <c r="DEZ151" s="52"/>
      <c r="DFA151" s="53"/>
      <c r="DFB151" s="8"/>
      <c r="DFC151" s="45"/>
      <c r="DFD151" s="45"/>
      <c r="DFE151" s="46"/>
      <c r="DFF151" s="44"/>
      <c r="DFG151" s="7"/>
      <c r="DFH151" s="51"/>
      <c r="DFI151" s="52"/>
      <c r="DFJ151" s="53"/>
      <c r="DFK151" s="54"/>
      <c r="DFL151" s="52"/>
      <c r="DFM151" s="53"/>
      <c r="DFN151" s="54"/>
      <c r="DFO151" s="52"/>
      <c r="DFP151" s="53"/>
      <c r="DFQ151" s="8"/>
      <c r="DFR151" s="45"/>
      <c r="DFS151" s="45"/>
      <c r="DFT151" s="46"/>
      <c r="DFU151" s="44"/>
      <c r="DFV151" s="7"/>
      <c r="DFW151" s="51"/>
      <c r="DFX151" s="52"/>
      <c r="DFY151" s="53"/>
      <c r="DFZ151" s="54"/>
      <c r="DGA151" s="52"/>
      <c r="DGB151" s="53"/>
      <c r="DGC151" s="54"/>
      <c r="DGD151" s="52"/>
      <c r="DGE151" s="53"/>
      <c r="DGF151" s="8"/>
      <c r="DGG151" s="45"/>
      <c r="DGH151" s="45"/>
      <c r="DGI151" s="46"/>
      <c r="DGJ151" s="44"/>
      <c r="DGK151" s="7"/>
      <c r="DGL151" s="51"/>
      <c r="DGM151" s="52"/>
      <c r="DGN151" s="53"/>
      <c r="DGO151" s="54"/>
      <c r="DGP151" s="52"/>
      <c r="DGQ151" s="53"/>
      <c r="DGR151" s="54"/>
      <c r="DGS151" s="52"/>
      <c r="DGT151" s="53"/>
      <c r="DGU151" s="8"/>
      <c r="DGV151" s="45"/>
      <c r="DGW151" s="45"/>
      <c r="DGX151" s="46"/>
      <c r="DGY151" s="44"/>
      <c r="DGZ151" s="7"/>
      <c r="DHA151" s="51"/>
      <c r="DHB151" s="52"/>
      <c r="DHC151" s="53"/>
      <c r="DHD151" s="54"/>
      <c r="DHE151" s="52"/>
      <c r="DHF151" s="53"/>
      <c r="DHG151" s="54"/>
      <c r="DHH151" s="52"/>
      <c r="DHI151" s="53"/>
      <c r="DHJ151" s="8"/>
      <c r="DHK151" s="45"/>
      <c r="DHL151" s="45"/>
      <c r="DHM151" s="46"/>
      <c r="DHN151" s="44"/>
      <c r="DHO151" s="7"/>
      <c r="DHP151" s="51"/>
      <c r="DHQ151" s="52"/>
      <c r="DHR151" s="53"/>
      <c r="DHS151" s="54"/>
      <c r="DHT151" s="52"/>
      <c r="DHU151" s="53"/>
      <c r="DHV151" s="54"/>
      <c r="DHW151" s="52"/>
      <c r="DHX151" s="53"/>
      <c r="DHY151" s="8"/>
      <c r="DHZ151" s="45"/>
      <c r="DIA151" s="45"/>
      <c r="DIB151" s="46"/>
      <c r="DIC151" s="44"/>
      <c r="DID151" s="7"/>
      <c r="DIE151" s="51"/>
      <c r="DIF151" s="52"/>
      <c r="DIG151" s="53"/>
      <c r="DIH151" s="54"/>
      <c r="DII151" s="52"/>
      <c r="DIJ151" s="53"/>
      <c r="DIK151" s="54"/>
      <c r="DIL151" s="52"/>
      <c r="DIM151" s="53"/>
      <c r="DIN151" s="8"/>
      <c r="DIO151" s="45"/>
      <c r="DIP151" s="45"/>
      <c r="DIQ151" s="46"/>
      <c r="DIR151" s="44"/>
      <c r="DIS151" s="7"/>
      <c r="DIT151" s="51"/>
      <c r="DIU151" s="52"/>
      <c r="DIV151" s="53"/>
      <c r="DIW151" s="54"/>
      <c r="DIX151" s="52"/>
      <c r="DIY151" s="53"/>
      <c r="DIZ151" s="54"/>
      <c r="DJA151" s="52"/>
      <c r="DJB151" s="53"/>
      <c r="DJC151" s="8"/>
      <c r="DJD151" s="45"/>
      <c r="DJE151" s="45"/>
      <c r="DJF151" s="46"/>
      <c r="DJG151" s="44"/>
      <c r="DJH151" s="7"/>
      <c r="DJI151" s="51"/>
      <c r="DJJ151" s="52"/>
      <c r="DJK151" s="53"/>
      <c r="DJL151" s="54"/>
      <c r="DJM151" s="52"/>
      <c r="DJN151" s="53"/>
      <c r="DJO151" s="54"/>
      <c r="DJP151" s="52"/>
      <c r="DJQ151" s="53"/>
      <c r="DJR151" s="8"/>
      <c r="DJS151" s="45"/>
      <c r="DJT151" s="45"/>
      <c r="DJU151" s="46"/>
      <c r="DJV151" s="44"/>
      <c r="DJW151" s="7"/>
      <c r="DJX151" s="51"/>
      <c r="DJY151" s="52"/>
      <c r="DJZ151" s="53"/>
      <c r="DKA151" s="54"/>
      <c r="DKB151" s="52"/>
      <c r="DKC151" s="53"/>
      <c r="DKD151" s="54"/>
      <c r="DKE151" s="52"/>
      <c r="DKF151" s="53"/>
      <c r="DKG151" s="8"/>
      <c r="DKH151" s="45"/>
      <c r="DKI151" s="45"/>
      <c r="DKJ151" s="46"/>
      <c r="DKK151" s="44"/>
      <c r="DKL151" s="7"/>
      <c r="DKM151" s="51"/>
      <c r="DKN151" s="52"/>
      <c r="DKO151" s="53"/>
      <c r="DKP151" s="54"/>
      <c r="DKQ151" s="52"/>
      <c r="DKR151" s="53"/>
      <c r="DKS151" s="54"/>
      <c r="DKT151" s="52"/>
      <c r="DKU151" s="53"/>
      <c r="DKV151" s="8"/>
      <c r="DKW151" s="45"/>
      <c r="DKX151" s="45"/>
      <c r="DKY151" s="46"/>
      <c r="DKZ151" s="44"/>
      <c r="DLA151" s="7"/>
      <c r="DLB151" s="51"/>
      <c r="DLC151" s="52"/>
      <c r="DLD151" s="53"/>
      <c r="DLE151" s="54"/>
      <c r="DLF151" s="52"/>
      <c r="DLG151" s="53"/>
      <c r="DLH151" s="54"/>
      <c r="DLI151" s="52"/>
      <c r="DLJ151" s="53"/>
      <c r="DLK151" s="8"/>
      <c r="DLL151" s="45"/>
      <c r="DLM151" s="45"/>
      <c r="DLN151" s="46"/>
      <c r="DLO151" s="44"/>
      <c r="DLP151" s="7"/>
      <c r="DLQ151" s="51"/>
      <c r="DLR151" s="52"/>
      <c r="DLS151" s="53"/>
      <c r="DLT151" s="54"/>
      <c r="DLU151" s="52"/>
      <c r="DLV151" s="53"/>
      <c r="DLW151" s="54"/>
      <c r="DLX151" s="52"/>
      <c r="DLY151" s="53"/>
      <c r="DLZ151" s="8"/>
      <c r="DMA151" s="45"/>
      <c r="DMB151" s="45"/>
      <c r="DMC151" s="46"/>
      <c r="DMD151" s="44"/>
      <c r="DME151" s="7"/>
      <c r="DMF151" s="51"/>
      <c r="DMG151" s="52"/>
      <c r="DMH151" s="53"/>
      <c r="DMI151" s="54"/>
      <c r="DMJ151" s="52"/>
      <c r="DMK151" s="53"/>
      <c r="DML151" s="54"/>
      <c r="DMM151" s="52"/>
      <c r="DMN151" s="53"/>
      <c r="DMO151" s="8"/>
      <c r="DMP151" s="45"/>
      <c r="DMQ151" s="45"/>
      <c r="DMR151" s="46"/>
      <c r="DMS151" s="44"/>
      <c r="DMT151" s="7"/>
      <c r="DMU151" s="51"/>
      <c r="DMV151" s="52"/>
      <c r="DMW151" s="53"/>
      <c r="DMX151" s="54"/>
      <c r="DMY151" s="52"/>
      <c r="DMZ151" s="53"/>
      <c r="DNA151" s="54"/>
      <c r="DNB151" s="52"/>
      <c r="DNC151" s="53"/>
      <c r="DND151" s="8"/>
      <c r="DNE151" s="45"/>
      <c r="DNF151" s="45"/>
      <c r="DNG151" s="46"/>
      <c r="DNH151" s="44"/>
      <c r="DNI151" s="7"/>
      <c r="DNJ151" s="51"/>
      <c r="DNK151" s="52"/>
      <c r="DNL151" s="53"/>
      <c r="DNM151" s="54"/>
      <c r="DNN151" s="52"/>
      <c r="DNO151" s="53"/>
      <c r="DNP151" s="54"/>
      <c r="DNQ151" s="52"/>
      <c r="DNR151" s="53"/>
      <c r="DNS151" s="8"/>
      <c r="DNT151" s="45"/>
      <c r="DNU151" s="45"/>
      <c r="DNV151" s="46"/>
      <c r="DNW151" s="44"/>
      <c r="DNX151" s="7"/>
      <c r="DNY151" s="51"/>
      <c r="DNZ151" s="52"/>
      <c r="DOA151" s="53"/>
      <c r="DOB151" s="54"/>
      <c r="DOC151" s="52"/>
      <c r="DOD151" s="53"/>
      <c r="DOE151" s="54"/>
      <c r="DOF151" s="52"/>
      <c r="DOG151" s="53"/>
      <c r="DOH151" s="8"/>
      <c r="DOI151" s="45"/>
      <c r="DOJ151" s="45"/>
      <c r="DOK151" s="46"/>
      <c r="DOL151" s="44"/>
      <c r="DOM151" s="7"/>
      <c r="DON151" s="51"/>
      <c r="DOO151" s="52"/>
      <c r="DOP151" s="53"/>
      <c r="DOQ151" s="54"/>
      <c r="DOR151" s="52"/>
      <c r="DOS151" s="53"/>
      <c r="DOT151" s="54"/>
      <c r="DOU151" s="52"/>
      <c r="DOV151" s="53"/>
      <c r="DOW151" s="8"/>
      <c r="DOX151" s="45"/>
      <c r="DOY151" s="45"/>
      <c r="DOZ151" s="46"/>
      <c r="DPA151" s="44"/>
      <c r="DPB151" s="7"/>
      <c r="DPC151" s="51"/>
      <c r="DPD151" s="52"/>
      <c r="DPE151" s="53"/>
      <c r="DPF151" s="54"/>
      <c r="DPG151" s="52"/>
      <c r="DPH151" s="53"/>
      <c r="DPI151" s="54"/>
      <c r="DPJ151" s="52"/>
      <c r="DPK151" s="53"/>
      <c r="DPL151" s="8"/>
      <c r="DPM151" s="45"/>
      <c r="DPN151" s="45"/>
      <c r="DPO151" s="46"/>
      <c r="DPP151" s="44"/>
      <c r="DPQ151" s="7"/>
      <c r="DPR151" s="51"/>
      <c r="DPS151" s="52"/>
      <c r="DPT151" s="53"/>
      <c r="DPU151" s="54"/>
      <c r="DPV151" s="52"/>
      <c r="DPW151" s="53"/>
      <c r="DPX151" s="54"/>
      <c r="DPY151" s="52"/>
      <c r="DPZ151" s="53"/>
      <c r="DQA151" s="8"/>
      <c r="DQB151" s="45"/>
      <c r="DQC151" s="45"/>
      <c r="DQD151" s="46"/>
      <c r="DQE151" s="44"/>
      <c r="DQF151" s="7"/>
      <c r="DQG151" s="51"/>
      <c r="DQH151" s="52"/>
      <c r="DQI151" s="53"/>
      <c r="DQJ151" s="54"/>
      <c r="DQK151" s="52"/>
      <c r="DQL151" s="53"/>
      <c r="DQM151" s="54"/>
      <c r="DQN151" s="52"/>
      <c r="DQO151" s="53"/>
      <c r="DQP151" s="8"/>
      <c r="DQQ151" s="45"/>
      <c r="DQR151" s="45"/>
      <c r="DQS151" s="46"/>
      <c r="DQT151" s="44"/>
      <c r="DQU151" s="7"/>
      <c r="DQV151" s="51"/>
      <c r="DQW151" s="52"/>
      <c r="DQX151" s="53"/>
      <c r="DQY151" s="54"/>
      <c r="DQZ151" s="52"/>
      <c r="DRA151" s="53"/>
      <c r="DRB151" s="54"/>
      <c r="DRC151" s="52"/>
      <c r="DRD151" s="53"/>
      <c r="DRE151" s="8"/>
      <c r="DRF151" s="45"/>
      <c r="DRG151" s="45"/>
      <c r="DRH151" s="46"/>
      <c r="DRI151" s="44"/>
      <c r="DRJ151" s="7"/>
      <c r="DRK151" s="51"/>
      <c r="DRL151" s="52"/>
      <c r="DRM151" s="53"/>
      <c r="DRN151" s="54"/>
      <c r="DRO151" s="52"/>
      <c r="DRP151" s="53"/>
      <c r="DRQ151" s="54"/>
      <c r="DRR151" s="52"/>
      <c r="DRS151" s="53"/>
      <c r="DRT151" s="8"/>
      <c r="DRU151" s="45"/>
      <c r="DRV151" s="45"/>
      <c r="DRW151" s="46"/>
      <c r="DRX151" s="44"/>
      <c r="DRY151" s="7"/>
      <c r="DRZ151" s="51"/>
      <c r="DSA151" s="52"/>
      <c r="DSB151" s="53"/>
      <c r="DSC151" s="54"/>
      <c r="DSD151" s="52"/>
      <c r="DSE151" s="53"/>
      <c r="DSF151" s="54"/>
      <c r="DSG151" s="52"/>
      <c r="DSH151" s="53"/>
      <c r="DSI151" s="8"/>
      <c r="DSJ151" s="45"/>
      <c r="DSK151" s="45"/>
      <c r="DSL151" s="46"/>
      <c r="DSM151" s="44"/>
      <c r="DSN151" s="7"/>
      <c r="DSO151" s="51"/>
      <c r="DSP151" s="52"/>
      <c r="DSQ151" s="53"/>
      <c r="DSR151" s="54"/>
      <c r="DSS151" s="52"/>
      <c r="DST151" s="53"/>
      <c r="DSU151" s="54"/>
      <c r="DSV151" s="52"/>
      <c r="DSW151" s="53"/>
      <c r="DSX151" s="8"/>
      <c r="DSY151" s="45"/>
      <c r="DSZ151" s="45"/>
      <c r="DTA151" s="46"/>
      <c r="DTB151" s="44"/>
      <c r="DTC151" s="7"/>
      <c r="DTD151" s="51"/>
      <c r="DTE151" s="52"/>
      <c r="DTF151" s="53"/>
      <c r="DTG151" s="54"/>
      <c r="DTH151" s="52"/>
      <c r="DTI151" s="53"/>
      <c r="DTJ151" s="54"/>
      <c r="DTK151" s="52"/>
      <c r="DTL151" s="53"/>
      <c r="DTM151" s="8"/>
      <c r="DTN151" s="45"/>
      <c r="DTO151" s="45"/>
      <c r="DTP151" s="46"/>
      <c r="DTQ151" s="44"/>
      <c r="DTR151" s="7"/>
      <c r="DTS151" s="51"/>
      <c r="DTT151" s="52"/>
      <c r="DTU151" s="53"/>
      <c r="DTV151" s="54"/>
      <c r="DTW151" s="52"/>
      <c r="DTX151" s="53"/>
      <c r="DTY151" s="54"/>
      <c r="DTZ151" s="52"/>
      <c r="DUA151" s="53"/>
      <c r="DUB151" s="8"/>
      <c r="DUC151" s="45"/>
      <c r="DUD151" s="45"/>
      <c r="DUE151" s="46"/>
      <c r="DUF151" s="44"/>
      <c r="DUG151" s="7"/>
      <c r="DUH151" s="51"/>
      <c r="DUI151" s="52"/>
      <c r="DUJ151" s="53"/>
      <c r="DUK151" s="54"/>
      <c r="DUL151" s="52"/>
      <c r="DUM151" s="53"/>
      <c r="DUN151" s="54"/>
      <c r="DUO151" s="52"/>
      <c r="DUP151" s="53"/>
      <c r="DUQ151" s="8"/>
      <c r="DUR151" s="45"/>
      <c r="DUS151" s="45"/>
      <c r="DUT151" s="46"/>
      <c r="DUU151" s="44"/>
      <c r="DUV151" s="7"/>
      <c r="DUW151" s="51"/>
      <c r="DUX151" s="52"/>
      <c r="DUY151" s="53"/>
      <c r="DUZ151" s="54"/>
      <c r="DVA151" s="52"/>
      <c r="DVB151" s="53"/>
      <c r="DVC151" s="54"/>
      <c r="DVD151" s="52"/>
      <c r="DVE151" s="53"/>
      <c r="DVF151" s="8"/>
      <c r="DVG151" s="45"/>
      <c r="DVH151" s="45"/>
      <c r="DVI151" s="46"/>
      <c r="DVJ151" s="44"/>
      <c r="DVK151" s="7"/>
      <c r="DVL151" s="51"/>
      <c r="DVM151" s="52"/>
      <c r="DVN151" s="53"/>
      <c r="DVO151" s="54"/>
      <c r="DVP151" s="52"/>
      <c r="DVQ151" s="53"/>
      <c r="DVR151" s="54"/>
      <c r="DVS151" s="52"/>
      <c r="DVT151" s="53"/>
      <c r="DVU151" s="8"/>
      <c r="DVV151" s="45"/>
      <c r="DVW151" s="45"/>
      <c r="DVX151" s="46"/>
      <c r="DVY151" s="44"/>
      <c r="DVZ151" s="7"/>
      <c r="DWA151" s="51"/>
      <c r="DWB151" s="52"/>
      <c r="DWC151" s="53"/>
      <c r="DWD151" s="54"/>
      <c r="DWE151" s="52"/>
      <c r="DWF151" s="53"/>
      <c r="DWG151" s="54"/>
      <c r="DWH151" s="52"/>
      <c r="DWI151" s="53"/>
      <c r="DWJ151" s="8"/>
      <c r="DWK151" s="45"/>
      <c r="DWL151" s="45"/>
      <c r="DWM151" s="46"/>
      <c r="DWN151" s="44"/>
      <c r="DWO151" s="7"/>
      <c r="DWP151" s="51"/>
      <c r="DWQ151" s="52"/>
      <c r="DWR151" s="53"/>
      <c r="DWS151" s="54"/>
      <c r="DWT151" s="52"/>
      <c r="DWU151" s="53"/>
      <c r="DWV151" s="54"/>
      <c r="DWW151" s="52"/>
      <c r="DWX151" s="53"/>
      <c r="DWY151" s="8"/>
      <c r="DWZ151" s="45"/>
      <c r="DXA151" s="45"/>
      <c r="DXB151" s="46"/>
      <c r="DXC151" s="44"/>
      <c r="DXD151" s="7"/>
      <c r="DXE151" s="51"/>
      <c r="DXF151" s="52"/>
      <c r="DXG151" s="53"/>
      <c r="DXH151" s="54"/>
      <c r="DXI151" s="52"/>
      <c r="DXJ151" s="53"/>
      <c r="DXK151" s="54"/>
      <c r="DXL151" s="52"/>
      <c r="DXM151" s="53"/>
      <c r="DXN151" s="8"/>
      <c r="DXO151" s="45"/>
      <c r="DXP151" s="45"/>
      <c r="DXQ151" s="46"/>
      <c r="DXR151" s="44"/>
      <c r="DXS151" s="7"/>
      <c r="DXT151" s="51"/>
      <c r="DXU151" s="52"/>
      <c r="DXV151" s="53"/>
      <c r="DXW151" s="54"/>
      <c r="DXX151" s="52"/>
      <c r="DXY151" s="53"/>
      <c r="DXZ151" s="54"/>
      <c r="DYA151" s="52"/>
      <c r="DYB151" s="53"/>
      <c r="DYC151" s="8"/>
      <c r="DYD151" s="45"/>
      <c r="DYE151" s="45"/>
      <c r="DYF151" s="46"/>
      <c r="DYG151" s="44"/>
      <c r="DYH151" s="7"/>
      <c r="DYI151" s="51"/>
      <c r="DYJ151" s="52"/>
      <c r="DYK151" s="53"/>
      <c r="DYL151" s="54"/>
      <c r="DYM151" s="52"/>
      <c r="DYN151" s="53"/>
      <c r="DYO151" s="54"/>
      <c r="DYP151" s="52"/>
      <c r="DYQ151" s="53"/>
      <c r="DYR151" s="8"/>
      <c r="DYS151" s="45"/>
      <c r="DYT151" s="45"/>
      <c r="DYU151" s="46"/>
      <c r="DYV151" s="44"/>
      <c r="DYW151" s="7"/>
      <c r="DYX151" s="51"/>
      <c r="DYY151" s="52"/>
      <c r="DYZ151" s="53"/>
      <c r="DZA151" s="54"/>
      <c r="DZB151" s="52"/>
      <c r="DZC151" s="53"/>
      <c r="DZD151" s="54"/>
      <c r="DZE151" s="52"/>
      <c r="DZF151" s="53"/>
      <c r="DZG151" s="8"/>
      <c r="DZH151" s="45"/>
      <c r="DZI151" s="45"/>
      <c r="DZJ151" s="46"/>
      <c r="DZK151" s="44"/>
      <c r="DZL151" s="7"/>
      <c r="DZM151" s="51"/>
      <c r="DZN151" s="52"/>
      <c r="DZO151" s="53"/>
      <c r="DZP151" s="54"/>
      <c r="DZQ151" s="52"/>
      <c r="DZR151" s="53"/>
      <c r="DZS151" s="54"/>
      <c r="DZT151" s="52"/>
      <c r="DZU151" s="53"/>
      <c r="DZV151" s="8"/>
      <c r="DZW151" s="45"/>
      <c r="DZX151" s="45"/>
      <c r="DZY151" s="46"/>
      <c r="DZZ151" s="44"/>
      <c r="EAA151" s="7"/>
      <c r="EAB151" s="51"/>
      <c r="EAC151" s="52"/>
      <c r="EAD151" s="53"/>
      <c r="EAE151" s="54"/>
      <c r="EAF151" s="52"/>
      <c r="EAG151" s="53"/>
      <c r="EAH151" s="54"/>
      <c r="EAI151" s="52"/>
      <c r="EAJ151" s="53"/>
      <c r="EAK151" s="8"/>
      <c r="EAL151" s="45"/>
      <c r="EAM151" s="45"/>
      <c r="EAN151" s="46"/>
      <c r="EAO151" s="44"/>
      <c r="EAP151" s="7"/>
      <c r="EAQ151" s="51"/>
      <c r="EAR151" s="52"/>
      <c r="EAS151" s="53"/>
      <c r="EAT151" s="54"/>
      <c r="EAU151" s="52"/>
      <c r="EAV151" s="53"/>
      <c r="EAW151" s="54"/>
      <c r="EAX151" s="52"/>
      <c r="EAY151" s="53"/>
      <c r="EAZ151" s="8"/>
      <c r="EBA151" s="45"/>
      <c r="EBB151" s="45"/>
      <c r="EBC151" s="46"/>
      <c r="EBD151" s="44"/>
      <c r="EBE151" s="7"/>
      <c r="EBF151" s="51"/>
      <c r="EBG151" s="52"/>
      <c r="EBH151" s="53"/>
      <c r="EBI151" s="54"/>
      <c r="EBJ151" s="52"/>
      <c r="EBK151" s="53"/>
      <c r="EBL151" s="54"/>
      <c r="EBM151" s="52"/>
      <c r="EBN151" s="53"/>
      <c r="EBO151" s="8"/>
      <c r="EBP151" s="45"/>
      <c r="EBQ151" s="45"/>
      <c r="EBR151" s="46"/>
      <c r="EBS151" s="44"/>
      <c r="EBT151" s="7"/>
      <c r="EBU151" s="51"/>
      <c r="EBV151" s="52"/>
      <c r="EBW151" s="53"/>
      <c r="EBX151" s="54"/>
      <c r="EBY151" s="52"/>
      <c r="EBZ151" s="53"/>
      <c r="ECA151" s="54"/>
      <c r="ECB151" s="52"/>
      <c r="ECC151" s="53"/>
      <c r="ECD151" s="8"/>
      <c r="ECE151" s="45"/>
      <c r="ECF151" s="45"/>
      <c r="ECG151" s="46"/>
      <c r="ECH151" s="44"/>
      <c r="ECI151" s="7"/>
      <c r="ECJ151" s="51"/>
      <c r="ECK151" s="52"/>
      <c r="ECL151" s="53"/>
      <c r="ECM151" s="54"/>
      <c r="ECN151" s="52"/>
      <c r="ECO151" s="53"/>
      <c r="ECP151" s="54"/>
      <c r="ECQ151" s="52"/>
      <c r="ECR151" s="53"/>
      <c r="ECS151" s="8"/>
      <c r="ECT151" s="45"/>
      <c r="ECU151" s="45"/>
      <c r="ECV151" s="46"/>
      <c r="ECW151" s="44"/>
      <c r="ECX151" s="7"/>
      <c r="ECY151" s="51"/>
      <c r="ECZ151" s="52"/>
      <c r="EDA151" s="53"/>
      <c r="EDB151" s="54"/>
      <c r="EDC151" s="52"/>
      <c r="EDD151" s="53"/>
      <c r="EDE151" s="54"/>
      <c r="EDF151" s="52"/>
      <c r="EDG151" s="53"/>
      <c r="EDH151" s="8"/>
      <c r="EDI151" s="45"/>
      <c r="EDJ151" s="45"/>
      <c r="EDK151" s="46"/>
      <c r="EDL151" s="44"/>
      <c r="EDM151" s="7"/>
      <c r="EDN151" s="51"/>
      <c r="EDO151" s="52"/>
      <c r="EDP151" s="53"/>
      <c r="EDQ151" s="54"/>
      <c r="EDR151" s="52"/>
      <c r="EDS151" s="53"/>
      <c r="EDT151" s="54"/>
      <c r="EDU151" s="52"/>
      <c r="EDV151" s="53"/>
      <c r="EDW151" s="8"/>
      <c r="EDX151" s="45"/>
      <c r="EDY151" s="45"/>
      <c r="EDZ151" s="46"/>
      <c r="EEA151" s="44"/>
      <c r="EEB151" s="7"/>
      <c r="EEC151" s="51"/>
      <c r="EED151" s="52"/>
      <c r="EEE151" s="53"/>
      <c r="EEF151" s="54"/>
      <c r="EEG151" s="52"/>
      <c r="EEH151" s="53"/>
      <c r="EEI151" s="54"/>
      <c r="EEJ151" s="52"/>
      <c r="EEK151" s="53"/>
      <c r="EEL151" s="8"/>
      <c r="EEM151" s="45"/>
      <c r="EEN151" s="45"/>
      <c r="EEO151" s="46"/>
      <c r="EEP151" s="44"/>
      <c r="EEQ151" s="7"/>
      <c r="EER151" s="51"/>
      <c r="EES151" s="52"/>
      <c r="EET151" s="53"/>
      <c r="EEU151" s="54"/>
      <c r="EEV151" s="52"/>
      <c r="EEW151" s="53"/>
      <c r="EEX151" s="54"/>
      <c r="EEY151" s="52"/>
      <c r="EEZ151" s="53"/>
      <c r="EFA151" s="8"/>
      <c r="EFB151" s="45"/>
      <c r="EFC151" s="45"/>
      <c r="EFD151" s="46"/>
      <c r="EFE151" s="44"/>
      <c r="EFF151" s="7"/>
      <c r="EFG151" s="51"/>
      <c r="EFH151" s="52"/>
      <c r="EFI151" s="53"/>
      <c r="EFJ151" s="54"/>
      <c r="EFK151" s="52"/>
      <c r="EFL151" s="53"/>
      <c r="EFM151" s="54"/>
      <c r="EFN151" s="52"/>
      <c r="EFO151" s="53"/>
      <c r="EFP151" s="8"/>
      <c r="EFQ151" s="45"/>
      <c r="EFR151" s="45"/>
      <c r="EFS151" s="46"/>
      <c r="EFT151" s="44"/>
      <c r="EFU151" s="7"/>
      <c r="EFV151" s="51"/>
      <c r="EFW151" s="52"/>
      <c r="EFX151" s="53"/>
      <c r="EFY151" s="54"/>
      <c r="EFZ151" s="52"/>
      <c r="EGA151" s="53"/>
      <c r="EGB151" s="54"/>
      <c r="EGC151" s="52"/>
      <c r="EGD151" s="53"/>
      <c r="EGE151" s="8"/>
      <c r="EGF151" s="45"/>
      <c r="EGG151" s="45"/>
      <c r="EGH151" s="46"/>
      <c r="EGI151" s="44"/>
      <c r="EGJ151" s="7"/>
      <c r="EGK151" s="51"/>
      <c r="EGL151" s="52"/>
      <c r="EGM151" s="53"/>
      <c r="EGN151" s="54"/>
      <c r="EGO151" s="52"/>
      <c r="EGP151" s="53"/>
      <c r="EGQ151" s="54"/>
      <c r="EGR151" s="52"/>
      <c r="EGS151" s="53"/>
      <c r="EGT151" s="8"/>
      <c r="EGU151" s="45"/>
      <c r="EGV151" s="45"/>
      <c r="EGW151" s="46"/>
      <c r="EGX151" s="44"/>
      <c r="EGY151" s="7"/>
      <c r="EGZ151" s="51"/>
      <c r="EHA151" s="52"/>
      <c r="EHB151" s="53"/>
      <c r="EHC151" s="54"/>
      <c r="EHD151" s="52"/>
      <c r="EHE151" s="53"/>
      <c r="EHF151" s="54"/>
      <c r="EHG151" s="52"/>
      <c r="EHH151" s="53"/>
      <c r="EHI151" s="8"/>
      <c r="EHJ151" s="45"/>
      <c r="EHK151" s="45"/>
      <c r="EHL151" s="46"/>
      <c r="EHM151" s="44"/>
      <c r="EHN151" s="7"/>
      <c r="EHO151" s="51"/>
      <c r="EHP151" s="52"/>
      <c r="EHQ151" s="53"/>
      <c r="EHR151" s="54"/>
      <c r="EHS151" s="52"/>
      <c r="EHT151" s="53"/>
      <c r="EHU151" s="54"/>
      <c r="EHV151" s="52"/>
      <c r="EHW151" s="53"/>
      <c r="EHX151" s="8"/>
      <c r="EHY151" s="45"/>
      <c r="EHZ151" s="45"/>
      <c r="EIA151" s="46"/>
      <c r="EIB151" s="44"/>
      <c r="EIC151" s="7"/>
      <c r="EID151" s="51"/>
      <c r="EIE151" s="52"/>
      <c r="EIF151" s="53"/>
      <c r="EIG151" s="54"/>
      <c r="EIH151" s="52"/>
      <c r="EII151" s="53"/>
      <c r="EIJ151" s="54"/>
      <c r="EIK151" s="52"/>
      <c r="EIL151" s="53"/>
      <c r="EIM151" s="8"/>
      <c r="EIN151" s="45"/>
      <c r="EIO151" s="45"/>
      <c r="EIP151" s="46"/>
      <c r="EIQ151" s="44"/>
      <c r="EIR151" s="7"/>
      <c r="EIS151" s="51"/>
      <c r="EIT151" s="52"/>
      <c r="EIU151" s="53"/>
      <c r="EIV151" s="54"/>
      <c r="EIW151" s="52"/>
      <c r="EIX151" s="53"/>
      <c r="EIY151" s="54"/>
      <c r="EIZ151" s="52"/>
      <c r="EJA151" s="53"/>
      <c r="EJB151" s="8"/>
      <c r="EJC151" s="45"/>
      <c r="EJD151" s="45"/>
      <c r="EJE151" s="46"/>
      <c r="EJF151" s="44"/>
      <c r="EJG151" s="7"/>
      <c r="EJH151" s="51"/>
      <c r="EJI151" s="52"/>
      <c r="EJJ151" s="53"/>
      <c r="EJK151" s="54"/>
      <c r="EJL151" s="52"/>
      <c r="EJM151" s="53"/>
      <c r="EJN151" s="54"/>
      <c r="EJO151" s="52"/>
      <c r="EJP151" s="53"/>
      <c r="EJQ151" s="8"/>
      <c r="EJR151" s="45"/>
      <c r="EJS151" s="45"/>
      <c r="EJT151" s="46"/>
      <c r="EJU151" s="44"/>
      <c r="EJV151" s="7"/>
      <c r="EJW151" s="51"/>
      <c r="EJX151" s="52"/>
      <c r="EJY151" s="53"/>
      <c r="EJZ151" s="54"/>
      <c r="EKA151" s="52"/>
      <c r="EKB151" s="53"/>
      <c r="EKC151" s="54"/>
      <c r="EKD151" s="52"/>
      <c r="EKE151" s="53"/>
      <c r="EKF151" s="8"/>
      <c r="EKG151" s="45"/>
      <c r="EKH151" s="45"/>
      <c r="EKI151" s="46"/>
      <c r="EKJ151" s="44"/>
      <c r="EKK151" s="7"/>
      <c r="EKL151" s="51"/>
      <c r="EKM151" s="52"/>
      <c r="EKN151" s="53"/>
      <c r="EKO151" s="54"/>
      <c r="EKP151" s="52"/>
      <c r="EKQ151" s="53"/>
      <c r="EKR151" s="54"/>
      <c r="EKS151" s="52"/>
      <c r="EKT151" s="53"/>
      <c r="EKU151" s="8"/>
      <c r="EKV151" s="45"/>
      <c r="EKW151" s="45"/>
      <c r="EKX151" s="46"/>
      <c r="EKY151" s="44"/>
      <c r="EKZ151" s="7"/>
      <c r="ELA151" s="51"/>
      <c r="ELB151" s="52"/>
      <c r="ELC151" s="53"/>
      <c r="ELD151" s="54"/>
      <c r="ELE151" s="52"/>
      <c r="ELF151" s="53"/>
      <c r="ELG151" s="54"/>
      <c r="ELH151" s="52"/>
      <c r="ELI151" s="53"/>
      <c r="ELJ151" s="8"/>
      <c r="ELK151" s="45"/>
      <c r="ELL151" s="45"/>
      <c r="ELM151" s="46"/>
      <c r="ELN151" s="44"/>
      <c r="ELO151" s="7"/>
      <c r="ELP151" s="51"/>
      <c r="ELQ151" s="52"/>
      <c r="ELR151" s="53"/>
      <c r="ELS151" s="54"/>
      <c r="ELT151" s="52"/>
      <c r="ELU151" s="53"/>
      <c r="ELV151" s="54"/>
      <c r="ELW151" s="52"/>
      <c r="ELX151" s="53"/>
      <c r="ELY151" s="8"/>
      <c r="ELZ151" s="45"/>
      <c r="EMA151" s="45"/>
      <c r="EMB151" s="46"/>
      <c r="EMC151" s="44"/>
      <c r="EMD151" s="7"/>
      <c r="EME151" s="51"/>
      <c r="EMF151" s="52"/>
      <c r="EMG151" s="53"/>
      <c r="EMH151" s="54"/>
      <c r="EMI151" s="52"/>
      <c r="EMJ151" s="53"/>
      <c r="EMK151" s="54"/>
      <c r="EML151" s="52"/>
      <c r="EMM151" s="53"/>
      <c r="EMN151" s="8"/>
      <c r="EMO151" s="45"/>
      <c r="EMP151" s="45"/>
      <c r="EMQ151" s="46"/>
      <c r="EMR151" s="44"/>
      <c r="EMS151" s="7"/>
      <c r="EMT151" s="51"/>
      <c r="EMU151" s="52"/>
      <c r="EMV151" s="53"/>
      <c r="EMW151" s="54"/>
      <c r="EMX151" s="52"/>
      <c r="EMY151" s="53"/>
      <c r="EMZ151" s="54"/>
      <c r="ENA151" s="52"/>
      <c r="ENB151" s="53"/>
      <c r="ENC151" s="8"/>
      <c r="END151" s="45"/>
      <c r="ENE151" s="45"/>
      <c r="ENF151" s="46"/>
      <c r="ENG151" s="44"/>
      <c r="ENH151" s="7"/>
      <c r="ENI151" s="51"/>
      <c r="ENJ151" s="52"/>
      <c r="ENK151" s="53"/>
      <c r="ENL151" s="54"/>
      <c r="ENM151" s="52"/>
      <c r="ENN151" s="53"/>
      <c r="ENO151" s="54"/>
      <c r="ENP151" s="52"/>
      <c r="ENQ151" s="53"/>
      <c r="ENR151" s="8"/>
      <c r="ENS151" s="45"/>
      <c r="ENT151" s="45"/>
      <c r="ENU151" s="46"/>
      <c r="ENV151" s="44"/>
      <c r="ENW151" s="7"/>
      <c r="ENX151" s="51"/>
      <c r="ENY151" s="52"/>
      <c r="ENZ151" s="53"/>
      <c r="EOA151" s="54"/>
      <c r="EOB151" s="52"/>
      <c r="EOC151" s="53"/>
      <c r="EOD151" s="54"/>
      <c r="EOE151" s="52"/>
      <c r="EOF151" s="53"/>
      <c r="EOG151" s="8"/>
      <c r="EOH151" s="45"/>
      <c r="EOI151" s="45"/>
      <c r="EOJ151" s="46"/>
      <c r="EOK151" s="44"/>
      <c r="EOL151" s="7"/>
      <c r="EOM151" s="51"/>
      <c r="EON151" s="52"/>
      <c r="EOO151" s="53"/>
      <c r="EOP151" s="54"/>
      <c r="EOQ151" s="52"/>
      <c r="EOR151" s="53"/>
      <c r="EOS151" s="54"/>
      <c r="EOT151" s="52"/>
      <c r="EOU151" s="53"/>
      <c r="EOV151" s="8"/>
      <c r="EOW151" s="45"/>
      <c r="EOX151" s="45"/>
      <c r="EOY151" s="46"/>
      <c r="EOZ151" s="44"/>
      <c r="EPA151" s="7"/>
      <c r="EPB151" s="51"/>
      <c r="EPC151" s="52"/>
      <c r="EPD151" s="53"/>
      <c r="EPE151" s="54"/>
      <c r="EPF151" s="52"/>
      <c r="EPG151" s="53"/>
      <c r="EPH151" s="54"/>
      <c r="EPI151" s="52"/>
      <c r="EPJ151" s="53"/>
      <c r="EPK151" s="8"/>
      <c r="EPL151" s="45"/>
      <c r="EPM151" s="45"/>
      <c r="EPN151" s="46"/>
      <c r="EPO151" s="44"/>
      <c r="EPP151" s="7"/>
      <c r="EPQ151" s="51"/>
      <c r="EPR151" s="52"/>
      <c r="EPS151" s="53"/>
      <c r="EPT151" s="54"/>
      <c r="EPU151" s="52"/>
      <c r="EPV151" s="53"/>
      <c r="EPW151" s="54"/>
      <c r="EPX151" s="52"/>
      <c r="EPY151" s="53"/>
      <c r="EPZ151" s="8"/>
      <c r="EQA151" s="45"/>
      <c r="EQB151" s="45"/>
      <c r="EQC151" s="46"/>
      <c r="EQD151" s="44"/>
      <c r="EQE151" s="7"/>
      <c r="EQF151" s="51"/>
      <c r="EQG151" s="52"/>
      <c r="EQH151" s="53"/>
      <c r="EQI151" s="54"/>
      <c r="EQJ151" s="52"/>
      <c r="EQK151" s="53"/>
      <c r="EQL151" s="54"/>
      <c r="EQM151" s="52"/>
      <c r="EQN151" s="53"/>
      <c r="EQO151" s="8"/>
      <c r="EQP151" s="45"/>
      <c r="EQQ151" s="45"/>
      <c r="EQR151" s="46"/>
      <c r="EQS151" s="44"/>
      <c r="EQT151" s="7"/>
      <c r="EQU151" s="51"/>
      <c r="EQV151" s="52"/>
      <c r="EQW151" s="53"/>
      <c r="EQX151" s="54"/>
      <c r="EQY151" s="52"/>
      <c r="EQZ151" s="53"/>
      <c r="ERA151" s="54"/>
      <c r="ERB151" s="52"/>
      <c r="ERC151" s="53"/>
      <c r="ERD151" s="8"/>
      <c r="ERE151" s="45"/>
      <c r="ERF151" s="45"/>
      <c r="ERG151" s="46"/>
      <c r="ERH151" s="44"/>
      <c r="ERI151" s="7"/>
      <c r="ERJ151" s="51"/>
      <c r="ERK151" s="52"/>
      <c r="ERL151" s="53"/>
      <c r="ERM151" s="54"/>
      <c r="ERN151" s="52"/>
      <c r="ERO151" s="53"/>
      <c r="ERP151" s="54"/>
      <c r="ERQ151" s="52"/>
      <c r="ERR151" s="53"/>
      <c r="ERS151" s="8"/>
      <c r="ERT151" s="45"/>
      <c r="ERU151" s="45"/>
      <c r="ERV151" s="46"/>
      <c r="ERW151" s="44"/>
      <c r="ERX151" s="7"/>
      <c r="ERY151" s="51"/>
      <c r="ERZ151" s="52"/>
      <c r="ESA151" s="53"/>
      <c r="ESB151" s="54"/>
      <c r="ESC151" s="52"/>
      <c r="ESD151" s="53"/>
      <c r="ESE151" s="54"/>
      <c r="ESF151" s="52"/>
      <c r="ESG151" s="53"/>
      <c r="ESH151" s="8"/>
      <c r="ESI151" s="45"/>
      <c r="ESJ151" s="45"/>
      <c r="ESK151" s="46"/>
      <c r="ESL151" s="44"/>
      <c r="ESM151" s="7"/>
      <c r="ESN151" s="51"/>
      <c r="ESO151" s="52"/>
      <c r="ESP151" s="53"/>
      <c r="ESQ151" s="54"/>
      <c r="ESR151" s="52"/>
      <c r="ESS151" s="53"/>
      <c r="EST151" s="54"/>
      <c r="ESU151" s="52"/>
      <c r="ESV151" s="53"/>
      <c r="ESW151" s="8"/>
      <c r="ESX151" s="45"/>
      <c r="ESY151" s="45"/>
      <c r="ESZ151" s="46"/>
      <c r="ETA151" s="44"/>
      <c r="ETB151" s="7"/>
      <c r="ETC151" s="51"/>
      <c r="ETD151" s="52"/>
      <c r="ETE151" s="53"/>
      <c r="ETF151" s="54"/>
      <c r="ETG151" s="52"/>
      <c r="ETH151" s="53"/>
      <c r="ETI151" s="54"/>
      <c r="ETJ151" s="52"/>
      <c r="ETK151" s="53"/>
      <c r="ETL151" s="8"/>
      <c r="ETM151" s="45"/>
      <c r="ETN151" s="45"/>
      <c r="ETO151" s="46"/>
      <c r="ETP151" s="44"/>
      <c r="ETQ151" s="7"/>
      <c r="ETR151" s="51"/>
      <c r="ETS151" s="52"/>
      <c r="ETT151" s="53"/>
      <c r="ETU151" s="54"/>
      <c r="ETV151" s="52"/>
      <c r="ETW151" s="53"/>
      <c r="ETX151" s="54"/>
      <c r="ETY151" s="52"/>
      <c r="ETZ151" s="53"/>
      <c r="EUA151" s="8"/>
      <c r="EUB151" s="45"/>
      <c r="EUC151" s="45"/>
      <c r="EUD151" s="46"/>
      <c r="EUE151" s="44"/>
      <c r="EUF151" s="7"/>
      <c r="EUG151" s="51"/>
      <c r="EUH151" s="52"/>
      <c r="EUI151" s="53"/>
      <c r="EUJ151" s="54"/>
      <c r="EUK151" s="52"/>
      <c r="EUL151" s="53"/>
      <c r="EUM151" s="54"/>
      <c r="EUN151" s="52"/>
      <c r="EUO151" s="53"/>
      <c r="EUP151" s="8"/>
      <c r="EUQ151" s="45"/>
      <c r="EUR151" s="45"/>
      <c r="EUS151" s="46"/>
      <c r="EUT151" s="44"/>
      <c r="EUU151" s="7"/>
      <c r="EUV151" s="51"/>
      <c r="EUW151" s="52"/>
      <c r="EUX151" s="53"/>
      <c r="EUY151" s="54"/>
      <c r="EUZ151" s="52"/>
      <c r="EVA151" s="53"/>
      <c r="EVB151" s="54"/>
      <c r="EVC151" s="52"/>
      <c r="EVD151" s="53"/>
      <c r="EVE151" s="8"/>
      <c r="EVF151" s="45"/>
      <c r="EVG151" s="45"/>
      <c r="EVH151" s="46"/>
      <c r="EVI151" s="44"/>
      <c r="EVJ151" s="7"/>
      <c r="EVK151" s="51"/>
      <c r="EVL151" s="52"/>
      <c r="EVM151" s="53"/>
      <c r="EVN151" s="54"/>
      <c r="EVO151" s="52"/>
      <c r="EVP151" s="53"/>
      <c r="EVQ151" s="54"/>
      <c r="EVR151" s="52"/>
      <c r="EVS151" s="53"/>
      <c r="EVT151" s="8"/>
      <c r="EVU151" s="45"/>
      <c r="EVV151" s="45"/>
      <c r="EVW151" s="46"/>
      <c r="EVX151" s="44"/>
      <c r="EVY151" s="7"/>
      <c r="EVZ151" s="51"/>
      <c r="EWA151" s="52"/>
      <c r="EWB151" s="53"/>
      <c r="EWC151" s="54"/>
      <c r="EWD151" s="52"/>
      <c r="EWE151" s="53"/>
      <c r="EWF151" s="54"/>
      <c r="EWG151" s="52"/>
      <c r="EWH151" s="53"/>
      <c r="EWI151" s="8"/>
      <c r="EWJ151" s="45"/>
      <c r="EWK151" s="45"/>
      <c r="EWL151" s="46"/>
      <c r="EWM151" s="44"/>
      <c r="EWN151" s="7"/>
      <c r="EWO151" s="51"/>
      <c r="EWP151" s="52"/>
      <c r="EWQ151" s="53"/>
      <c r="EWR151" s="54"/>
      <c r="EWS151" s="52"/>
      <c r="EWT151" s="53"/>
      <c r="EWU151" s="54"/>
      <c r="EWV151" s="52"/>
      <c r="EWW151" s="53"/>
      <c r="EWX151" s="8"/>
      <c r="EWY151" s="45"/>
      <c r="EWZ151" s="45"/>
      <c r="EXA151" s="46"/>
      <c r="EXB151" s="44"/>
      <c r="EXC151" s="7"/>
      <c r="EXD151" s="51"/>
      <c r="EXE151" s="52"/>
      <c r="EXF151" s="53"/>
      <c r="EXG151" s="54"/>
      <c r="EXH151" s="52"/>
      <c r="EXI151" s="53"/>
      <c r="EXJ151" s="54"/>
      <c r="EXK151" s="52"/>
      <c r="EXL151" s="53"/>
      <c r="EXM151" s="8"/>
      <c r="EXN151" s="45"/>
      <c r="EXO151" s="45"/>
      <c r="EXP151" s="46"/>
      <c r="EXQ151" s="44"/>
      <c r="EXR151" s="7"/>
      <c r="EXS151" s="51"/>
      <c r="EXT151" s="52"/>
      <c r="EXU151" s="53"/>
      <c r="EXV151" s="54"/>
      <c r="EXW151" s="52"/>
      <c r="EXX151" s="53"/>
      <c r="EXY151" s="54"/>
      <c r="EXZ151" s="52"/>
      <c r="EYA151" s="53"/>
      <c r="EYB151" s="8"/>
      <c r="EYC151" s="45"/>
      <c r="EYD151" s="45"/>
      <c r="EYE151" s="46"/>
      <c r="EYF151" s="44"/>
      <c r="EYG151" s="7"/>
      <c r="EYH151" s="51"/>
      <c r="EYI151" s="52"/>
      <c r="EYJ151" s="53"/>
      <c r="EYK151" s="54"/>
      <c r="EYL151" s="52"/>
      <c r="EYM151" s="53"/>
      <c r="EYN151" s="54"/>
      <c r="EYO151" s="52"/>
      <c r="EYP151" s="53"/>
      <c r="EYQ151" s="8"/>
      <c r="EYR151" s="45"/>
      <c r="EYS151" s="45"/>
      <c r="EYT151" s="46"/>
      <c r="EYU151" s="44"/>
      <c r="EYV151" s="7"/>
      <c r="EYW151" s="51"/>
      <c r="EYX151" s="52"/>
      <c r="EYY151" s="53"/>
      <c r="EYZ151" s="54"/>
      <c r="EZA151" s="52"/>
      <c r="EZB151" s="53"/>
      <c r="EZC151" s="54"/>
      <c r="EZD151" s="52"/>
      <c r="EZE151" s="53"/>
      <c r="EZF151" s="8"/>
      <c r="EZG151" s="45"/>
      <c r="EZH151" s="45"/>
      <c r="EZI151" s="46"/>
      <c r="EZJ151" s="44"/>
      <c r="EZK151" s="7"/>
      <c r="EZL151" s="51"/>
      <c r="EZM151" s="52"/>
      <c r="EZN151" s="53"/>
      <c r="EZO151" s="54"/>
      <c r="EZP151" s="52"/>
      <c r="EZQ151" s="53"/>
      <c r="EZR151" s="54"/>
      <c r="EZS151" s="52"/>
      <c r="EZT151" s="53"/>
      <c r="EZU151" s="8"/>
      <c r="EZV151" s="45"/>
      <c r="EZW151" s="45"/>
      <c r="EZX151" s="46"/>
      <c r="EZY151" s="44"/>
      <c r="EZZ151" s="7"/>
      <c r="FAA151" s="51"/>
      <c r="FAB151" s="52"/>
      <c r="FAC151" s="53"/>
      <c r="FAD151" s="54"/>
      <c r="FAE151" s="52"/>
      <c r="FAF151" s="53"/>
      <c r="FAG151" s="54"/>
      <c r="FAH151" s="52"/>
      <c r="FAI151" s="53"/>
      <c r="FAJ151" s="8"/>
      <c r="FAK151" s="45"/>
      <c r="FAL151" s="45"/>
      <c r="FAM151" s="46"/>
      <c r="FAN151" s="44"/>
      <c r="FAO151" s="7"/>
      <c r="FAP151" s="51"/>
      <c r="FAQ151" s="52"/>
      <c r="FAR151" s="53"/>
      <c r="FAS151" s="54"/>
      <c r="FAT151" s="52"/>
      <c r="FAU151" s="53"/>
      <c r="FAV151" s="54"/>
      <c r="FAW151" s="52"/>
      <c r="FAX151" s="53"/>
      <c r="FAY151" s="8"/>
      <c r="FAZ151" s="45"/>
      <c r="FBA151" s="45"/>
      <c r="FBB151" s="46"/>
      <c r="FBC151" s="44"/>
      <c r="FBD151" s="7"/>
      <c r="FBE151" s="51"/>
      <c r="FBF151" s="52"/>
      <c r="FBG151" s="53"/>
      <c r="FBH151" s="54"/>
      <c r="FBI151" s="52"/>
      <c r="FBJ151" s="53"/>
      <c r="FBK151" s="54"/>
      <c r="FBL151" s="52"/>
      <c r="FBM151" s="53"/>
      <c r="FBN151" s="8"/>
      <c r="FBO151" s="45"/>
      <c r="FBP151" s="45"/>
      <c r="FBQ151" s="46"/>
      <c r="FBR151" s="44"/>
      <c r="FBS151" s="7"/>
      <c r="FBT151" s="51"/>
      <c r="FBU151" s="52"/>
      <c r="FBV151" s="53"/>
      <c r="FBW151" s="54"/>
      <c r="FBX151" s="52"/>
      <c r="FBY151" s="53"/>
      <c r="FBZ151" s="54"/>
      <c r="FCA151" s="52"/>
      <c r="FCB151" s="53"/>
      <c r="FCC151" s="8"/>
      <c r="FCD151" s="45"/>
      <c r="FCE151" s="45"/>
      <c r="FCF151" s="46"/>
      <c r="FCG151" s="44"/>
      <c r="FCH151" s="7"/>
      <c r="FCI151" s="51"/>
      <c r="FCJ151" s="52"/>
      <c r="FCK151" s="53"/>
      <c r="FCL151" s="54"/>
      <c r="FCM151" s="52"/>
      <c r="FCN151" s="53"/>
      <c r="FCO151" s="54"/>
      <c r="FCP151" s="52"/>
      <c r="FCQ151" s="53"/>
      <c r="FCR151" s="8"/>
      <c r="FCS151" s="45"/>
      <c r="FCT151" s="45"/>
      <c r="FCU151" s="46"/>
      <c r="FCV151" s="44"/>
      <c r="FCW151" s="7"/>
      <c r="FCX151" s="51"/>
      <c r="FCY151" s="52"/>
      <c r="FCZ151" s="53"/>
      <c r="FDA151" s="54"/>
      <c r="FDB151" s="52"/>
      <c r="FDC151" s="53"/>
      <c r="FDD151" s="54"/>
      <c r="FDE151" s="52"/>
      <c r="FDF151" s="53"/>
      <c r="FDG151" s="8"/>
      <c r="FDH151" s="45"/>
      <c r="FDI151" s="45"/>
      <c r="FDJ151" s="46"/>
      <c r="FDK151" s="44"/>
      <c r="FDL151" s="7"/>
      <c r="FDM151" s="51"/>
      <c r="FDN151" s="52"/>
      <c r="FDO151" s="53"/>
      <c r="FDP151" s="54"/>
      <c r="FDQ151" s="52"/>
      <c r="FDR151" s="53"/>
      <c r="FDS151" s="54"/>
      <c r="FDT151" s="52"/>
      <c r="FDU151" s="53"/>
      <c r="FDV151" s="8"/>
      <c r="FDW151" s="45"/>
      <c r="FDX151" s="45"/>
      <c r="FDY151" s="46"/>
      <c r="FDZ151" s="44"/>
      <c r="FEA151" s="7"/>
      <c r="FEB151" s="51"/>
      <c r="FEC151" s="52"/>
      <c r="FED151" s="53"/>
      <c r="FEE151" s="54"/>
      <c r="FEF151" s="52"/>
      <c r="FEG151" s="53"/>
      <c r="FEH151" s="54"/>
      <c r="FEI151" s="52"/>
      <c r="FEJ151" s="53"/>
      <c r="FEK151" s="8"/>
      <c r="FEL151" s="45"/>
      <c r="FEM151" s="45"/>
      <c r="FEN151" s="46"/>
      <c r="FEO151" s="44"/>
      <c r="FEP151" s="7"/>
      <c r="FEQ151" s="51"/>
      <c r="FER151" s="52"/>
      <c r="FES151" s="53"/>
      <c r="FET151" s="54"/>
      <c r="FEU151" s="52"/>
      <c r="FEV151" s="53"/>
      <c r="FEW151" s="54"/>
      <c r="FEX151" s="52"/>
      <c r="FEY151" s="53"/>
      <c r="FEZ151" s="8"/>
      <c r="FFA151" s="45"/>
      <c r="FFB151" s="45"/>
      <c r="FFC151" s="46"/>
      <c r="FFD151" s="44"/>
      <c r="FFE151" s="7"/>
      <c r="FFF151" s="51"/>
      <c r="FFG151" s="52"/>
      <c r="FFH151" s="53"/>
      <c r="FFI151" s="54"/>
      <c r="FFJ151" s="52"/>
      <c r="FFK151" s="53"/>
      <c r="FFL151" s="54"/>
      <c r="FFM151" s="52"/>
      <c r="FFN151" s="53"/>
      <c r="FFO151" s="8"/>
      <c r="FFP151" s="45"/>
      <c r="FFQ151" s="45"/>
      <c r="FFR151" s="46"/>
      <c r="FFS151" s="44"/>
      <c r="FFT151" s="7"/>
      <c r="FFU151" s="51"/>
      <c r="FFV151" s="52"/>
      <c r="FFW151" s="53"/>
      <c r="FFX151" s="54"/>
      <c r="FFY151" s="52"/>
      <c r="FFZ151" s="53"/>
      <c r="FGA151" s="54"/>
      <c r="FGB151" s="52"/>
      <c r="FGC151" s="53"/>
      <c r="FGD151" s="8"/>
      <c r="FGE151" s="45"/>
      <c r="FGF151" s="45"/>
      <c r="FGG151" s="46"/>
      <c r="FGH151" s="44"/>
      <c r="FGI151" s="7"/>
      <c r="FGJ151" s="51"/>
      <c r="FGK151" s="52"/>
      <c r="FGL151" s="53"/>
      <c r="FGM151" s="54"/>
      <c r="FGN151" s="52"/>
      <c r="FGO151" s="53"/>
      <c r="FGP151" s="54"/>
      <c r="FGQ151" s="52"/>
      <c r="FGR151" s="53"/>
      <c r="FGS151" s="8"/>
      <c r="FGT151" s="45"/>
      <c r="FGU151" s="45"/>
      <c r="FGV151" s="46"/>
      <c r="FGW151" s="44"/>
      <c r="FGX151" s="7"/>
      <c r="FGY151" s="51"/>
      <c r="FGZ151" s="52"/>
      <c r="FHA151" s="53"/>
      <c r="FHB151" s="54"/>
      <c r="FHC151" s="52"/>
      <c r="FHD151" s="53"/>
      <c r="FHE151" s="54"/>
      <c r="FHF151" s="52"/>
      <c r="FHG151" s="53"/>
      <c r="FHH151" s="8"/>
      <c r="FHI151" s="45"/>
      <c r="FHJ151" s="45"/>
      <c r="FHK151" s="46"/>
      <c r="FHL151" s="44"/>
      <c r="FHM151" s="7"/>
      <c r="FHN151" s="51"/>
      <c r="FHO151" s="52"/>
      <c r="FHP151" s="53"/>
      <c r="FHQ151" s="54"/>
      <c r="FHR151" s="52"/>
      <c r="FHS151" s="53"/>
      <c r="FHT151" s="54"/>
      <c r="FHU151" s="52"/>
      <c r="FHV151" s="53"/>
      <c r="FHW151" s="8"/>
      <c r="FHX151" s="45"/>
      <c r="FHY151" s="45"/>
      <c r="FHZ151" s="46"/>
      <c r="FIA151" s="44"/>
      <c r="FIB151" s="7"/>
      <c r="FIC151" s="51"/>
      <c r="FID151" s="52"/>
      <c r="FIE151" s="53"/>
      <c r="FIF151" s="54"/>
      <c r="FIG151" s="52"/>
      <c r="FIH151" s="53"/>
      <c r="FII151" s="54"/>
      <c r="FIJ151" s="52"/>
      <c r="FIK151" s="53"/>
      <c r="FIL151" s="8"/>
      <c r="FIM151" s="45"/>
      <c r="FIN151" s="45"/>
      <c r="FIO151" s="46"/>
      <c r="FIP151" s="44"/>
      <c r="FIQ151" s="7"/>
      <c r="FIR151" s="51"/>
      <c r="FIS151" s="52"/>
      <c r="FIT151" s="53"/>
      <c r="FIU151" s="54"/>
      <c r="FIV151" s="52"/>
      <c r="FIW151" s="53"/>
      <c r="FIX151" s="54"/>
      <c r="FIY151" s="52"/>
      <c r="FIZ151" s="53"/>
      <c r="FJA151" s="8"/>
      <c r="FJB151" s="45"/>
      <c r="FJC151" s="45"/>
      <c r="FJD151" s="46"/>
      <c r="FJE151" s="44"/>
      <c r="FJF151" s="7"/>
      <c r="FJG151" s="51"/>
      <c r="FJH151" s="52"/>
      <c r="FJI151" s="53"/>
      <c r="FJJ151" s="54"/>
      <c r="FJK151" s="52"/>
      <c r="FJL151" s="53"/>
      <c r="FJM151" s="54"/>
      <c r="FJN151" s="52"/>
      <c r="FJO151" s="53"/>
      <c r="FJP151" s="8"/>
      <c r="FJQ151" s="45"/>
      <c r="FJR151" s="45"/>
      <c r="FJS151" s="46"/>
      <c r="FJT151" s="44"/>
      <c r="FJU151" s="7"/>
      <c r="FJV151" s="51"/>
      <c r="FJW151" s="52"/>
      <c r="FJX151" s="53"/>
      <c r="FJY151" s="54"/>
      <c r="FJZ151" s="52"/>
      <c r="FKA151" s="53"/>
      <c r="FKB151" s="54"/>
      <c r="FKC151" s="52"/>
      <c r="FKD151" s="53"/>
      <c r="FKE151" s="8"/>
      <c r="FKF151" s="45"/>
      <c r="FKG151" s="45"/>
      <c r="FKH151" s="46"/>
      <c r="FKI151" s="44"/>
      <c r="FKJ151" s="7"/>
      <c r="FKK151" s="51"/>
      <c r="FKL151" s="52"/>
      <c r="FKM151" s="53"/>
      <c r="FKN151" s="54"/>
      <c r="FKO151" s="52"/>
      <c r="FKP151" s="53"/>
      <c r="FKQ151" s="54"/>
      <c r="FKR151" s="52"/>
      <c r="FKS151" s="53"/>
      <c r="FKT151" s="8"/>
      <c r="FKU151" s="45"/>
      <c r="FKV151" s="45"/>
      <c r="FKW151" s="46"/>
      <c r="FKX151" s="44"/>
      <c r="FKY151" s="7"/>
      <c r="FKZ151" s="51"/>
      <c r="FLA151" s="52"/>
      <c r="FLB151" s="53"/>
      <c r="FLC151" s="54"/>
      <c r="FLD151" s="52"/>
      <c r="FLE151" s="53"/>
      <c r="FLF151" s="54"/>
      <c r="FLG151" s="52"/>
      <c r="FLH151" s="53"/>
      <c r="FLI151" s="8"/>
      <c r="FLJ151" s="45"/>
      <c r="FLK151" s="45"/>
      <c r="FLL151" s="46"/>
      <c r="FLM151" s="44"/>
      <c r="FLN151" s="7"/>
      <c r="FLO151" s="51"/>
      <c r="FLP151" s="52"/>
      <c r="FLQ151" s="53"/>
      <c r="FLR151" s="54"/>
      <c r="FLS151" s="52"/>
      <c r="FLT151" s="53"/>
      <c r="FLU151" s="54"/>
      <c r="FLV151" s="52"/>
      <c r="FLW151" s="53"/>
      <c r="FLX151" s="8"/>
      <c r="FLY151" s="45"/>
      <c r="FLZ151" s="45"/>
      <c r="FMA151" s="46"/>
      <c r="FMB151" s="44"/>
      <c r="FMC151" s="7"/>
      <c r="FMD151" s="51"/>
      <c r="FME151" s="52"/>
      <c r="FMF151" s="53"/>
      <c r="FMG151" s="54"/>
      <c r="FMH151" s="52"/>
      <c r="FMI151" s="53"/>
      <c r="FMJ151" s="54"/>
      <c r="FMK151" s="52"/>
      <c r="FML151" s="53"/>
      <c r="FMM151" s="8"/>
      <c r="FMN151" s="45"/>
      <c r="FMO151" s="45"/>
      <c r="FMP151" s="46"/>
      <c r="FMQ151" s="44"/>
      <c r="FMR151" s="7"/>
      <c r="FMS151" s="51"/>
      <c r="FMT151" s="52"/>
      <c r="FMU151" s="53"/>
      <c r="FMV151" s="54"/>
      <c r="FMW151" s="52"/>
      <c r="FMX151" s="53"/>
      <c r="FMY151" s="54"/>
      <c r="FMZ151" s="52"/>
      <c r="FNA151" s="53"/>
      <c r="FNB151" s="8"/>
      <c r="FNC151" s="45"/>
      <c r="FND151" s="45"/>
      <c r="FNE151" s="46"/>
      <c r="FNF151" s="44"/>
      <c r="FNG151" s="7"/>
      <c r="FNH151" s="51"/>
      <c r="FNI151" s="52"/>
      <c r="FNJ151" s="53"/>
      <c r="FNK151" s="54"/>
      <c r="FNL151" s="52"/>
      <c r="FNM151" s="53"/>
      <c r="FNN151" s="54"/>
      <c r="FNO151" s="52"/>
      <c r="FNP151" s="53"/>
      <c r="FNQ151" s="8"/>
      <c r="FNR151" s="45"/>
      <c r="FNS151" s="45"/>
      <c r="FNT151" s="46"/>
      <c r="FNU151" s="44"/>
      <c r="FNV151" s="7"/>
      <c r="FNW151" s="51"/>
      <c r="FNX151" s="52"/>
      <c r="FNY151" s="53"/>
      <c r="FNZ151" s="54"/>
      <c r="FOA151" s="52"/>
      <c r="FOB151" s="53"/>
      <c r="FOC151" s="54"/>
      <c r="FOD151" s="52"/>
      <c r="FOE151" s="53"/>
      <c r="FOF151" s="8"/>
      <c r="FOG151" s="45"/>
      <c r="FOH151" s="45"/>
      <c r="FOI151" s="46"/>
      <c r="FOJ151" s="44"/>
      <c r="FOK151" s="7"/>
      <c r="FOL151" s="51"/>
      <c r="FOM151" s="52"/>
      <c r="FON151" s="53"/>
      <c r="FOO151" s="54"/>
      <c r="FOP151" s="52"/>
      <c r="FOQ151" s="53"/>
      <c r="FOR151" s="54"/>
      <c r="FOS151" s="52"/>
      <c r="FOT151" s="53"/>
      <c r="FOU151" s="8"/>
      <c r="FOV151" s="45"/>
      <c r="FOW151" s="45"/>
      <c r="FOX151" s="46"/>
      <c r="FOY151" s="44"/>
      <c r="FOZ151" s="7"/>
      <c r="FPA151" s="51"/>
      <c r="FPB151" s="52"/>
      <c r="FPC151" s="53"/>
      <c r="FPD151" s="54"/>
      <c r="FPE151" s="52"/>
      <c r="FPF151" s="53"/>
      <c r="FPG151" s="54"/>
      <c r="FPH151" s="52"/>
      <c r="FPI151" s="53"/>
      <c r="FPJ151" s="8"/>
      <c r="FPK151" s="45"/>
      <c r="FPL151" s="45"/>
      <c r="FPM151" s="46"/>
      <c r="FPN151" s="44"/>
      <c r="FPO151" s="7"/>
      <c r="FPP151" s="51"/>
      <c r="FPQ151" s="52"/>
      <c r="FPR151" s="53"/>
      <c r="FPS151" s="54"/>
      <c r="FPT151" s="52"/>
      <c r="FPU151" s="53"/>
      <c r="FPV151" s="54"/>
      <c r="FPW151" s="52"/>
      <c r="FPX151" s="53"/>
      <c r="FPY151" s="8"/>
      <c r="FPZ151" s="45"/>
      <c r="FQA151" s="45"/>
      <c r="FQB151" s="46"/>
      <c r="FQC151" s="44"/>
      <c r="FQD151" s="7"/>
      <c r="FQE151" s="51"/>
      <c r="FQF151" s="52"/>
      <c r="FQG151" s="53"/>
      <c r="FQH151" s="54"/>
      <c r="FQI151" s="52"/>
      <c r="FQJ151" s="53"/>
      <c r="FQK151" s="54"/>
      <c r="FQL151" s="52"/>
      <c r="FQM151" s="53"/>
      <c r="FQN151" s="8"/>
      <c r="FQO151" s="45"/>
      <c r="FQP151" s="45"/>
      <c r="FQQ151" s="46"/>
      <c r="FQR151" s="44"/>
      <c r="FQS151" s="7"/>
      <c r="FQT151" s="51"/>
      <c r="FQU151" s="52"/>
      <c r="FQV151" s="53"/>
      <c r="FQW151" s="54"/>
      <c r="FQX151" s="52"/>
      <c r="FQY151" s="53"/>
      <c r="FQZ151" s="54"/>
      <c r="FRA151" s="52"/>
      <c r="FRB151" s="53"/>
      <c r="FRC151" s="8"/>
      <c r="FRD151" s="45"/>
      <c r="FRE151" s="45"/>
      <c r="FRF151" s="46"/>
      <c r="FRG151" s="44"/>
      <c r="FRH151" s="7"/>
      <c r="FRI151" s="51"/>
      <c r="FRJ151" s="52"/>
      <c r="FRK151" s="53"/>
      <c r="FRL151" s="54"/>
      <c r="FRM151" s="52"/>
      <c r="FRN151" s="53"/>
      <c r="FRO151" s="54"/>
      <c r="FRP151" s="52"/>
      <c r="FRQ151" s="53"/>
      <c r="FRR151" s="8"/>
      <c r="FRS151" s="45"/>
      <c r="FRT151" s="45"/>
      <c r="FRU151" s="46"/>
      <c r="FRV151" s="44"/>
      <c r="FRW151" s="7"/>
      <c r="FRX151" s="51"/>
      <c r="FRY151" s="52"/>
      <c r="FRZ151" s="53"/>
      <c r="FSA151" s="54"/>
      <c r="FSB151" s="52"/>
      <c r="FSC151" s="53"/>
      <c r="FSD151" s="54"/>
      <c r="FSE151" s="52"/>
      <c r="FSF151" s="53"/>
      <c r="FSG151" s="8"/>
      <c r="FSH151" s="45"/>
      <c r="FSI151" s="45"/>
      <c r="FSJ151" s="46"/>
      <c r="FSK151" s="44"/>
      <c r="FSL151" s="7"/>
      <c r="FSM151" s="51"/>
      <c r="FSN151" s="52"/>
      <c r="FSO151" s="53"/>
      <c r="FSP151" s="54"/>
      <c r="FSQ151" s="52"/>
      <c r="FSR151" s="53"/>
      <c r="FSS151" s="54"/>
      <c r="FST151" s="52"/>
      <c r="FSU151" s="53"/>
      <c r="FSV151" s="8"/>
      <c r="FSW151" s="45"/>
      <c r="FSX151" s="45"/>
      <c r="FSY151" s="46"/>
      <c r="FSZ151" s="44"/>
      <c r="FTA151" s="7"/>
      <c r="FTB151" s="51"/>
      <c r="FTC151" s="52"/>
      <c r="FTD151" s="53"/>
      <c r="FTE151" s="54"/>
      <c r="FTF151" s="52"/>
      <c r="FTG151" s="53"/>
      <c r="FTH151" s="54"/>
      <c r="FTI151" s="52"/>
      <c r="FTJ151" s="53"/>
      <c r="FTK151" s="8"/>
      <c r="FTL151" s="45"/>
      <c r="FTM151" s="45"/>
      <c r="FTN151" s="46"/>
      <c r="FTO151" s="44"/>
      <c r="FTP151" s="7"/>
      <c r="FTQ151" s="51"/>
      <c r="FTR151" s="52"/>
      <c r="FTS151" s="53"/>
      <c r="FTT151" s="54"/>
      <c r="FTU151" s="52"/>
      <c r="FTV151" s="53"/>
      <c r="FTW151" s="54"/>
      <c r="FTX151" s="52"/>
      <c r="FTY151" s="53"/>
      <c r="FTZ151" s="8"/>
      <c r="FUA151" s="45"/>
      <c r="FUB151" s="45"/>
      <c r="FUC151" s="46"/>
      <c r="FUD151" s="44"/>
      <c r="FUE151" s="7"/>
      <c r="FUF151" s="51"/>
      <c r="FUG151" s="52"/>
      <c r="FUH151" s="53"/>
      <c r="FUI151" s="54"/>
      <c r="FUJ151" s="52"/>
      <c r="FUK151" s="53"/>
      <c r="FUL151" s="54"/>
      <c r="FUM151" s="52"/>
      <c r="FUN151" s="53"/>
      <c r="FUO151" s="8"/>
      <c r="FUP151" s="45"/>
      <c r="FUQ151" s="45"/>
      <c r="FUR151" s="46"/>
      <c r="FUS151" s="44"/>
      <c r="FUT151" s="7"/>
      <c r="FUU151" s="51"/>
      <c r="FUV151" s="52"/>
      <c r="FUW151" s="53"/>
      <c r="FUX151" s="54"/>
      <c r="FUY151" s="52"/>
      <c r="FUZ151" s="53"/>
      <c r="FVA151" s="54"/>
      <c r="FVB151" s="52"/>
      <c r="FVC151" s="53"/>
      <c r="FVD151" s="8"/>
      <c r="FVE151" s="45"/>
      <c r="FVF151" s="45"/>
      <c r="FVG151" s="46"/>
      <c r="FVH151" s="44"/>
      <c r="FVI151" s="7"/>
      <c r="FVJ151" s="51"/>
      <c r="FVK151" s="52"/>
      <c r="FVL151" s="53"/>
      <c r="FVM151" s="54"/>
      <c r="FVN151" s="52"/>
      <c r="FVO151" s="53"/>
      <c r="FVP151" s="54"/>
      <c r="FVQ151" s="52"/>
      <c r="FVR151" s="53"/>
      <c r="FVS151" s="8"/>
      <c r="FVT151" s="45"/>
      <c r="FVU151" s="45"/>
      <c r="FVV151" s="46"/>
      <c r="FVW151" s="44"/>
      <c r="FVX151" s="7"/>
      <c r="FVY151" s="51"/>
      <c r="FVZ151" s="52"/>
      <c r="FWA151" s="53"/>
      <c r="FWB151" s="54"/>
      <c r="FWC151" s="52"/>
      <c r="FWD151" s="53"/>
      <c r="FWE151" s="54"/>
      <c r="FWF151" s="52"/>
      <c r="FWG151" s="53"/>
      <c r="FWH151" s="8"/>
      <c r="FWI151" s="45"/>
      <c r="FWJ151" s="45"/>
      <c r="FWK151" s="46"/>
      <c r="FWL151" s="44"/>
      <c r="FWM151" s="7"/>
      <c r="FWN151" s="51"/>
      <c r="FWO151" s="52"/>
      <c r="FWP151" s="53"/>
      <c r="FWQ151" s="54"/>
      <c r="FWR151" s="52"/>
      <c r="FWS151" s="53"/>
      <c r="FWT151" s="54"/>
      <c r="FWU151" s="52"/>
      <c r="FWV151" s="53"/>
      <c r="FWW151" s="8"/>
      <c r="FWX151" s="45"/>
      <c r="FWY151" s="45"/>
      <c r="FWZ151" s="46"/>
      <c r="FXA151" s="44"/>
      <c r="FXB151" s="7"/>
      <c r="FXC151" s="51"/>
      <c r="FXD151" s="52"/>
      <c r="FXE151" s="53"/>
      <c r="FXF151" s="54"/>
      <c r="FXG151" s="52"/>
      <c r="FXH151" s="53"/>
      <c r="FXI151" s="54"/>
      <c r="FXJ151" s="52"/>
      <c r="FXK151" s="53"/>
      <c r="FXL151" s="8"/>
      <c r="FXM151" s="45"/>
      <c r="FXN151" s="45"/>
      <c r="FXO151" s="46"/>
      <c r="FXP151" s="44"/>
      <c r="FXQ151" s="7"/>
      <c r="FXR151" s="51"/>
      <c r="FXS151" s="52"/>
      <c r="FXT151" s="53"/>
      <c r="FXU151" s="54"/>
      <c r="FXV151" s="52"/>
      <c r="FXW151" s="53"/>
      <c r="FXX151" s="54"/>
      <c r="FXY151" s="52"/>
      <c r="FXZ151" s="53"/>
      <c r="FYA151" s="8"/>
      <c r="FYB151" s="45"/>
      <c r="FYC151" s="45"/>
      <c r="FYD151" s="46"/>
      <c r="FYE151" s="44"/>
      <c r="FYF151" s="7"/>
      <c r="FYG151" s="51"/>
      <c r="FYH151" s="52"/>
      <c r="FYI151" s="53"/>
      <c r="FYJ151" s="54"/>
      <c r="FYK151" s="52"/>
      <c r="FYL151" s="53"/>
      <c r="FYM151" s="54"/>
      <c r="FYN151" s="52"/>
      <c r="FYO151" s="53"/>
      <c r="FYP151" s="8"/>
      <c r="FYQ151" s="45"/>
      <c r="FYR151" s="45"/>
      <c r="FYS151" s="46"/>
      <c r="FYT151" s="44"/>
      <c r="FYU151" s="7"/>
      <c r="FYV151" s="51"/>
      <c r="FYW151" s="52"/>
      <c r="FYX151" s="53"/>
      <c r="FYY151" s="54"/>
      <c r="FYZ151" s="52"/>
      <c r="FZA151" s="53"/>
      <c r="FZB151" s="54"/>
      <c r="FZC151" s="52"/>
      <c r="FZD151" s="53"/>
      <c r="FZE151" s="8"/>
      <c r="FZF151" s="45"/>
      <c r="FZG151" s="45"/>
      <c r="FZH151" s="46"/>
      <c r="FZI151" s="44"/>
      <c r="FZJ151" s="7"/>
      <c r="FZK151" s="51"/>
      <c r="FZL151" s="52"/>
      <c r="FZM151" s="53"/>
      <c r="FZN151" s="54"/>
      <c r="FZO151" s="52"/>
      <c r="FZP151" s="53"/>
      <c r="FZQ151" s="54"/>
      <c r="FZR151" s="52"/>
      <c r="FZS151" s="53"/>
      <c r="FZT151" s="8"/>
      <c r="FZU151" s="45"/>
      <c r="FZV151" s="45"/>
      <c r="FZW151" s="46"/>
      <c r="FZX151" s="44"/>
      <c r="FZY151" s="7"/>
      <c r="FZZ151" s="51"/>
      <c r="GAA151" s="52"/>
      <c r="GAB151" s="53"/>
      <c r="GAC151" s="54"/>
      <c r="GAD151" s="52"/>
      <c r="GAE151" s="53"/>
      <c r="GAF151" s="54"/>
      <c r="GAG151" s="52"/>
      <c r="GAH151" s="53"/>
      <c r="GAI151" s="8"/>
      <c r="GAJ151" s="45"/>
      <c r="GAK151" s="45"/>
      <c r="GAL151" s="46"/>
      <c r="GAM151" s="44"/>
      <c r="GAN151" s="7"/>
      <c r="GAO151" s="51"/>
      <c r="GAP151" s="52"/>
      <c r="GAQ151" s="53"/>
      <c r="GAR151" s="54"/>
      <c r="GAS151" s="52"/>
      <c r="GAT151" s="53"/>
      <c r="GAU151" s="54"/>
      <c r="GAV151" s="52"/>
      <c r="GAW151" s="53"/>
      <c r="GAX151" s="8"/>
      <c r="GAY151" s="45"/>
      <c r="GAZ151" s="45"/>
      <c r="GBA151" s="46"/>
      <c r="GBB151" s="44"/>
      <c r="GBC151" s="7"/>
      <c r="GBD151" s="51"/>
      <c r="GBE151" s="52"/>
      <c r="GBF151" s="53"/>
      <c r="GBG151" s="54"/>
      <c r="GBH151" s="52"/>
      <c r="GBI151" s="53"/>
      <c r="GBJ151" s="54"/>
      <c r="GBK151" s="52"/>
      <c r="GBL151" s="53"/>
      <c r="GBM151" s="8"/>
      <c r="GBN151" s="45"/>
      <c r="GBO151" s="45"/>
      <c r="GBP151" s="46"/>
      <c r="GBQ151" s="44"/>
      <c r="GBR151" s="7"/>
      <c r="GBS151" s="51"/>
      <c r="GBT151" s="52"/>
      <c r="GBU151" s="53"/>
      <c r="GBV151" s="54"/>
      <c r="GBW151" s="52"/>
      <c r="GBX151" s="53"/>
      <c r="GBY151" s="54"/>
      <c r="GBZ151" s="52"/>
      <c r="GCA151" s="53"/>
      <c r="GCB151" s="8"/>
      <c r="GCC151" s="45"/>
      <c r="GCD151" s="45"/>
      <c r="GCE151" s="46"/>
      <c r="GCF151" s="44"/>
      <c r="GCG151" s="7"/>
      <c r="GCH151" s="51"/>
      <c r="GCI151" s="52"/>
      <c r="GCJ151" s="53"/>
      <c r="GCK151" s="54"/>
      <c r="GCL151" s="52"/>
      <c r="GCM151" s="53"/>
      <c r="GCN151" s="54"/>
      <c r="GCO151" s="52"/>
      <c r="GCP151" s="53"/>
      <c r="GCQ151" s="8"/>
      <c r="GCR151" s="45"/>
      <c r="GCS151" s="45"/>
      <c r="GCT151" s="46"/>
      <c r="GCU151" s="44"/>
      <c r="GCV151" s="7"/>
      <c r="GCW151" s="51"/>
      <c r="GCX151" s="52"/>
      <c r="GCY151" s="53"/>
      <c r="GCZ151" s="54"/>
      <c r="GDA151" s="52"/>
      <c r="GDB151" s="53"/>
      <c r="GDC151" s="54"/>
      <c r="GDD151" s="52"/>
      <c r="GDE151" s="53"/>
      <c r="GDF151" s="8"/>
      <c r="GDG151" s="45"/>
      <c r="GDH151" s="45"/>
      <c r="GDI151" s="46"/>
      <c r="GDJ151" s="44"/>
      <c r="GDK151" s="7"/>
      <c r="GDL151" s="51"/>
      <c r="GDM151" s="52"/>
      <c r="GDN151" s="53"/>
      <c r="GDO151" s="54"/>
      <c r="GDP151" s="52"/>
      <c r="GDQ151" s="53"/>
      <c r="GDR151" s="54"/>
      <c r="GDS151" s="52"/>
      <c r="GDT151" s="53"/>
      <c r="GDU151" s="8"/>
      <c r="GDV151" s="45"/>
      <c r="GDW151" s="45"/>
      <c r="GDX151" s="46"/>
      <c r="GDY151" s="44"/>
      <c r="GDZ151" s="7"/>
      <c r="GEA151" s="51"/>
      <c r="GEB151" s="52"/>
      <c r="GEC151" s="53"/>
      <c r="GED151" s="54"/>
      <c r="GEE151" s="52"/>
      <c r="GEF151" s="53"/>
      <c r="GEG151" s="54"/>
      <c r="GEH151" s="52"/>
      <c r="GEI151" s="53"/>
      <c r="GEJ151" s="8"/>
      <c r="GEK151" s="45"/>
      <c r="GEL151" s="45"/>
      <c r="GEM151" s="46"/>
      <c r="GEN151" s="44"/>
      <c r="GEO151" s="7"/>
      <c r="GEP151" s="51"/>
      <c r="GEQ151" s="52"/>
      <c r="GER151" s="53"/>
      <c r="GES151" s="54"/>
      <c r="GET151" s="52"/>
      <c r="GEU151" s="53"/>
      <c r="GEV151" s="54"/>
      <c r="GEW151" s="52"/>
      <c r="GEX151" s="53"/>
      <c r="GEY151" s="8"/>
      <c r="GEZ151" s="45"/>
      <c r="GFA151" s="45"/>
      <c r="GFB151" s="46"/>
      <c r="GFC151" s="44"/>
      <c r="GFD151" s="7"/>
      <c r="GFE151" s="51"/>
      <c r="GFF151" s="52"/>
      <c r="GFG151" s="53"/>
      <c r="GFH151" s="54"/>
      <c r="GFI151" s="52"/>
      <c r="GFJ151" s="53"/>
      <c r="GFK151" s="54"/>
      <c r="GFL151" s="52"/>
      <c r="GFM151" s="53"/>
      <c r="GFN151" s="8"/>
      <c r="GFO151" s="45"/>
      <c r="GFP151" s="45"/>
      <c r="GFQ151" s="46"/>
      <c r="GFR151" s="44"/>
      <c r="GFS151" s="7"/>
      <c r="GFT151" s="51"/>
      <c r="GFU151" s="52"/>
      <c r="GFV151" s="53"/>
      <c r="GFW151" s="54"/>
      <c r="GFX151" s="52"/>
      <c r="GFY151" s="53"/>
      <c r="GFZ151" s="54"/>
      <c r="GGA151" s="52"/>
      <c r="GGB151" s="53"/>
      <c r="GGC151" s="8"/>
      <c r="GGD151" s="45"/>
      <c r="GGE151" s="45"/>
      <c r="GGF151" s="46"/>
      <c r="GGG151" s="44"/>
      <c r="GGH151" s="7"/>
      <c r="GGI151" s="51"/>
      <c r="GGJ151" s="52"/>
      <c r="GGK151" s="53"/>
      <c r="GGL151" s="54"/>
      <c r="GGM151" s="52"/>
      <c r="GGN151" s="53"/>
      <c r="GGO151" s="54"/>
      <c r="GGP151" s="52"/>
      <c r="GGQ151" s="53"/>
      <c r="GGR151" s="8"/>
      <c r="GGS151" s="45"/>
      <c r="GGT151" s="45"/>
      <c r="GGU151" s="46"/>
      <c r="GGV151" s="44"/>
      <c r="GGW151" s="7"/>
      <c r="GGX151" s="51"/>
      <c r="GGY151" s="52"/>
      <c r="GGZ151" s="53"/>
      <c r="GHA151" s="54"/>
      <c r="GHB151" s="52"/>
      <c r="GHC151" s="53"/>
      <c r="GHD151" s="54"/>
      <c r="GHE151" s="52"/>
      <c r="GHF151" s="53"/>
      <c r="GHG151" s="8"/>
      <c r="GHH151" s="45"/>
      <c r="GHI151" s="45"/>
      <c r="GHJ151" s="46"/>
      <c r="GHK151" s="44"/>
      <c r="GHL151" s="7"/>
      <c r="GHM151" s="51"/>
      <c r="GHN151" s="52"/>
      <c r="GHO151" s="53"/>
      <c r="GHP151" s="54"/>
      <c r="GHQ151" s="52"/>
      <c r="GHR151" s="53"/>
      <c r="GHS151" s="54"/>
      <c r="GHT151" s="52"/>
      <c r="GHU151" s="53"/>
      <c r="GHV151" s="8"/>
      <c r="GHW151" s="45"/>
      <c r="GHX151" s="45"/>
      <c r="GHY151" s="46"/>
      <c r="GHZ151" s="44"/>
      <c r="GIA151" s="7"/>
      <c r="GIB151" s="51"/>
      <c r="GIC151" s="52"/>
      <c r="GID151" s="53"/>
      <c r="GIE151" s="54"/>
      <c r="GIF151" s="52"/>
      <c r="GIG151" s="53"/>
      <c r="GIH151" s="54"/>
      <c r="GII151" s="52"/>
      <c r="GIJ151" s="53"/>
      <c r="GIK151" s="8"/>
      <c r="GIL151" s="45"/>
      <c r="GIM151" s="45"/>
      <c r="GIN151" s="46"/>
      <c r="GIO151" s="44"/>
      <c r="GIP151" s="7"/>
      <c r="GIQ151" s="51"/>
      <c r="GIR151" s="52"/>
      <c r="GIS151" s="53"/>
      <c r="GIT151" s="54"/>
      <c r="GIU151" s="52"/>
      <c r="GIV151" s="53"/>
      <c r="GIW151" s="54"/>
      <c r="GIX151" s="52"/>
      <c r="GIY151" s="53"/>
      <c r="GIZ151" s="8"/>
      <c r="GJA151" s="45"/>
      <c r="GJB151" s="45"/>
      <c r="GJC151" s="46"/>
      <c r="GJD151" s="44"/>
      <c r="GJE151" s="7"/>
      <c r="GJF151" s="51"/>
      <c r="GJG151" s="52"/>
      <c r="GJH151" s="53"/>
      <c r="GJI151" s="54"/>
      <c r="GJJ151" s="52"/>
      <c r="GJK151" s="53"/>
      <c r="GJL151" s="54"/>
      <c r="GJM151" s="52"/>
      <c r="GJN151" s="53"/>
      <c r="GJO151" s="8"/>
      <c r="GJP151" s="45"/>
      <c r="GJQ151" s="45"/>
      <c r="GJR151" s="46"/>
      <c r="GJS151" s="44"/>
      <c r="GJT151" s="7"/>
      <c r="GJU151" s="51"/>
      <c r="GJV151" s="52"/>
      <c r="GJW151" s="53"/>
      <c r="GJX151" s="54"/>
      <c r="GJY151" s="52"/>
      <c r="GJZ151" s="53"/>
      <c r="GKA151" s="54"/>
      <c r="GKB151" s="52"/>
      <c r="GKC151" s="53"/>
      <c r="GKD151" s="8"/>
      <c r="GKE151" s="45"/>
      <c r="GKF151" s="45"/>
      <c r="GKG151" s="46"/>
      <c r="GKH151" s="44"/>
      <c r="GKI151" s="7"/>
      <c r="GKJ151" s="51"/>
      <c r="GKK151" s="52"/>
      <c r="GKL151" s="53"/>
      <c r="GKM151" s="54"/>
      <c r="GKN151" s="52"/>
      <c r="GKO151" s="53"/>
      <c r="GKP151" s="54"/>
      <c r="GKQ151" s="52"/>
      <c r="GKR151" s="53"/>
      <c r="GKS151" s="8"/>
      <c r="GKT151" s="45"/>
      <c r="GKU151" s="45"/>
      <c r="GKV151" s="46"/>
      <c r="GKW151" s="44"/>
      <c r="GKX151" s="7"/>
      <c r="GKY151" s="51"/>
      <c r="GKZ151" s="52"/>
      <c r="GLA151" s="53"/>
      <c r="GLB151" s="54"/>
      <c r="GLC151" s="52"/>
      <c r="GLD151" s="53"/>
      <c r="GLE151" s="54"/>
      <c r="GLF151" s="52"/>
      <c r="GLG151" s="53"/>
      <c r="GLH151" s="8"/>
      <c r="GLI151" s="45"/>
      <c r="GLJ151" s="45"/>
      <c r="GLK151" s="46"/>
      <c r="GLL151" s="44"/>
      <c r="GLM151" s="7"/>
      <c r="GLN151" s="51"/>
      <c r="GLO151" s="52"/>
      <c r="GLP151" s="53"/>
      <c r="GLQ151" s="54"/>
      <c r="GLR151" s="52"/>
      <c r="GLS151" s="53"/>
      <c r="GLT151" s="54"/>
      <c r="GLU151" s="52"/>
      <c r="GLV151" s="53"/>
      <c r="GLW151" s="8"/>
      <c r="GLX151" s="45"/>
      <c r="GLY151" s="45"/>
      <c r="GLZ151" s="46"/>
      <c r="GMA151" s="44"/>
      <c r="GMB151" s="7"/>
      <c r="GMC151" s="51"/>
      <c r="GMD151" s="52"/>
      <c r="GME151" s="53"/>
      <c r="GMF151" s="54"/>
      <c r="GMG151" s="52"/>
      <c r="GMH151" s="53"/>
      <c r="GMI151" s="54"/>
      <c r="GMJ151" s="52"/>
      <c r="GMK151" s="53"/>
      <c r="GML151" s="8"/>
      <c r="GMM151" s="45"/>
      <c r="GMN151" s="45"/>
      <c r="GMO151" s="46"/>
      <c r="GMP151" s="44"/>
      <c r="GMQ151" s="7"/>
      <c r="GMR151" s="51"/>
      <c r="GMS151" s="52"/>
      <c r="GMT151" s="53"/>
      <c r="GMU151" s="54"/>
      <c r="GMV151" s="52"/>
      <c r="GMW151" s="53"/>
      <c r="GMX151" s="54"/>
      <c r="GMY151" s="52"/>
      <c r="GMZ151" s="53"/>
      <c r="GNA151" s="8"/>
      <c r="GNB151" s="45"/>
      <c r="GNC151" s="45"/>
      <c r="GND151" s="46"/>
      <c r="GNE151" s="44"/>
      <c r="GNF151" s="7"/>
      <c r="GNG151" s="51"/>
      <c r="GNH151" s="52"/>
      <c r="GNI151" s="53"/>
      <c r="GNJ151" s="54"/>
      <c r="GNK151" s="52"/>
      <c r="GNL151" s="53"/>
      <c r="GNM151" s="54"/>
      <c r="GNN151" s="52"/>
      <c r="GNO151" s="53"/>
      <c r="GNP151" s="8"/>
      <c r="GNQ151" s="45"/>
      <c r="GNR151" s="45"/>
      <c r="GNS151" s="46"/>
      <c r="GNT151" s="44"/>
      <c r="GNU151" s="7"/>
      <c r="GNV151" s="51"/>
      <c r="GNW151" s="52"/>
      <c r="GNX151" s="53"/>
      <c r="GNY151" s="54"/>
      <c r="GNZ151" s="52"/>
      <c r="GOA151" s="53"/>
      <c r="GOB151" s="54"/>
      <c r="GOC151" s="52"/>
      <c r="GOD151" s="53"/>
      <c r="GOE151" s="8"/>
      <c r="GOF151" s="45"/>
      <c r="GOG151" s="45"/>
      <c r="GOH151" s="46"/>
      <c r="GOI151" s="44"/>
      <c r="GOJ151" s="7"/>
      <c r="GOK151" s="51"/>
      <c r="GOL151" s="52"/>
      <c r="GOM151" s="53"/>
      <c r="GON151" s="54"/>
      <c r="GOO151" s="52"/>
      <c r="GOP151" s="53"/>
      <c r="GOQ151" s="54"/>
      <c r="GOR151" s="52"/>
      <c r="GOS151" s="53"/>
      <c r="GOT151" s="8"/>
      <c r="GOU151" s="45"/>
      <c r="GOV151" s="45"/>
      <c r="GOW151" s="46"/>
      <c r="GOX151" s="44"/>
      <c r="GOY151" s="7"/>
      <c r="GOZ151" s="51"/>
      <c r="GPA151" s="52"/>
      <c r="GPB151" s="53"/>
      <c r="GPC151" s="54"/>
      <c r="GPD151" s="52"/>
      <c r="GPE151" s="53"/>
      <c r="GPF151" s="54"/>
      <c r="GPG151" s="52"/>
      <c r="GPH151" s="53"/>
      <c r="GPI151" s="8"/>
      <c r="GPJ151" s="45"/>
      <c r="GPK151" s="45"/>
      <c r="GPL151" s="46"/>
      <c r="GPM151" s="44"/>
      <c r="GPN151" s="7"/>
      <c r="GPO151" s="51"/>
      <c r="GPP151" s="52"/>
      <c r="GPQ151" s="53"/>
      <c r="GPR151" s="54"/>
      <c r="GPS151" s="52"/>
      <c r="GPT151" s="53"/>
      <c r="GPU151" s="54"/>
      <c r="GPV151" s="52"/>
      <c r="GPW151" s="53"/>
      <c r="GPX151" s="8"/>
      <c r="GPY151" s="45"/>
      <c r="GPZ151" s="45"/>
      <c r="GQA151" s="46"/>
      <c r="GQB151" s="44"/>
      <c r="GQC151" s="7"/>
      <c r="GQD151" s="51"/>
      <c r="GQE151" s="52"/>
      <c r="GQF151" s="53"/>
      <c r="GQG151" s="54"/>
      <c r="GQH151" s="52"/>
      <c r="GQI151" s="53"/>
      <c r="GQJ151" s="54"/>
      <c r="GQK151" s="52"/>
      <c r="GQL151" s="53"/>
      <c r="GQM151" s="8"/>
      <c r="GQN151" s="45"/>
      <c r="GQO151" s="45"/>
      <c r="GQP151" s="46"/>
      <c r="GQQ151" s="44"/>
      <c r="GQR151" s="7"/>
      <c r="GQS151" s="51"/>
      <c r="GQT151" s="52"/>
      <c r="GQU151" s="53"/>
      <c r="GQV151" s="54"/>
      <c r="GQW151" s="52"/>
      <c r="GQX151" s="53"/>
      <c r="GQY151" s="54"/>
      <c r="GQZ151" s="52"/>
      <c r="GRA151" s="53"/>
      <c r="GRB151" s="8"/>
      <c r="GRC151" s="45"/>
      <c r="GRD151" s="45"/>
      <c r="GRE151" s="46"/>
      <c r="GRF151" s="44"/>
      <c r="GRG151" s="7"/>
      <c r="GRH151" s="51"/>
      <c r="GRI151" s="52"/>
      <c r="GRJ151" s="53"/>
      <c r="GRK151" s="54"/>
      <c r="GRL151" s="52"/>
      <c r="GRM151" s="53"/>
      <c r="GRN151" s="54"/>
      <c r="GRO151" s="52"/>
      <c r="GRP151" s="53"/>
      <c r="GRQ151" s="8"/>
      <c r="GRR151" s="45"/>
      <c r="GRS151" s="45"/>
      <c r="GRT151" s="46"/>
      <c r="GRU151" s="44"/>
      <c r="GRV151" s="7"/>
      <c r="GRW151" s="51"/>
      <c r="GRX151" s="52"/>
      <c r="GRY151" s="53"/>
      <c r="GRZ151" s="54"/>
      <c r="GSA151" s="52"/>
      <c r="GSB151" s="53"/>
      <c r="GSC151" s="54"/>
      <c r="GSD151" s="52"/>
      <c r="GSE151" s="53"/>
      <c r="GSF151" s="8"/>
      <c r="GSG151" s="45"/>
      <c r="GSH151" s="45"/>
      <c r="GSI151" s="46"/>
      <c r="GSJ151" s="44"/>
      <c r="GSK151" s="7"/>
      <c r="GSL151" s="51"/>
      <c r="GSM151" s="52"/>
      <c r="GSN151" s="53"/>
      <c r="GSO151" s="54"/>
      <c r="GSP151" s="52"/>
      <c r="GSQ151" s="53"/>
      <c r="GSR151" s="54"/>
      <c r="GSS151" s="52"/>
      <c r="GST151" s="53"/>
      <c r="GSU151" s="8"/>
      <c r="GSV151" s="45"/>
      <c r="GSW151" s="45"/>
      <c r="GSX151" s="46"/>
      <c r="GSY151" s="44"/>
      <c r="GSZ151" s="7"/>
      <c r="GTA151" s="51"/>
      <c r="GTB151" s="52"/>
      <c r="GTC151" s="53"/>
      <c r="GTD151" s="54"/>
      <c r="GTE151" s="52"/>
      <c r="GTF151" s="53"/>
      <c r="GTG151" s="54"/>
      <c r="GTH151" s="52"/>
      <c r="GTI151" s="53"/>
      <c r="GTJ151" s="8"/>
      <c r="GTK151" s="45"/>
      <c r="GTL151" s="45"/>
      <c r="GTM151" s="46"/>
      <c r="GTN151" s="44"/>
      <c r="GTO151" s="7"/>
      <c r="GTP151" s="51"/>
      <c r="GTQ151" s="52"/>
      <c r="GTR151" s="53"/>
      <c r="GTS151" s="54"/>
      <c r="GTT151" s="52"/>
      <c r="GTU151" s="53"/>
      <c r="GTV151" s="54"/>
      <c r="GTW151" s="52"/>
      <c r="GTX151" s="53"/>
      <c r="GTY151" s="8"/>
      <c r="GTZ151" s="45"/>
      <c r="GUA151" s="45"/>
      <c r="GUB151" s="46"/>
      <c r="GUC151" s="44"/>
      <c r="GUD151" s="7"/>
      <c r="GUE151" s="51"/>
      <c r="GUF151" s="52"/>
      <c r="GUG151" s="53"/>
      <c r="GUH151" s="54"/>
      <c r="GUI151" s="52"/>
      <c r="GUJ151" s="53"/>
      <c r="GUK151" s="54"/>
      <c r="GUL151" s="52"/>
      <c r="GUM151" s="53"/>
      <c r="GUN151" s="8"/>
      <c r="GUO151" s="45"/>
      <c r="GUP151" s="45"/>
      <c r="GUQ151" s="46"/>
      <c r="GUR151" s="44"/>
      <c r="GUS151" s="7"/>
      <c r="GUT151" s="51"/>
      <c r="GUU151" s="52"/>
      <c r="GUV151" s="53"/>
      <c r="GUW151" s="54"/>
      <c r="GUX151" s="52"/>
      <c r="GUY151" s="53"/>
      <c r="GUZ151" s="54"/>
      <c r="GVA151" s="52"/>
      <c r="GVB151" s="53"/>
      <c r="GVC151" s="8"/>
      <c r="GVD151" s="45"/>
      <c r="GVE151" s="45"/>
      <c r="GVF151" s="46"/>
      <c r="GVG151" s="44"/>
      <c r="GVH151" s="7"/>
      <c r="GVI151" s="51"/>
      <c r="GVJ151" s="52"/>
      <c r="GVK151" s="53"/>
      <c r="GVL151" s="54"/>
      <c r="GVM151" s="52"/>
      <c r="GVN151" s="53"/>
      <c r="GVO151" s="54"/>
      <c r="GVP151" s="52"/>
      <c r="GVQ151" s="53"/>
      <c r="GVR151" s="8"/>
      <c r="GVS151" s="45"/>
      <c r="GVT151" s="45"/>
      <c r="GVU151" s="46"/>
      <c r="GVV151" s="44"/>
      <c r="GVW151" s="7"/>
      <c r="GVX151" s="51"/>
      <c r="GVY151" s="52"/>
      <c r="GVZ151" s="53"/>
      <c r="GWA151" s="54"/>
      <c r="GWB151" s="52"/>
      <c r="GWC151" s="53"/>
      <c r="GWD151" s="54"/>
      <c r="GWE151" s="52"/>
      <c r="GWF151" s="53"/>
      <c r="GWG151" s="8"/>
      <c r="GWH151" s="45"/>
      <c r="GWI151" s="45"/>
      <c r="GWJ151" s="46"/>
      <c r="GWK151" s="44"/>
      <c r="GWL151" s="7"/>
      <c r="GWM151" s="51"/>
      <c r="GWN151" s="52"/>
      <c r="GWO151" s="53"/>
      <c r="GWP151" s="54"/>
      <c r="GWQ151" s="52"/>
      <c r="GWR151" s="53"/>
      <c r="GWS151" s="54"/>
      <c r="GWT151" s="52"/>
      <c r="GWU151" s="53"/>
      <c r="GWV151" s="8"/>
      <c r="GWW151" s="45"/>
      <c r="GWX151" s="45"/>
      <c r="GWY151" s="46"/>
      <c r="GWZ151" s="44"/>
      <c r="GXA151" s="7"/>
      <c r="GXB151" s="51"/>
      <c r="GXC151" s="52"/>
      <c r="GXD151" s="53"/>
      <c r="GXE151" s="54"/>
      <c r="GXF151" s="52"/>
      <c r="GXG151" s="53"/>
      <c r="GXH151" s="54"/>
      <c r="GXI151" s="52"/>
      <c r="GXJ151" s="53"/>
      <c r="GXK151" s="8"/>
      <c r="GXL151" s="45"/>
      <c r="GXM151" s="45"/>
      <c r="GXN151" s="46"/>
      <c r="GXO151" s="44"/>
      <c r="GXP151" s="7"/>
      <c r="GXQ151" s="51"/>
      <c r="GXR151" s="52"/>
      <c r="GXS151" s="53"/>
      <c r="GXT151" s="54"/>
      <c r="GXU151" s="52"/>
      <c r="GXV151" s="53"/>
      <c r="GXW151" s="54"/>
      <c r="GXX151" s="52"/>
      <c r="GXY151" s="53"/>
      <c r="GXZ151" s="8"/>
      <c r="GYA151" s="45"/>
      <c r="GYB151" s="45"/>
      <c r="GYC151" s="46"/>
      <c r="GYD151" s="44"/>
      <c r="GYE151" s="7"/>
      <c r="GYF151" s="51"/>
      <c r="GYG151" s="52"/>
      <c r="GYH151" s="53"/>
      <c r="GYI151" s="54"/>
      <c r="GYJ151" s="52"/>
      <c r="GYK151" s="53"/>
      <c r="GYL151" s="54"/>
      <c r="GYM151" s="52"/>
      <c r="GYN151" s="53"/>
      <c r="GYO151" s="8"/>
      <c r="GYP151" s="45"/>
      <c r="GYQ151" s="45"/>
      <c r="GYR151" s="46"/>
      <c r="GYS151" s="44"/>
      <c r="GYT151" s="7"/>
      <c r="GYU151" s="51"/>
      <c r="GYV151" s="52"/>
      <c r="GYW151" s="53"/>
      <c r="GYX151" s="54"/>
      <c r="GYY151" s="52"/>
      <c r="GYZ151" s="53"/>
      <c r="GZA151" s="54"/>
      <c r="GZB151" s="52"/>
      <c r="GZC151" s="53"/>
      <c r="GZD151" s="8"/>
      <c r="GZE151" s="45"/>
      <c r="GZF151" s="45"/>
      <c r="GZG151" s="46"/>
      <c r="GZH151" s="44"/>
      <c r="GZI151" s="7"/>
      <c r="GZJ151" s="51"/>
      <c r="GZK151" s="52"/>
      <c r="GZL151" s="53"/>
      <c r="GZM151" s="54"/>
      <c r="GZN151" s="52"/>
      <c r="GZO151" s="53"/>
      <c r="GZP151" s="54"/>
      <c r="GZQ151" s="52"/>
      <c r="GZR151" s="53"/>
      <c r="GZS151" s="8"/>
      <c r="GZT151" s="45"/>
      <c r="GZU151" s="45"/>
      <c r="GZV151" s="46"/>
      <c r="GZW151" s="44"/>
      <c r="GZX151" s="7"/>
      <c r="GZY151" s="51"/>
      <c r="GZZ151" s="52"/>
      <c r="HAA151" s="53"/>
      <c r="HAB151" s="54"/>
      <c r="HAC151" s="52"/>
      <c r="HAD151" s="53"/>
      <c r="HAE151" s="54"/>
      <c r="HAF151" s="52"/>
      <c r="HAG151" s="53"/>
      <c r="HAH151" s="8"/>
      <c r="HAI151" s="45"/>
      <c r="HAJ151" s="45"/>
      <c r="HAK151" s="46"/>
      <c r="HAL151" s="44"/>
      <c r="HAM151" s="7"/>
      <c r="HAN151" s="51"/>
      <c r="HAO151" s="52"/>
      <c r="HAP151" s="53"/>
      <c r="HAQ151" s="54"/>
      <c r="HAR151" s="52"/>
      <c r="HAS151" s="53"/>
      <c r="HAT151" s="54"/>
      <c r="HAU151" s="52"/>
      <c r="HAV151" s="53"/>
      <c r="HAW151" s="8"/>
      <c r="HAX151" s="45"/>
      <c r="HAY151" s="45"/>
      <c r="HAZ151" s="46"/>
      <c r="HBA151" s="44"/>
      <c r="HBB151" s="7"/>
      <c r="HBC151" s="51"/>
      <c r="HBD151" s="52"/>
      <c r="HBE151" s="53"/>
      <c r="HBF151" s="54"/>
      <c r="HBG151" s="52"/>
      <c r="HBH151" s="53"/>
      <c r="HBI151" s="54"/>
      <c r="HBJ151" s="52"/>
      <c r="HBK151" s="53"/>
      <c r="HBL151" s="8"/>
      <c r="HBM151" s="45"/>
      <c r="HBN151" s="45"/>
      <c r="HBO151" s="46"/>
      <c r="HBP151" s="44"/>
      <c r="HBQ151" s="7"/>
      <c r="HBR151" s="51"/>
      <c r="HBS151" s="52"/>
      <c r="HBT151" s="53"/>
      <c r="HBU151" s="54"/>
      <c r="HBV151" s="52"/>
      <c r="HBW151" s="53"/>
      <c r="HBX151" s="54"/>
      <c r="HBY151" s="52"/>
      <c r="HBZ151" s="53"/>
      <c r="HCA151" s="8"/>
      <c r="HCB151" s="45"/>
      <c r="HCC151" s="45"/>
      <c r="HCD151" s="46"/>
      <c r="HCE151" s="44"/>
      <c r="HCF151" s="7"/>
      <c r="HCG151" s="51"/>
      <c r="HCH151" s="52"/>
      <c r="HCI151" s="53"/>
      <c r="HCJ151" s="54"/>
      <c r="HCK151" s="52"/>
      <c r="HCL151" s="53"/>
      <c r="HCM151" s="54"/>
      <c r="HCN151" s="52"/>
      <c r="HCO151" s="53"/>
      <c r="HCP151" s="8"/>
      <c r="HCQ151" s="45"/>
      <c r="HCR151" s="45"/>
      <c r="HCS151" s="46"/>
      <c r="HCT151" s="44"/>
      <c r="HCU151" s="7"/>
      <c r="HCV151" s="51"/>
      <c r="HCW151" s="52"/>
      <c r="HCX151" s="53"/>
      <c r="HCY151" s="54"/>
      <c r="HCZ151" s="52"/>
      <c r="HDA151" s="53"/>
      <c r="HDB151" s="54"/>
      <c r="HDC151" s="52"/>
      <c r="HDD151" s="53"/>
      <c r="HDE151" s="8"/>
      <c r="HDF151" s="45"/>
      <c r="HDG151" s="45"/>
      <c r="HDH151" s="46"/>
      <c r="HDI151" s="44"/>
      <c r="HDJ151" s="7"/>
      <c r="HDK151" s="51"/>
      <c r="HDL151" s="52"/>
      <c r="HDM151" s="53"/>
      <c r="HDN151" s="54"/>
      <c r="HDO151" s="52"/>
      <c r="HDP151" s="53"/>
      <c r="HDQ151" s="54"/>
      <c r="HDR151" s="52"/>
      <c r="HDS151" s="53"/>
      <c r="HDT151" s="8"/>
      <c r="HDU151" s="45"/>
      <c r="HDV151" s="45"/>
      <c r="HDW151" s="46"/>
      <c r="HDX151" s="44"/>
      <c r="HDY151" s="7"/>
      <c r="HDZ151" s="51"/>
      <c r="HEA151" s="52"/>
      <c r="HEB151" s="53"/>
      <c r="HEC151" s="54"/>
      <c r="HED151" s="52"/>
      <c r="HEE151" s="53"/>
      <c r="HEF151" s="54"/>
      <c r="HEG151" s="52"/>
      <c r="HEH151" s="53"/>
      <c r="HEI151" s="8"/>
      <c r="HEJ151" s="45"/>
      <c r="HEK151" s="45"/>
      <c r="HEL151" s="46"/>
      <c r="HEM151" s="44"/>
      <c r="HEN151" s="7"/>
      <c r="HEO151" s="51"/>
      <c r="HEP151" s="52"/>
      <c r="HEQ151" s="53"/>
      <c r="HER151" s="54"/>
      <c r="HES151" s="52"/>
      <c r="HET151" s="53"/>
      <c r="HEU151" s="54"/>
      <c r="HEV151" s="52"/>
      <c r="HEW151" s="53"/>
      <c r="HEX151" s="8"/>
      <c r="HEY151" s="45"/>
      <c r="HEZ151" s="45"/>
      <c r="HFA151" s="46"/>
      <c r="HFB151" s="44"/>
      <c r="HFC151" s="7"/>
      <c r="HFD151" s="51"/>
      <c r="HFE151" s="52"/>
      <c r="HFF151" s="53"/>
      <c r="HFG151" s="54"/>
      <c r="HFH151" s="52"/>
      <c r="HFI151" s="53"/>
      <c r="HFJ151" s="54"/>
      <c r="HFK151" s="52"/>
      <c r="HFL151" s="53"/>
      <c r="HFM151" s="8"/>
      <c r="HFN151" s="45"/>
      <c r="HFO151" s="45"/>
      <c r="HFP151" s="46"/>
      <c r="HFQ151" s="44"/>
      <c r="HFR151" s="7"/>
      <c r="HFS151" s="51"/>
      <c r="HFT151" s="52"/>
      <c r="HFU151" s="53"/>
      <c r="HFV151" s="54"/>
      <c r="HFW151" s="52"/>
      <c r="HFX151" s="53"/>
      <c r="HFY151" s="54"/>
      <c r="HFZ151" s="52"/>
      <c r="HGA151" s="53"/>
      <c r="HGB151" s="8"/>
      <c r="HGC151" s="45"/>
      <c r="HGD151" s="45"/>
      <c r="HGE151" s="46"/>
      <c r="HGF151" s="44"/>
      <c r="HGG151" s="7"/>
      <c r="HGH151" s="51"/>
      <c r="HGI151" s="52"/>
      <c r="HGJ151" s="53"/>
      <c r="HGK151" s="54"/>
      <c r="HGL151" s="52"/>
      <c r="HGM151" s="53"/>
      <c r="HGN151" s="54"/>
      <c r="HGO151" s="52"/>
      <c r="HGP151" s="53"/>
      <c r="HGQ151" s="8"/>
      <c r="HGR151" s="45"/>
      <c r="HGS151" s="45"/>
      <c r="HGT151" s="46"/>
      <c r="HGU151" s="44"/>
      <c r="HGV151" s="7"/>
      <c r="HGW151" s="51"/>
      <c r="HGX151" s="52"/>
      <c r="HGY151" s="53"/>
      <c r="HGZ151" s="54"/>
      <c r="HHA151" s="52"/>
      <c r="HHB151" s="53"/>
      <c r="HHC151" s="54"/>
      <c r="HHD151" s="52"/>
      <c r="HHE151" s="53"/>
      <c r="HHF151" s="8"/>
      <c r="HHG151" s="45"/>
      <c r="HHH151" s="45"/>
      <c r="HHI151" s="46"/>
      <c r="HHJ151" s="44"/>
      <c r="HHK151" s="7"/>
      <c r="HHL151" s="51"/>
      <c r="HHM151" s="52"/>
      <c r="HHN151" s="53"/>
      <c r="HHO151" s="54"/>
      <c r="HHP151" s="52"/>
      <c r="HHQ151" s="53"/>
      <c r="HHR151" s="54"/>
      <c r="HHS151" s="52"/>
      <c r="HHT151" s="53"/>
      <c r="HHU151" s="8"/>
      <c r="HHV151" s="45"/>
      <c r="HHW151" s="45"/>
      <c r="HHX151" s="46"/>
      <c r="HHY151" s="44"/>
      <c r="HHZ151" s="7"/>
      <c r="HIA151" s="51"/>
      <c r="HIB151" s="52"/>
      <c r="HIC151" s="53"/>
      <c r="HID151" s="54"/>
      <c r="HIE151" s="52"/>
      <c r="HIF151" s="53"/>
      <c r="HIG151" s="54"/>
      <c r="HIH151" s="52"/>
      <c r="HII151" s="53"/>
      <c r="HIJ151" s="8"/>
      <c r="HIK151" s="45"/>
      <c r="HIL151" s="45"/>
      <c r="HIM151" s="46"/>
      <c r="HIN151" s="44"/>
      <c r="HIO151" s="7"/>
      <c r="HIP151" s="51"/>
      <c r="HIQ151" s="52"/>
      <c r="HIR151" s="53"/>
      <c r="HIS151" s="54"/>
      <c r="HIT151" s="52"/>
      <c r="HIU151" s="53"/>
      <c r="HIV151" s="54"/>
      <c r="HIW151" s="52"/>
      <c r="HIX151" s="53"/>
      <c r="HIY151" s="8"/>
      <c r="HIZ151" s="45"/>
      <c r="HJA151" s="45"/>
      <c r="HJB151" s="46"/>
      <c r="HJC151" s="44"/>
      <c r="HJD151" s="7"/>
      <c r="HJE151" s="51"/>
      <c r="HJF151" s="52"/>
      <c r="HJG151" s="53"/>
      <c r="HJH151" s="54"/>
      <c r="HJI151" s="52"/>
      <c r="HJJ151" s="53"/>
      <c r="HJK151" s="54"/>
      <c r="HJL151" s="52"/>
      <c r="HJM151" s="53"/>
      <c r="HJN151" s="8"/>
      <c r="HJO151" s="45"/>
      <c r="HJP151" s="45"/>
      <c r="HJQ151" s="46"/>
      <c r="HJR151" s="44"/>
      <c r="HJS151" s="7"/>
      <c r="HJT151" s="51"/>
      <c r="HJU151" s="52"/>
      <c r="HJV151" s="53"/>
      <c r="HJW151" s="54"/>
      <c r="HJX151" s="52"/>
      <c r="HJY151" s="53"/>
      <c r="HJZ151" s="54"/>
      <c r="HKA151" s="52"/>
      <c r="HKB151" s="53"/>
      <c r="HKC151" s="8"/>
      <c r="HKD151" s="45"/>
      <c r="HKE151" s="45"/>
      <c r="HKF151" s="46"/>
      <c r="HKG151" s="44"/>
      <c r="HKH151" s="7"/>
      <c r="HKI151" s="51"/>
      <c r="HKJ151" s="52"/>
      <c r="HKK151" s="53"/>
      <c r="HKL151" s="54"/>
      <c r="HKM151" s="52"/>
      <c r="HKN151" s="53"/>
      <c r="HKO151" s="54"/>
      <c r="HKP151" s="52"/>
      <c r="HKQ151" s="53"/>
      <c r="HKR151" s="8"/>
      <c r="HKS151" s="45"/>
      <c r="HKT151" s="45"/>
      <c r="HKU151" s="46"/>
      <c r="HKV151" s="44"/>
      <c r="HKW151" s="7"/>
      <c r="HKX151" s="51"/>
      <c r="HKY151" s="52"/>
      <c r="HKZ151" s="53"/>
      <c r="HLA151" s="54"/>
      <c r="HLB151" s="52"/>
      <c r="HLC151" s="53"/>
      <c r="HLD151" s="54"/>
      <c r="HLE151" s="52"/>
      <c r="HLF151" s="53"/>
      <c r="HLG151" s="8"/>
      <c r="HLH151" s="45"/>
      <c r="HLI151" s="45"/>
      <c r="HLJ151" s="46"/>
      <c r="HLK151" s="44"/>
      <c r="HLL151" s="7"/>
      <c r="HLM151" s="51"/>
      <c r="HLN151" s="52"/>
      <c r="HLO151" s="53"/>
      <c r="HLP151" s="54"/>
      <c r="HLQ151" s="52"/>
      <c r="HLR151" s="53"/>
      <c r="HLS151" s="54"/>
      <c r="HLT151" s="52"/>
      <c r="HLU151" s="53"/>
      <c r="HLV151" s="8"/>
      <c r="HLW151" s="45"/>
      <c r="HLX151" s="45"/>
      <c r="HLY151" s="46"/>
      <c r="HLZ151" s="44"/>
      <c r="HMA151" s="7"/>
      <c r="HMB151" s="51"/>
      <c r="HMC151" s="52"/>
      <c r="HMD151" s="53"/>
      <c r="HME151" s="54"/>
      <c r="HMF151" s="52"/>
      <c r="HMG151" s="53"/>
      <c r="HMH151" s="54"/>
      <c r="HMI151" s="52"/>
      <c r="HMJ151" s="53"/>
      <c r="HMK151" s="8"/>
      <c r="HML151" s="45"/>
      <c r="HMM151" s="45"/>
      <c r="HMN151" s="46"/>
      <c r="HMO151" s="44"/>
      <c r="HMP151" s="7"/>
      <c r="HMQ151" s="51"/>
      <c r="HMR151" s="52"/>
      <c r="HMS151" s="53"/>
      <c r="HMT151" s="54"/>
      <c r="HMU151" s="52"/>
      <c r="HMV151" s="53"/>
      <c r="HMW151" s="54"/>
      <c r="HMX151" s="52"/>
      <c r="HMY151" s="53"/>
      <c r="HMZ151" s="8"/>
      <c r="HNA151" s="45"/>
      <c r="HNB151" s="45"/>
      <c r="HNC151" s="46"/>
      <c r="HND151" s="44"/>
      <c r="HNE151" s="7"/>
      <c r="HNF151" s="51"/>
      <c r="HNG151" s="52"/>
      <c r="HNH151" s="53"/>
      <c r="HNI151" s="54"/>
      <c r="HNJ151" s="52"/>
      <c r="HNK151" s="53"/>
      <c r="HNL151" s="54"/>
      <c r="HNM151" s="52"/>
      <c r="HNN151" s="53"/>
      <c r="HNO151" s="8"/>
      <c r="HNP151" s="45"/>
      <c r="HNQ151" s="45"/>
      <c r="HNR151" s="46"/>
      <c r="HNS151" s="44"/>
      <c r="HNT151" s="7"/>
      <c r="HNU151" s="51"/>
      <c r="HNV151" s="52"/>
      <c r="HNW151" s="53"/>
      <c r="HNX151" s="54"/>
      <c r="HNY151" s="52"/>
      <c r="HNZ151" s="53"/>
      <c r="HOA151" s="54"/>
      <c r="HOB151" s="52"/>
      <c r="HOC151" s="53"/>
      <c r="HOD151" s="8"/>
      <c r="HOE151" s="45"/>
      <c r="HOF151" s="45"/>
      <c r="HOG151" s="46"/>
      <c r="HOH151" s="44"/>
      <c r="HOI151" s="7"/>
      <c r="HOJ151" s="51"/>
      <c r="HOK151" s="52"/>
      <c r="HOL151" s="53"/>
      <c r="HOM151" s="54"/>
      <c r="HON151" s="52"/>
      <c r="HOO151" s="53"/>
      <c r="HOP151" s="54"/>
      <c r="HOQ151" s="52"/>
      <c r="HOR151" s="53"/>
      <c r="HOS151" s="8"/>
      <c r="HOT151" s="45"/>
      <c r="HOU151" s="45"/>
      <c r="HOV151" s="46"/>
      <c r="HOW151" s="44"/>
      <c r="HOX151" s="7"/>
      <c r="HOY151" s="51"/>
      <c r="HOZ151" s="52"/>
      <c r="HPA151" s="53"/>
      <c r="HPB151" s="54"/>
      <c r="HPC151" s="52"/>
      <c r="HPD151" s="53"/>
      <c r="HPE151" s="54"/>
      <c r="HPF151" s="52"/>
      <c r="HPG151" s="53"/>
      <c r="HPH151" s="8"/>
      <c r="HPI151" s="45"/>
      <c r="HPJ151" s="45"/>
      <c r="HPK151" s="46"/>
      <c r="HPL151" s="44"/>
      <c r="HPM151" s="7"/>
      <c r="HPN151" s="51"/>
      <c r="HPO151" s="52"/>
      <c r="HPP151" s="53"/>
      <c r="HPQ151" s="54"/>
      <c r="HPR151" s="52"/>
      <c r="HPS151" s="53"/>
      <c r="HPT151" s="54"/>
      <c r="HPU151" s="52"/>
      <c r="HPV151" s="53"/>
      <c r="HPW151" s="8"/>
      <c r="HPX151" s="45"/>
      <c r="HPY151" s="45"/>
      <c r="HPZ151" s="46"/>
      <c r="HQA151" s="44"/>
      <c r="HQB151" s="7"/>
      <c r="HQC151" s="51"/>
      <c r="HQD151" s="52"/>
      <c r="HQE151" s="53"/>
      <c r="HQF151" s="54"/>
      <c r="HQG151" s="52"/>
      <c r="HQH151" s="53"/>
      <c r="HQI151" s="54"/>
      <c r="HQJ151" s="52"/>
      <c r="HQK151" s="53"/>
      <c r="HQL151" s="8"/>
      <c r="HQM151" s="45"/>
      <c r="HQN151" s="45"/>
      <c r="HQO151" s="46"/>
      <c r="HQP151" s="44"/>
      <c r="HQQ151" s="7"/>
      <c r="HQR151" s="51"/>
      <c r="HQS151" s="52"/>
      <c r="HQT151" s="53"/>
      <c r="HQU151" s="54"/>
      <c r="HQV151" s="52"/>
      <c r="HQW151" s="53"/>
      <c r="HQX151" s="54"/>
      <c r="HQY151" s="52"/>
      <c r="HQZ151" s="53"/>
      <c r="HRA151" s="8"/>
      <c r="HRB151" s="45"/>
      <c r="HRC151" s="45"/>
      <c r="HRD151" s="46"/>
      <c r="HRE151" s="44"/>
      <c r="HRF151" s="7"/>
      <c r="HRG151" s="51"/>
      <c r="HRH151" s="52"/>
      <c r="HRI151" s="53"/>
      <c r="HRJ151" s="54"/>
      <c r="HRK151" s="52"/>
      <c r="HRL151" s="53"/>
      <c r="HRM151" s="54"/>
      <c r="HRN151" s="52"/>
      <c r="HRO151" s="53"/>
      <c r="HRP151" s="8"/>
      <c r="HRQ151" s="45"/>
      <c r="HRR151" s="45"/>
      <c r="HRS151" s="46"/>
      <c r="HRT151" s="44"/>
      <c r="HRU151" s="7"/>
      <c r="HRV151" s="51"/>
      <c r="HRW151" s="52"/>
      <c r="HRX151" s="53"/>
      <c r="HRY151" s="54"/>
      <c r="HRZ151" s="52"/>
      <c r="HSA151" s="53"/>
      <c r="HSB151" s="54"/>
      <c r="HSC151" s="52"/>
      <c r="HSD151" s="53"/>
      <c r="HSE151" s="8"/>
      <c r="HSF151" s="45"/>
      <c r="HSG151" s="45"/>
      <c r="HSH151" s="46"/>
      <c r="HSI151" s="44"/>
      <c r="HSJ151" s="7"/>
      <c r="HSK151" s="51"/>
      <c r="HSL151" s="52"/>
      <c r="HSM151" s="53"/>
      <c r="HSN151" s="54"/>
      <c r="HSO151" s="52"/>
      <c r="HSP151" s="53"/>
      <c r="HSQ151" s="54"/>
      <c r="HSR151" s="52"/>
      <c r="HSS151" s="53"/>
      <c r="HST151" s="8"/>
      <c r="HSU151" s="45"/>
      <c r="HSV151" s="45"/>
      <c r="HSW151" s="46"/>
      <c r="HSX151" s="44"/>
      <c r="HSY151" s="7"/>
      <c r="HSZ151" s="51"/>
      <c r="HTA151" s="52"/>
      <c r="HTB151" s="53"/>
      <c r="HTC151" s="54"/>
      <c r="HTD151" s="52"/>
      <c r="HTE151" s="53"/>
      <c r="HTF151" s="54"/>
      <c r="HTG151" s="52"/>
      <c r="HTH151" s="53"/>
      <c r="HTI151" s="8"/>
      <c r="HTJ151" s="45"/>
      <c r="HTK151" s="45"/>
      <c r="HTL151" s="46"/>
      <c r="HTM151" s="44"/>
      <c r="HTN151" s="7"/>
      <c r="HTO151" s="51"/>
      <c r="HTP151" s="52"/>
      <c r="HTQ151" s="53"/>
      <c r="HTR151" s="54"/>
      <c r="HTS151" s="52"/>
      <c r="HTT151" s="53"/>
      <c r="HTU151" s="54"/>
      <c r="HTV151" s="52"/>
      <c r="HTW151" s="53"/>
      <c r="HTX151" s="8"/>
      <c r="HTY151" s="45"/>
      <c r="HTZ151" s="45"/>
      <c r="HUA151" s="46"/>
      <c r="HUB151" s="44"/>
      <c r="HUC151" s="7"/>
      <c r="HUD151" s="51"/>
      <c r="HUE151" s="52"/>
      <c r="HUF151" s="53"/>
      <c r="HUG151" s="54"/>
      <c r="HUH151" s="52"/>
      <c r="HUI151" s="53"/>
      <c r="HUJ151" s="54"/>
      <c r="HUK151" s="52"/>
      <c r="HUL151" s="53"/>
      <c r="HUM151" s="8"/>
      <c r="HUN151" s="45"/>
      <c r="HUO151" s="45"/>
      <c r="HUP151" s="46"/>
      <c r="HUQ151" s="44"/>
      <c r="HUR151" s="7"/>
      <c r="HUS151" s="51"/>
      <c r="HUT151" s="52"/>
      <c r="HUU151" s="53"/>
      <c r="HUV151" s="54"/>
      <c r="HUW151" s="52"/>
      <c r="HUX151" s="53"/>
      <c r="HUY151" s="54"/>
      <c r="HUZ151" s="52"/>
      <c r="HVA151" s="53"/>
      <c r="HVB151" s="8"/>
      <c r="HVC151" s="45"/>
      <c r="HVD151" s="45"/>
      <c r="HVE151" s="46"/>
      <c r="HVF151" s="44"/>
      <c r="HVG151" s="7"/>
      <c r="HVH151" s="51"/>
      <c r="HVI151" s="52"/>
      <c r="HVJ151" s="53"/>
      <c r="HVK151" s="54"/>
      <c r="HVL151" s="52"/>
      <c r="HVM151" s="53"/>
      <c r="HVN151" s="54"/>
      <c r="HVO151" s="52"/>
      <c r="HVP151" s="53"/>
      <c r="HVQ151" s="8"/>
      <c r="HVR151" s="45"/>
      <c r="HVS151" s="45"/>
      <c r="HVT151" s="46"/>
      <c r="HVU151" s="44"/>
      <c r="HVV151" s="7"/>
      <c r="HVW151" s="51"/>
      <c r="HVX151" s="52"/>
      <c r="HVY151" s="53"/>
      <c r="HVZ151" s="54"/>
      <c r="HWA151" s="52"/>
      <c r="HWB151" s="53"/>
      <c r="HWC151" s="54"/>
      <c r="HWD151" s="52"/>
      <c r="HWE151" s="53"/>
      <c r="HWF151" s="8"/>
      <c r="HWG151" s="45"/>
      <c r="HWH151" s="45"/>
      <c r="HWI151" s="46"/>
      <c r="HWJ151" s="44"/>
      <c r="HWK151" s="7"/>
      <c r="HWL151" s="51"/>
      <c r="HWM151" s="52"/>
      <c r="HWN151" s="53"/>
      <c r="HWO151" s="54"/>
      <c r="HWP151" s="52"/>
      <c r="HWQ151" s="53"/>
      <c r="HWR151" s="54"/>
      <c r="HWS151" s="52"/>
      <c r="HWT151" s="53"/>
      <c r="HWU151" s="8"/>
      <c r="HWV151" s="45"/>
      <c r="HWW151" s="45"/>
      <c r="HWX151" s="46"/>
      <c r="HWY151" s="44"/>
      <c r="HWZ151" s="7"/>
      <c r="HXA151" s="51"/>
      <c r="HXB151" s="52"/>
      <c r="HXC151" s="53"/>
      <c r="HXD151" s="54"/>
      <c r="HXE151" s="52"/>
      <c r="HXF151" s="53"/>
      <c r="HXG151" s="54"/>
      <c r="HXH151" s="52"/>
      <c r="HXI151" s="53"/>
      <c r="HXJ151" s="8"/>
      <c r="HXK151" s="45"/>
      <c r="HXL151" s="45"/>
      <c r="HXM151" s="46"/>
      <c r="HXN151" s="44"/>
      <c r="HXO151" s="7"/>
      <c r="HXP151" s="51"/>
      <c r="HXQ151" s="52"/>
      <c r="HXR151" s="53"/>
      <c r="HXS151" s="54"/>
      <c r="HXT151" s="52"/>
      <c r="HXU151" s="53"/>
      <c r="HXV151" s="54"/>
      <c r="HXW151" s="52"/>
      <c r="HXX151" s="53"/>
      <c r="HXY151" s="8"/>
      <c r="HXZ151" s="45"/>
      <c r="HYA151" s="45"/>
      <c r="HYB151" s="46"/>
      <c r="HYC151" s="44"/>
      <c r="HYD151" s="7"/>
      <c r="HYE151" s="51"/>
      <c r="HYF151" s="52"/>
      <c r="HYG151" s="53"/>
      <c r="HYH151" s="54"/>
      <c r="HYI151" s="52"/>
      <c r="HYJ151" s="53"/>
      <c r="HYK151" s="54"/>
      <c r="HYL151" s="52"/>
      <c r="HYM151" s="53"/>
      <c r="HYN151" s="8"/>
      <c r="HYO151" s="45"/>
      <c r="HYP151" s="45"/>
      <c r="HYQ151" s="46"/>
      <c r="HYR151" s="44"/>
      <c r="HYS151" s="7"/>
      <c r="HYT151" s="51"/>
      <c r="HYU151" s="52"/>
      <c r="HYV151" s="53"/>
      <c r="HYW151" s="54"/>
      <c r="HYX151" s="52"/>
      <c r="HYY151" s="53"/>
      <c r="HYZ151" s="54"/>
      <c r="HZA151" s="52"/>
      <c r="HZB151" s="53"/>
      <c r="HZC151" s="8"/>
      <c r="HZD151" s="45"/>
      <c r="HZE151" s="45"/>
      <c r="HZF151" s="46"/>
      <c r="HZG151" s="44"/>
      <c r="HZH151" s="7"/>
      <c r="HZI151" s="51"/>
      <c r="HZJ151" s="52"/>
      <c r="HZK151" s="53"/>
      <c r="HZL151" s="54"/>
      <c r="HZM151" s="52"/>
      <c r="HZN151" s="53"/>
      <c r="HZO151" s="54"/>
      <c r="HZP151" s="52"/>
      <c r="HZQ151" s="53"/>
      <c r="HZR151" s="8"/>
      <c r="HZS151" s="45"/>
      <c r="HZT151" s="45"/>
      <c r="HZU151" s="46"/>
      <c r="HZV151" s="44"/>
      <c r="HZW151" s="7"/>
      <c r="HZX151" s="51"/>
      <c r="HZY151" s="52"/>
      <c r="HZZ151" s="53"/>
      <c r="IAA151" s="54"/>
      <c r="IAB151" s="52"/>
      <c r="IAC151" s="53"/>
      <c r="IAD151" s="54"/>
      <c r="IAE151" s="52"/>
      <c r="IAF151" s="53"/>
      <c r="IAG151" s="8"/>
      <c r="IAH151" s="45"/>
      <c r="IAI151" s="45"/>
      <c r="IAJ151" s="46"/>
      <c r="IAK151" s="44"/>
      <c r="IAL151" s="7"/>
      <c r="IAM151" s="51"/>
      <c r="IAN151" s="52"/>
      <c r="IAO151" s="53"/>
      <c r="IAP151" s="54"/>
      <c r="IAQ151" s="52"/>
      <c r="IAR151" s="53"/>
      <c r="IAS151" s="54"/>
      <c r="IAT151" s="52"/>
      <c r="IAU151" s="53"/>
      <c r="IAV151" s="8"/>
      <c r="IAW151" s="45"/>
      <c r="IAX151" s="45"/>
      <c r="IAY151" s="46"/>
      <c r="IAZ151" s="44"/>
      <c r="IBA151" s="7"/>
      <c r="IBB151" s="51"/>
      <c r="IBC151" s="52"/>
      <c r="IBD151" s="53"/>
      <c r="IBE151" s="54"/>
      <c r="IBF151" s="52"/>
      <c r="IBG151" s="53"/>
      <c r="IBH151" s="54"/>
      <c r="IBI151" s="52"/>
      <c r="IBJ151" s="53"/>
      <c r="IBK151" s="8"/>
      <c r="IBL151" s="45"/>
      <c r="IBM151" s="45"/>
      <c r="IBN151" s="46"/>
      <c r="IBO151" s="44"/>
      <c r="IBP151" s="7"/>
      <c r="IBQ151" s="51"/>
      <c r="IBR151" s="52"/>
      <c r="IBS151" s="53"/>
      <c r="IBT151" s="54"/>
      <c r="IBU151" s="52"/>
      <c r="IBV151" s="53"/>
      <c r="IBW151" s="54"/>
      <c r="IBX151" s="52"/>
      <c r="IBY151" s="53"/>
      <c r="IBZ151" s="8"/>
      <c r="ICA151" s="45"/>
      <c r="ICB151" s="45"/>
      <c r="ICC151" s="46"/>
      <c r="ICD151" s="44"/>
      <c r="ICE151" s="7"/>
      <c r="ICF151" s="51"/>
      <c r="ICG151" s="52"/>
      <c r="ICH151" s="53"/>
      <c r="ICI151" s="54"/>
      <c r="ICJ151" s="52"/>
      <c r="ICK151" s="53"/>
      <c r="ICL151" s="54"/>
      <c r="ICM151" s="52"/>
      <c r="ICN151" s="53"/>
      <c r="ICO151" s="8"/>
      <c r="ICP151" s="45"/>
      <c r="ICQ151" s="45"/>
      <c r="ICR151" s="46"/>
      <c r="ICS151" s="44"/>
      <c r="ICT151" s="7"/>
      <c r="ICU151" s="51"/>
      <c r="ICV151" s="52"/>
      <c r="ICW151" s="53"/>
      <c r="ICX151" s="54"/>
      <c r="ICY151" s="52"/>
      <c r="ICZ151" s="53"/>
      <c r="IDA151" s="54"/>
      <c r="IDB151" s="52"/>
      <c r="IDC151" s="53"/>
      <c r="IDD151" s="8"/>
      <c r="IDE151" s="45"/>
      <c r="IDF151" s="45"/>
      <c r="IDG151" s="46"/>
      <c r="IDH151" s="44"/>
      <c r="IDI151" s="7"/>
      <c r="IDJ151" s="51"/>
      <c r="IDK151" s="52"/>
      <c r="IDL151" s="53"/>
      <c r="IDM151" s="54"/>
      <c r="IDN151" s="52"/>
      <c r="IDO151" s="53"/>
      <c r="IDP151" s="54"/>
      <c r="IDQ151" s="52"/>
      <c r="IDR151" s="53"/>
      <c r="IDS151" s="8"/>
      <c r="IDT151" s="45"/>
      <c r="IDU151" s="45"/>
      <c r="IDV151" s="46"/>
      <c r="IDW151" s="44"/>
      <c r="IDX151" s="7"/>
      <c r="IDY151" s="51"/>
      <c r="IDZ151" s="52"/>
      <c r="IEA151" s="53"/>
      <c r="IEB151" s="54"/>
      <c r="IEC151" s="52"/>
      <c r="IED151" s="53"/>
      <c r="IEE151" s="54"/>
      <c r="IEF151" s="52"/>
      <c r="IEG151" s="53"/>
      <c r="IEH151" s="8"/>
      <c r="IEI151" s="45"/>
      <c r="IEJ151" s="45"/>
      <c r="IEK151" s="46"/>
      <c r="IEL151" s="44"/>
      <c r="IEM151" s="7"/>
      <c r="IEN151" s="51"/>
      <c r="IEO151" s="52"/>
      <c r="IEP151" s="53"/>
      <c r="IEQ151" s="54"/>
      <c r="IER151" s="52"/>
      <c r="IES151" s="53"/>
      <c r="IET151" s="54"/>
      <c r="IEU151" s="52"/>
      <c r="IEV151" s="53"/>
      <c r="IEW151" s="8"/>
      <c r="IEX151" s="45"/>
      <c r="IEY151" s="45"/>
      <c r="IEZ151" s="46"/>
      <c r="IFA151" s="44"/>
      <c r="IFB151" s="7"/>
      <c r="IFC151" s="51"/>
      <c r="IFD151" s="52"/>
      <c r="IFE151" s="53"/>
      <c r="IFF151" s="54"/>
      <c r="IFG151" s="52"/>
      <c r="IFH151" s="53"/>
      <c r="IFI151" s="54"/>
      <c r="IFJ151" s="52"/>
      <c r="IFK151" s="53"/>
      <c r="IFL151" s="8"/>
      <c r="IFM151" s="45"/>
      <c r="IFN151" s="45"/>
      <c r="IFO151" s="46"/>
      <c r="IFP151" s="44"/>
      <c r="IFQ151" s="7"/>
      <c r="IFR151" s="51"/>
      <c r="IFS151" s="52"/>
      <c r="IFT151" s="53"/>
      <c r="IFU151" s="54"/>
      <c r="IFV151" s="52"/>
      <c r="IFW151" s="53"/>
      <c r="IFX151" s="54"/>
      <c r="IFY151" s="52"/>
      <c r="IFZ151" s="53"/>
      <c r="IGA151" s="8"/>
      <c r="IGB151" s="45"/>
      <c r="IGC151" s="45"/>
      <c r="IGD151" s="46"/>
      <c r="IGE151" s="44"/>
      <c r="IGF151" s="7"/>
      <c r="IGG151" s="51"/>
      <c r="IGH151" s="52"/>
      <c r="IGI151" s="53"/>
      <c r="IGJ151" s="54"/>
      <c r="IGK151" s="52"/>
      <c r="IGL151" s="53"/>
      <c r="IGM151" s="54"/>
      <c r="IGN151" s="52"/>
      <c r="IGO151" s="53"/>
      <c r="IGP151" s="8"/>
      <c r="IGQ151" s="45"/>
      <c r="IGR151" s="45"/>
      <c r="IGS151" s="46"/>
      <c r="IGT151" s="44"/>
      <c r="IGU151" s="7"/>
      <c r="IGV151" s="51"/>
      <c r="IGW151" s="52"/>
      <c r="IGX151" s="53"/>
      <c r="IGY151" s="54"/>
      <c r="IGZ151" s="52"/>
      <c r="IHA151" s="53"/>
      <c r="IHB151" s="54"/>
      <c r="IHC151" s="52"/>
      <c r="IHD151" s="53"/>
      <c r="IHE151" s="8"/>
      <c r="IHF151" s="45"/>
      <c r="IHG151" s="45"/>
      <c r="IHH151" s="46"/>
      <c r="IHI151" s="44"/>
      <c r="IHJ151" s="7"/>
      <c r="IHK151" s="51"/>
      <c r="IHL151" s="52"/>
      <c r="IHM151" s="53"/>
      <c r="IHN151" s="54"/>
      <c r="IHO151" s="52"/>
      <c r="IHP151" s="53"/>
      <c r="IHQ151" s="54"/>
      <c r="IHR151" s="52"/>
      <c r="IHS151" s="53"/>
      <c r="IHT151" s="8"/>
      <c r="IHU151" s="45"/>
      <c r="IHV151" s="45"/>
      <c r="IHW151" s="46"/>
      <c r="IHX151" s="44"/>
      <c r="IHY151" s="7"/>
      <c r="IHZ151" s="51"/>
      <c r="IIA151" s="52"/>
      <c r="IIB151" s="53"/>
      <c r="IIC151" s="54"/>
      <c r="IID151" s="52"/>
      <c r="IIE151" s="53"/>
      <c r="IIF151" s="54"/>
      <c r="IIG151" s="52"/>
      <c r="IIH151" s="53"/>
      <c r="III151" s="8"/>
      <c r="IIJ151" s="45"/>
      <c r="IIK151" s="45"/>
      <c r="IIL151" s="46"/>
      <c r="IIM151" s="44"/>
      <c r="IIN151" s="7"/>
      <c r="IIO151" s="51"/>
      <c r="IIP151" s="52"/>
      <c r="IIQ151" s="53"/>
      <c r="IIR151" s="54"/>
      <c r="IIS151" s="52"/>
      <c r="IIT151" s="53"/>
      <c r="IIU151" s="54"/>
      <c r="IIV151" s="52"/>
      <c r="IIW151" s="53"/>
      <c r="IIX151" s="8"/>
      <c r="IIY151" s="45"/>
      <c r="IIZ151" s="45"/>
      <c r="IJA151" s="46"/>
      <c r="IJB151" s="44"/>
      <c r="IJC151" s="7"/>
      <c r="IJD151" s="51"/>
      <c r="IJE151" s="52"/>
      <c r="IJF151" s="53"/>
      <c r="IJG151" s="54"/>
      <c r="IJH151" s="52"/>
      <c r="IJI151" s="53"/>
      <c r="IJJ151" s="54"/>
      <c r="IJK151" s="52"/>
      <c r="IJL151" s="53"/>
      <c r="IJM151" s="8"/>
      <c r="IJN151" s="45"/>
      <c r="IJO151" s="45"/>
      <c r="IJP151" s="46"/>
      <c r="IJQ151" s="44"/>
      <c r="IJR151" s="7"/>
      <c r="IJS151" s="51"/>
      <c r="IJT151" s="52"/>
      <c r="IJU151" s="53"/>
      <c r="IJV151" s="54"/>
      <c r="IJW151" s="52"/>
      <c r="IJX151" s="53"/>
      <c r="IJY151" s="54"/>
      <c r="IJZ151" s="52"/>
      <c r="IKA151" s="53"/>
      <c r="IKB151" s="8"/>
      <c r="IKC151" s="45"/>
      <c r="IKD151" s="45"/>
      <c r="IKE151" s="46"/>
      <c r="IKF151" s="44"/>
      <c r="IKG151" s="7"/>
      <c r="IKH151" s="51"/>
      <c r="IKI151" s="52"/>
      <c r="IKJ151" s="53"/>
      <c r="IKK151" s="54"/>
      <c r="IKL151" s="52"/>
      <c r="IKM151" s="53"/>
      <c r="IKN151" s="54"/>
      <c r="IKO151" s="52"/>
      <c r="IKP151" s="53"/>
      <c r="IKQ151" s="8"/>
      <c r="IKR151" s="45"/>
      <c r="IKS151" s="45"/>
      <c r="IKT151" s="46"/>
      <c r="IKU151" s="44"/>
      <c r="IKV151" s="7"/>
      <c r="IKW151" s="51"/>
      <c r="IKX151" s="52"/>
      <c r="IKY151" s="53"/>
      <c r="IKZ151" s="54"/>
      <c r="ILA151" s="52"/>
      <c r="ILB151" s="53"/>
      <c r="ILC151" s="54"/>
      <c r="ILD151" s="52"/>
      <c r="ILE151" s="53"/>
      <c r="ILF151" s="8"/>
      <c r="ILG151" s="45"/>
      <c r="ILH151" s="45"/>
      <c r="ILI151" s="46"/>
      <c r="ILJ151" s="44"/>
      <c r="ILK151" s="7"/>
      <c r="ILL151" s="51"/>
      <c r="ILM151" s="52"/>
      <c r="ILN151" s="53"/>
      <c r="ILO151" s="54"/>
      <c r="ILP151" s="52"/>
      <c r="ILQ151" s="53"/>
      <c r="ILR151" s="54"/>
      <c r="ILS151" s="52"/>
      <c r="ILT151" s="53"/>
      <c r="ILU151" s="8"/>
      <c r="ILV151" s="45"/>
      <c r="ILW151" s="45"/>
      <c r="ILX151" s="46"/>
      <c r="ILY151" s="44"/>
      <c r="ILZ151" s="7"/>
      <c r="IMA151" s="51"/>
      <c r="IMB151" s="52"/>
      <c r="IMC151" s="53"/>
      <c r="IMD151" s="54"/>
      <c r="IME151" s="52"/>
      <c r="IMF151" s="53"/>
      <c r="IMG151" s="54"/>
      <c r="IMH151" s="52"/>
      <c r="IMI151" s="53"/>
      <c r="IMJ151" s="8"/>
      <c r="IMK151" s="45"/>
      <c r="IML151" s="45"/>
      <c r="IMM151" s="46"/>
      <c r="IMN151" s="44"/>
      <c r="IMO151" s="7"/>
      <c r="IMP151" s="51"/>
      <c r="IMQ151" s="52"/>
      <c r="IMR151" s="53"/>
      <c r="IMS151" s="54"/>
      <c r="IMT151" s="52"/>
      <c r="IMU151" s="53"/>
      <c r="IMV151" s="54"/>
      <c r="IMW151" s="52"/>
      <c r="IMX151" s="53"/>
      <c r="IMY151" s="8"/>
      <c r="IMZ151" s="45"/>
      <c r="INA151" s="45"/>
      <c r="INB151" s="46"/>
      <c r="INC151" s="44"/>
      <c r="IND151" s="7"/>
      <c r="INE151" s="51"/>
      <c r="INF151" s="52"/>
      <c r="ING151" s="53"/>
      <c r="INH151" s="54"/>
      <c r="INI151" s="52"/>
      <c r="INJ151" s="53"/>
      <c r="INK151" s="54"/>
      <c r="INL151" s="52"/>
      <c r="INM151" s="53"/>
      <c r="INN151" s="8"/>
      <c r="INO151" s="45"/>
      <c r="INP151" s="45"/>
      <c r="INQ151" s="46"/>
      <c r="INR151" s="44"/>
      <c r="INS151" s="7"/>
      <c r="INT151" s="51"/>
      <c r="INU151" s="52"/>
      <c r="INV151" s="53"/>
      <c r="INW151" s="54"/>
      <c r="INX151" s="52"/>
      <c r="INY151" s="53"/>
      <c r="INZ151" s="54"/>
      <c r="IOA151" s="52"/>
      <c r="IOB151" s="53"/>
      <c r="IOC151" s="8"/>
      <c r="IOD151" s="45"/>
      <c r="IOE151" s="45"/>
      <c r="IOF151" s="46"/>
      <c r="IOG151" s="44"/>
      <c r="IOH151" s="7"/>
      <c r="IOI151" s="51"/>
      <c r="IOJ151" s="52"/>
      <c r="IOK151" s="53"/>
      <c r="IOL151" s="54"/>
      <c r="IOM151" s="52"/>
      <c r="ION151" s="53"/>
      <c r="IOO151" s="54"/>
      <c r="IOP151" s="52"/>
      <c r="IOQ151" s="53"/>
      <c r="IOR151" s="8"/>
      <c r="IOS151" s="45"/>
      <c r="IOT151" s="45"/>
      <c r="IOU151" s="46"/>
      <c r="IOV151" s="44"/>
      <c r="IOW151" s="7"/>
      <c r="IOX151" s="51"/>
      <c r="IOY151" s="52"/>
      <c r="IOZ151" s="53"/>
      <c r="IPA151" s="54"/>
      <c r="IPB151" s="52"/>
      <c r="IPC151" s="53"/>
      <c r="IPD151" s="54"/>
      <c r="IPE151" s="52"/>
      <c r="IPF151" s="53"/>
      <c r="IPG151" s="8"/>
      <c r="IPH151" s="45"/>
      <c r="IPI151" s="45"/>
      <c r="IPJ151" s="46"/>
      <c r="IPK151" s="44"/>
      <c r="IPL151" s="7"/>
      <c r="IPM151" s="51"/>
      <c r="IPN151" s="52"/>
      <c r="IPO151" s="53"/>
      <c r="IPP151" s="54"/>
      <c r="IPQ151" s="52"/>
      <c r="IPR151" s="53"/>
      <c r="IPS151" s="54"/>
      <c r="IPT151" s="52"/>
      <c r="IPU151" s="53"/>
      <c r="IPV151" s="8"/>
      <c r="IPW151" s="45"/>
      <c r="IPX151" s="45"/>
      <c r="IPY151" s="46"/>
      <c r="IPZ151" s="44"/>
      <c r="IQA151" s="7"/>
      <c r="IQB151" s="51"/>
      <c r="IQC151" s="52"/>
      <c r="IQD151" s="53"/>
      <c r="IQE151" s="54"/>
      <c r="IQF151" s="52"/>
      <c r="IQG151" s="53"/>
      <c r="IQH151" s="54"/>
      <c r="IQI151" s="52"/>
      <c r="IQJ151" s="53"/>
      <c r="IQK151" s="8"/>
      <c r="IQL151" s="45"/>
      <c r="IQM151" s="45"/>
      <c r="IQN151" s="46"/>
      <c r="IQO151" s="44"/>
      <c r="IQP151" s="7"/>
      <c r="IQQ151" s="51"/>
      <c r="IQR151" s="52"/>
      <c r="IQS151" s="53"/>
      <c r="IQT151" s="54"/>
      <c r="IQU151" s="52"/>
      <c r="IQV151" s="53"/>
      <c r="IQW151" s="54"/>
      <c r="IQX151" s="52"/>
      <c r="IQY151" s="53"/>
      <c r="IQZ151" s="8"/>
      <c r="IRA151" s="45"/>
      <c r="IRB151" s="45"/>
      <c r="IRC151" s="46"/>
      <c r="IRD151" s="44"/>
      <c r="IRE151" s="7"/>
      <c r="IRF151" s="51"/>
      <c r="IRG151" s="52"/>
      <c r="IRH151" s="53"/>
      <c r="IRI151" s="54"/>
      <c r="IRJ151" s="52"/>
      <c r="IRK151" s="53"/>
      <c r="IRL151" s="54"/>
      <c r="IRM151" s="52"/>
      <c r="IRN151" s="53"/>
      <c r="IRO151" s="8"/>
      <c r="IRP151" s="45"/>
      <c r="IRQ151" s="45"/>
      <c r="IRR151" s="46"/>
      <c r="IRS151" s="44"/>
      <c r="IRT151" s="7"/>
      <c r="IRU151" s="51"/>
      <c r="IRV151" s="52"/>
      <c r="IRW151" s="53"/>
      <c r="IRX151" s="54"/>
      <c r="IRY151" s="52"/>
      <c r="IRZ151" s="53"/>
      <c r="ISA151" s="54"/>
      <c r="ISB151" s="52"/>
      <c r="ISC151" s="53"/>
      <c r="ISD151" s="8"/>
      <c r="ISE151" s="45"/>
      <c r="ISF151" s="45"/>
      <c r="ISG151" s="46"/>
      <c r="ISH151" s="44"/>
      <c r="ISI151" s="7"/>
      <c r="ISJ151" s="51"/>
      <c r="ISK151" s="52"/>
      <c r="ISL151" s="53"/>
      <c r="ISM151" s="54"/>
      <c r="ISN151" s="52"/>
      <c r="ISO151" s="53"/>
      <c r="ISP151" s="54"/>
      <c r="ISQ151" s="52"/>
      <c r="ISR151" s="53"/>
      <c r="ISS151" s="8"/>
      <c r="IST151" s="45"/>
      <c r="ISU151" s="45"/>
      <c r="ISV151" s="46"/>
      <c r="ISW151" s="44"/>
      <c r="ISX151" s="7"/>
      <c r="ISY151" s="51"/>
      <c r="ISZ151" s="52"/>
      <c r="ITA151" s="53"/>
      <c r="ITB151" s="54"/>
      <c r="ITC151" s="52"/>
      <c r="ITD151" s="53"/>
      <c r="ITE151" s="54"/>
      <c r="ITF151" s="52"/>
      <c r="ITG151" s="53"/>
      <c r="ITH151" s="8"/>
      <c r="ITI151" s="45"/>
      <c r="ITJ151" s="45"/>
      <c r="ITK151" s="46"/>
      <c r="ITL151" s="44"/>
      <c r="ITM151" s="7"/>
      <c r="ITN151" s="51"/>
      <c r="ITO151" s="52"/>
      <c r="ITP151" s="53"/>
      <c r="ITQ151" s="54"/>
      <c r="ITR151" s="52"/>
      <c r="ITS151" s="53"/>
      <c r="ITT151" s="54"/>
      <c r="ITU151" s="52"/>
      <c r="ITV151" s="53"/>
      <c r="ITW151" s="8"/>
      <c r="ITX151" s="45"/>
      <c r="ITY151" s="45"/>
      <c r="ITZ151" s="46"/>
      <c r="IUA151" s="44"/>
      <c r="IUB151" s="7"/>
      <c r="IUC151" s="51"/>
      <c r="IUD151" s="52"/>
      <c r="IUE151" s="53"/>
      <c r="IUF151" s="54"/>
      <c r="IUG151" s="52"/>
      <c r="IUH151" s="53"/>
      <c r="IUI151" s="54"/>
      <c r="IUJ151" s="52"/>
      <c r="IUK151" s="53"/>
      <c r="IUL151" s="8"/>
      <c r="IUM151" s="45"/>
      <c r="IUN151" s="45"/>
      <c r="IUO151" s="46"/>
      <c r="IUP151" s="44"/>
      <c r="IUQ151" s="7"/>
      <c r="IUR151" s="51"/>
      <c r="IUS151" s="52"/>
      <c r="IUT151" s="53"/>
      <c r="IUU151" s="54"/>
      <c r="IUV151" s="52"/>
      <c r="IUW151" s="53"/>
      <c r="IUX151" s="54"/>
      <c r="IUY151" s="52"/>
      <c r="IUZ151" s="53"/>
      <c r="IVA151" s="8"/>
      <c r="IVB151" s="45"/>
      <c r="IVC151" s="45"/>
      <c r="IVD151" s="46"/>
      <c r="IVE151" s="44"/>
      <c r="IVF151" s="7"/>
      <c r="IVG151" s="51"/>
      <c r="IVH151" s="52"/>
      <c r="IVI151" s="53"/>
      <c r="IVJ151" s="54"/>
      <c r="IVK151" s="52"/>
      <c r="IVL151" s="53"/>
      <c r="IVM151" s="54"/>
      <c r="IVN151" s="52"/>
      <c r="IVO151" s="53"/>
      <c r="IVP151" s="8"/>
      <c r="IVQ151" s="45"/>
      <c r="IVR151" s="45"/>
      <c r="IVS151" s="46"/>
      <c r="IVT151" s="44"/>
      <c r="IVU151" s="7"/>
      <c r="IVV151" s="51"/>
      <c r="IVW151" s="52"/>
      <c r="IVX151" s="53"/>
      <c r="IVY151" s="54"/>
      <c r="IVZ151" s="52"/>
      <c r="IWA151" s="53"/>
      <c r="IWB151" s="54"/>
      <c r="IWC151" s="52"/>
      <c r="IWD151" s="53"/>
      <c r="IWE151" s="8"/>
      <c r="IWF151" s="45"/>
      <c r="IWG151" s="45"/>
      <c r="IWH151" s="46"/>
      <c r="IWI151" s="44"/>
      <c r="IWJ151" s="7"/>
      <c r="IWK151" s="51"/>
      <c r="IWL151" s="52"/>
      <c r="IWM151" s="53"/>
      <c r="IWN151" s="54"/>
      <c r="IWO151" s="52"/>
      <c r="IWP151" s="53"/>
      <c r="IWQ151" s="54"/>
      <c r="IWR151" s="52"/>
      <c r="IWS151" s="53"/>
      <c r="IWT151" s="8"/>
      <c r="IWU151" s="45"/>
      <c r="IWV151" s="45"/>
      <c r="IWW151" s="46"/>
      <c r="IWX151" s="44"/>
      <c r="IWY151" s="7"/>
      <c r="IWZ151" s="51"/>
      <c r="IXA151" s="52"/>
      <c r="IXB151" s="53"/>
      <c r="IXC151" s="54"/>
      <c r="IXD151" s="52"/>
      <c r="IXE151" s="53"/>
      <c r="IXF151" s="54"/>
      <c r="IXG151" s="52"/>
      <c r="IXH151" s="53"/>
      <c r="IXI151" s="8"/>
      <c r="IXJ151" s="45"/>
      <c r="IXK151" s="45"/>
      <c r="IXL151" s="46"/>
      <c r="IXM151" s="44"/>
      <c r="IXN151" s="7"/>
      <c r="IXO151" s="51"/>
      <c r="IXP151" s="52"/>
      <c r="IXQ151" s="53"/>
      <c r="IXR151" s="54"/>
      <c r="IXS151" s="52"/>
      <c r="IXT151" s="53"/>
      <c r="IXU151" s="54"/>
      <c r="IXV151" s="52"/>
      <c r="IXW151" s="53"/>
      <c r="IXX151" s="8"/>
      <c r="IXY151" s="45"/>
      <c r="IXZ151" s="45"/>
      <c r="IYA151" s="46"/>
      <c r="IYB151" s="44"/>
      <c r="IYC151" s="7"/>
      <c r="IYD151" s="51"/>
      <c r="IYE151" s="52"/>
      <c r="IYF151" s="53"/>
      <c r="IYG151" s="54"/>
      <c r="IYH151" s="52"/>
      <c r="IYI151" s="53"/>
      <c r="IYJ151" s="54"/>
      <c r="IYK151" s="52"/>
      <c r="IYL151" s="53"/>
      <c r="IYM151" s="8"/>
      <c r="IYN151" s="45"/>
      <c r="IYO151" s="45"/>
      <c r="IYP151" s="46"/>
      <c r="IYQ151" s="44"/>
      <c r="IYR151" s="7"/>
      <c r="IYS151" s="51"/>
      <c r="IYT151" s="52"/>
      <c r="IYU151" s="53"/>
      <c r="IYV151" s="54"/>
      <c r="IYW151" s="52"/>
      <c r="IYX151" s="53"/>
      <c r="IYY151" s="54"/>
      <c r="IYZ151" s="52"/>
      <c r="IZA151" s="53"/>
      <c r="IZB151" s="8"/>
      <c r="IZC151" s="45"/>
      <c r="IZD151" s="45"/>
      <c r="IZE151" s="46"/>
      <c r="IZF151" s="44"/>
      <c r="IZG151" s="7"/>
      <c r="IZH151" s="51"/>
      <c r="IZI151" s="52"/>
      <c r="IZJ151" s="53"/>
      <c r="IZK151" s="54"/>
      <c r="IZL151" s="52"/>
      <c r="IZM151" s="53"/>
      <c r="IZN151" s="54"/>
      <c r="IZO151" s="52"/>
      <c r="IZP151" s="53"/>
      <c r="IZQ151" s="8"/>
      <c r="IZR151" s="45"/>
      <c r="IZS151" s="45"/>
      <c r="IZT151" s="46"/>
      <c r="IZU151" s="44"/>
      <c r="IZV151" s="7"/>
      <c r="IZW151" s="51"/>
      <c r="IZX151" s="52"/>
      <c r="IZY151" s="53"/>
      <c r="IZZ151" s="54"/>
      <c r="JAA151" s="52"/>
      <c r="JAB151" s="53"/>
      <c r="JAC151" s="54"/>
      <c r="JAD151" s="52"/>
      <c r="JAE151" s="53"/>
      <c r="JAF151" s="8"/>
      <c r="JAG151" s="45"/>
      <c r="JAH151" s="45"/>
      <c r="JAI151" s="46"/>
      <c r="JAJ151" s="44"/>
      <c r="JAK151" s="7"/>
      <c r="JAL151" s="51"/>
      <c r="JAM151" s="52"/>
      <c r="JAN151" s="53"/>
      <c r="JAO151" s="54"/>
      <c r="JAP151" s="52"/>
      <c r="JAQ151" s="53"/>
      <c r="JAR151" s="54"/>
      <c r="JAS151" s="52"/>
      <c r="JAT151" s="53"/>
      <c r="JAU151" s="8"/>
      <c r="JAV151" s="45"/>
      <c r="JAW151" s="45"/>
      <c r="JAX151" s="46"/>
      <c r="JAY151" s="44"/>
      <c r="JAZ151" s="7"/>
      <c r="JBA151" s="51"/>
      <c r="JBB151" s="52"/>
      <c r="JBC151" s="53"/>
      <c r="JBD151" s="54"/>
      <c r="JBE151" s="52"/>
      <c r="JBF151" s="53"/>
      <c r="JBG151" s="54"/>
      <c r="JBH151" s="52"/>
      <c r="JBI151" s="53"/>
      <c r="JBJ151" s="8"/>
      <c r="JBK151" s="45"/>
      <c r="JBL151" s="45"/>
      <c r="JBM151" s="46"/>
      <c r="JBN151" s="44"/>
      <c r="JBO151" s="7"/>
      <c r="JBP151" s="51"/>
      <c r="JBQ151" s="52"/>
      <c r="JBR151" s="53"/>
      <c r="JBS151" s="54"/>
      <c r="JBT151" s="52"/>
      <c r="JBU151" s="53"/>
      <c r="JBV151" s="54"/>
      <c r="JBW151" s="52"/>
      <c r="JBX151" s="53"/>
      <c r="JBY151" s="8"/>
      <c r="JBZ151" s="45"/>
      <c r="JCA151" s="45"/>
      <c r="JCB151" s="46"/>
      <c r="JCC151" s="44"/>
      <c r="JCD151" s="7"/>
      <c r="JCE151" s="51"/>
      <c r="JCF151" s="52"/>
      <c r="JCG151" s="53"/>
      <c r="JCH151" s="54"/>
      <c r="JCI151" s="52"/>
      <c r="JCJ151" s="53"/>
      <c r="JCK151" s="54"/>
      <c r="JCL151" s="52"/>
      <c r="JCM151" s="53"/>
      <c r="JCN151" s="8"/>
      <c r="JCO151" s="45"/>
      <c r="JCP151" s="45"/>
      <c r="JCQ151" s="46"/>
      <c r="JCR151" s="44"/>
      <c r="JCS151" s="7"/>
      <c r="JCT151" s="51"/>
      <c r="JCU151" s="52"/>
      <c r="JCV151" s="53"/>
      <c r="JCW151" s="54"/>
      <c r="JCX151" s="52"/>
      <c r="JCY151" s="53"/>
      <c r="JCZ151" s="54"/>
      <c r="JDA151" s="52"/>
      <c r="JDB151" s="53"/>
      <c r="JDC151" s="8"/>
      <c r="JDD151" s="45"/>
      <c r="JDE151" s="45"/>
      <c r="JDF151" s="46"/>
      <c r="JDG151" s="44"/>
      <c r="JDH151" s="7"/>
      <c r="JDI151" s="51"/>
      <c r="JDJ151" s="52"/>
      <c r="JDK151" s="53"/>
      <c r="JDL151" s="54"/>
      <c r="JDM151" s="52"/>
      <c r="JDN151" s="53"/>
      <c r="JDO151" s="54"/>
      <c r="JDP151" s="52"/>
      <c r="JDQ151" s="53"/>
      <c r="JDR151" s="8"/>
      <c r="JDS151" s="45"/>
      <c r="JDT151" s="45"/>
      <c r="JDU151" s="46"/>
      <c r="JDV151" s="44"/>
      <c r="JDW151" s="7"/>
      <c r="JDX151" s="51"/>
      <c r="JDY151" s="52"/>
      <c r="JDZ151" s="53"/>
      <c r="JEA151" s="54"/>
      <c r="JEB151" s="52"/>
      <c r="JEC151" s="53"/>
      <c r="JED151" s="54"/>
      <c r="JEE151" s="52"/>
      <c r="JEF151" s="53"/>
      <c r="JEG151" s="8"/>
      <c r="JEH151" s="45"/>
      <c r="JEI151" s="45"/>
      <c r="JEJ151" s="46"/>
      <c r="JEK151" s="44"/>
      <c r="JEL151" s="7"/>
      <c r="JEM151" s="51"/>
      <c r="JEN151" s="52"/>
      <c r="JEO151" s="53"/>
      <c r="JEP151" s="54"/>
      <c r="JEQ151" s="52"/>
      <c r="JER151" s="53"/>
      <c r="JES151" s="54"/>
      <c r="JET151" s="52"/>
      <c r="JEU151" s="53"/>
      <c r="JEV151" s="8"/>
      <c r="JEW151" s="45"/>
      <c r="JEX151" s="45"/>
      <c r="JEY151" s="46"/>
      <c r="JEZ151" s="44"/>
      <c r="JFA151" s="7"/>
      <c r="JFB151" s="51"/>
      <c r="JFC151" s="52"/>
      <c r="JFD151" s="53"/>
      <c r="JFE151" s="54"/>
      <c r="JFF151" s="52"/>
      <c r="JFG151" s="53"/>
      <c r="JFH151" s="54"/>
      <c r="JFI151" s="52"/>
      <c r="JFJ151" s="53"/>
      <c r="JFK151" s="8"/>
      <c r="JFL151" s="45"/>
      <c r="JFM151" s="45"/>
      <c r="JFN151" s="46"/>
      <c r="JFO151" s="44"/>
      <c r="JFP151" s="7"/>
      <c r="JFQ151" s="51"/>
      <c r="JFR151" s="52"/>
      <c r="JFS151" s="53"/>
      <c r="JFT151" s="54"/>
      <c r="JFU151" s="52"/>
      <c r="JFV151" s="53"/>
      <c r="JFW151" s="54"/>
      <c r="JFX151" s="52"/>
      <c r="JFY151" s="53"/>
      <c r="JFZ151" s="8"/>
      <c r="JGA151" s="45"/>
      <c r="JGB151" s="45"/>
      <c r="JGC151" s="46"/>
      <c r="JGD151" s="44"/>
      <c r="JGE151" s="7"/>
      <c r="JGF151" s="51"/>
      <c r="JGG151" s="52"/>
      <c r="JGH151" s="53"/>
      <c r="JGI151" s="54"/>
      <c r="JGJ151" s="52"/>
      <c r="JGK151" s="53"/>
      <c r="JGL151" s="54"/>
      <c r="JGM151" s="52"/>
      <c r="JGN151" s="53"/>
      <c r="JGO151" s="8"/>
      <c r="JGP151" s="45"/>
      <c r="JGQ151" s="45"/>
      <c r="JGR151" s="46"/>
      <c r="JGS151" s="44"/>
      <c r="JGT151" s="7"/>
      <c r="JGU151" s="51"/>
      <c r="JGV151" s="52"/>
      <c r="JGW151" s="53"/>
      <c r="JGX151" s="54"/>
      <c r="JGY151" s="52"/>
      <c r="JGZ151" s="53"/>
      <c r="JHA151" s="54"/>
      <c r="JHB151" s="52"/>
      <c r="JHC151" s="53"/>
      <c r="JHD151" s="8"/>
      <c r="JHE151" s="45"/>
      <c r="JHF151" s="45"/>
      <c r="JHG151" s="46"/>
      <c r="JHH151" s="44"/>
      <c r="JHI151" s="7"/>
      <c r="JHJ151" s="51"/>
      <c r="JHK151" s="52"/>
      <c r="JHL151" s="53"/>
      <c r="JHM151" s="54"/>
      <c r="JHN151" s="52"/>
      <c r="JHO151" s="53"/>
      <c r="JHP151" s="54"/>
      <c r="JHQ151" s="52"/>
      <c r="JHR151" s="53"/>
      <c r="JHS151" s="8"/>
      <c r="JHT151" s="45"/>
      <c r="JHU151" s="45"/>
      <c r="JHV151" s="46"/>
      <c r="JHW151" s="44"/>
      <c r="JHX151" s="7"/>
      <c r="JHY151" s="51"/>
      <c r="JHZ151" s="52"/>
      <c r="JIA151" s="53"/>
      <c r="JIB151" s="54"/>
      <c r="JIC151" s="52"/>
      <c r="JID151" s="53"/>
      <c r="JIE151" s="54"/>
      <c r="JIF151" s="52"/>
      <c r="JIG151" s="53"/>
      <c r="JIH151" s="8"/>
      <c r="JII151" s="45"/>
      <c r="JIJ151" s="45"/>
      <c r="JIK151" s="46"/>
      <c r="JIL151" s="44"/>
      <c r="JIM151" s="7"/>
      <c r="JIN151" s="51"/>
      <c r="JIO151" s="52"/>
      <c r="JIP151" s="53"/>
      <c r="JIQ151" s="54"/>
      <c r="JIR151" s="52"/>
      <c r="JIS151" s="53"/>
      <c r="JIT151" s="54"/>
      <c r="JIU151" s="52"/>
      <c r="JIV151" s="53"/>
      <c r="JIW151" s="8"/>
      <c r="JIX151" s="45"/>
      <c r="JIY151" s="45"/>
      <c r="JIZ151" s="46"/>
      <c r="JJA151" s="44"/>
      <c r="JJB151" s="7"/>
      <c r="JJC151" s="51"/>
      <c r="JJD151" s="52"/>
      <c r="JJE151" s="53"/>
      <c r="JJF151" s="54"/>
      <c r="JJG151" s="52"/>
      <c r="JJH151" s="53"/>
      <c r="JJI151" s="54"/>
      <c r="JJJ151" s="52"/>
      <c r="JJK151" s="53"/>
      <c r="JJL151" s="8"/>
      <c r="JJM151" s="45"/>
      <c r="JJN151" s="45"/>
      <c r="JJO151" s="46"/>
      <c r="JJP151" s="44"/>
      <c r="JJQ151" s="7"/>
      <c r="JJR151" s="51"/>
      <c r="JJS151" s="52"/>
      <c r="JJT151" s="53"/>
      <c r="JJU151" s="54"/>
      <c r="JJV151" s="52"/>
      <c r="JJW151" s="53"/>
      <c r="JJX151" s="54"/>
      <c r="JJY151" s="52"/>
      <c r="JJZ151" s="53"/>
      <c r="JKA151" s="8"/>
      <c r="JKB151" s="45"/>
      <c r="JKC151" s="45"/>
      <c r="JKD151" s="46"/>
      <c r="JKE151" s="44"/>
      <c r="JKF151" s="7"/>
      <c r="JKG151" s="51"/>
      <c r="JKH151" s="52"/>
      <c r="JKI151" s="53"/>
      <c r="JKJ151" s="54"/>
      <c r="JKK151" s="52"/>
      <c r="JKL151" s="53"/>
      <c r="JKM151" s="54"/>
      <c r="JKN151" s="52"/>
      <c r="JKO151" s="53"/>
      <c r="JKP151" s="8"/>
      <c r="JKQ151" s="45"/>
      <c r="JKR151" s="45"/>
      <c r="JKS151" s="46"/>
      <c r="JKT151" s="44"/>
      <c r="JKU151" s="7"/>
      <c r="JKV151" s="51"/>
      <c r="JKW151" s="52"/>
      <c r="JKX151" s="53"/>
      <c r="JKY151" s="54"/>
      <c r="JKZ151" s="52"/>
      <c r="JLA151" s="53"/>
      <c r="JLB151" s="54"/>
      <c r="JLC151" s="52"/>
      <c r="JLD151" s="53"/>
      <c r="JLE151" s="8"/>
      <c r="JLF151" s="45"/>
      <c r="JLG151" s="45"/>
      <c r="JLH151" s="46"/>
      <c r="JLI151" s="44"/>
      <c r="JLJ151" s="7"/>
      <c r="JLK151" s="51"/>
      <c r="JLL151" s="52"/>
      <c r="JLM151" s="53"/>
      <c r="JLN151" s="54"/>
      <c r="JLO151" s="52"/>
      <c r="JLP151" s="53"/>
      <c r="JLQ151" s="54"/>
      <c r="JLR151" s="52"/>
      <c r="JLS151" s="53"/>
      <c r="JLT151" s="8"/>
      <c r="JLU151" s="45"/>
      <c r="JLV151" s="45"/>
      <c r="JLW151" s="46"/>
      <c r="JLX151" s="44"/>
      <c r="JLY151" s="7"/>
      <c r="JLZ151" s="51"/>
      <c r="JMA151" s="52"/>
      <c r="JMB151" s="53"/>
      <c r="JMC151" s="54"/>
      <c r="JMD151" s="52"/>
      <c r="JME151" s="53"/>
      <c r="JMF151" s="54"/>
      <c r="JMG151" s="52"/>
      <c r="JMH151" s="53"/>
      <c r="JMI151" s="8"/>
      <c r="JMJ151" s="45"/>
      <c r="JMK151" s="45"/>
      <c r="JML151" s="46"/>
      <c r="JMM151" s="44"/>
      <c r="JMN151" s="7"/>
      <c r="JMO151" s="51"/>
      <c r="JMP151" s="52"/>
      <c r="JMQ151" s="53"/>
      <c r="JMR151" s="54"/>
      <c r="JMS151" s="52"/>
      <c r="JMT151" s="53"/>
      <c r="JMU151" s="54"/>
      <c r="JMV151" s="52"/>
      <c r="JMW151" s="53"/>
      <c r="JMX151" s="8"/>
      <c r="JMY151" s="45"/>
      <c r="JMZ151" s="45"/>
      <c r="JNA151" s="46"/>
      <c r="JNB151" s="44"/>
      <c r="JNC151" s="7"/>
      <c r="JND151" s="51"/>
      <c r="JNE151" s="52"/>
      <c r="JNF151" s="53"/>
      <c r="JNG151" s="54"/>
      <c r="JNH151" s="52"/>
      <c r="JNI151" s="53"/>
      <c r="JNJ151" s="54"/>
      <c r="JNK151" s="52"/>
      <c r="JNL151" s="53"/>
      <c r="JNM151" s="8"/>
      <c r="JNN151" s="45"/>
      <c r="JNO151" s="45"/>
      <c r="JNP151" s="46"/>
      <c r="JNQ151" s="44"/>
      <c r="JNR151" s="7"/>
      <c r="JNS151" s="51"/>
      <c r="JNT151" s="52"/>
      <c r="JNU151" s="53"/>
      <c r="JNV151" s="54"/>
      <c r="JNW151" s="52"/>
      <c r="JNX151" s="53"/>
      <c r="JNY151" s="54"/>
      <c r="JNZ151" s="52"/>
      <c r="JOA151" s="53"/>
      <c r="JOB151" s="8"/>
      <c r="JOC151" s="45"/>
      <c r="JOD151" s="45"/>
      <c r="JOE151" s="46"/>
      <c r="JOF151" s="44"/>
      <c r="JOG151" s="7"/>
      <c r="JOH151" s="51"/>
      <c r="JOI151" s="52"/>
      <c r="JOJ151" s="53"/>
      <c r="JOK151" s="54"/>
      <c r="JOL151" s="52"/>
      <c r="JOM151" s="53"/>
      <c r="JON151" s="54"/>
      <c r="JOO151" s="52"/>
      <c r="JOP151" s="53"/>
      <c r="JOQ151" s="8"/>
      <c r="JOR151" s="45"/>
      <c r="JOS151" s="45"/>
      <c r="JOT151" s="46"/>
      <c r="JOU151" s="44"/>
      <c r="JOV151" s="7"/>
      <c r="JOW151" s="51"/>
      <c r="JOX151" s="52"/>
      <c r="JOY151" s="53"/>
      <c r="JOZ151" s="54"/>
      <c r="JPA151" s="52"/>
      <c r="JPB151" s="53"/>
      <c r="JPC151" s="54"/>
      <c r="JPD151" s="52"/>
      <c r="JPE151" s="53"/>
      <c r="JPF151" s="8"/>
      <c r="JPG151" s="45"/>
      <c r="JPH151" s="45"/>
      <c r="JPI151" s="46"/>
      <c r="JPJ151" s="44"/>
      <c r="JPK151" s="7"/>
      <c r="JPL151" s="51"/>
      <c r="JPM151" s="52"/>
      <c r="JPN151" s="53"/>
      <c r="JPO151" s="54"/>
      <c r="JPP151" s="52"/>
      <c r="JPQ151" s="53"/>
      <c r="JPR151" s="54"/>
      <c r="JPS151" s="52"/>
      <c r="JPT151" s="53"/>
      <c r="JPU151" s="8"/>
      <c r="JPV151" s="45"/>
      <c r="JPW151" s="45"/>
      <c r="JPX151" s="46"/>
      <c r="JPY151" s="44"/>
      <c r="JPZ151" s="7"/>
      <c r="JQA151" s="51"/>
      <c r="JQB151" s="52"/>
      <c r="JQC151" s="53"/>
      <c r="JQD151" s="54"/>
      <c r="JQE151" s="52"/>
      <c r="JQF151" s="53"/>
      <c r="JQG151" s="54"/>
      <c r="JQH151" s="52"/>
      <c r="JQI151" s="53"/>
      <c r="JQJ151" s="8"/>
      <c r="JQK151" s="45"/>
      <c r="JQL151" s="45"/>
      <c r="JQM151" s="46"/>
      <c r="JQN151" s="44"/>
      <c r="JQO151" s="7"/>
      <c r="JQP151" s="51"/>
      <c r="JQQ151" s="52"/>
      <c r="JQR151" s="53"/>
      <c r="JQS151" s="54"/>
      <c r="JQT151" s="52"/>
      <c r="JQU151" s="53"/>
      <c r="JQV151" s="54"/>
      <c r="JQW151" s="52"/>
      <c r="JQX151" s="53"/>
      <c r="JQY151" s="8"/>
      <c r="JQZ151" s="45"/>
      <c r="JRA151" s="45"/>
      <c r="JRB151" s="46"/>
      <c r="JRC151" s="44"/>
      <c r="JRD151" s="7"/>
      <c r="JRE151" s="51"/>
      <c r="JRF151" s="52"/>
      <c r="JRG151" s="53"/>
      <c r="JRH151" s="54"/>
      <c r="JRI151" s="52"/>
      <c r="JRJ151" s="53"/>
      <c r="JRK151" s="54"/>
      <c r="JRL151" s="52"/>
      <c r="JRM151" s="53"/>
      <c r="JRN151" s="8"/>
      <c r="JRO151" s="45"/>
      <c r="JRP151" s="45"/>
      <c r="JRQ151" s="46"/>
      <c r="JRR151" s="44"/>
      <c r="JRS151" s="7"/>
      <c r="JRT151" s="51"/>
      <c r="JRU151" s="52"/>
      <c r="JRV151" s="53"/>
      <c r="JRW151" s="54"/>
      <c r="JRX151" s="52"/>
      <c r="JRY151" s="53"/>
      <c r="JRZ151" s="54"/>
      <c r="JSA151" s="52"/>
      <c r="JSB151" s="53"/>
      <c r="JSC151" s="8"/>
      <c r="JSD151" s="45"/>
      <c r="JSE151" s="45"/>
      <c r="JSF151" s="46"/>
      <c r="JSG151" s="44"/>
      <c r="JSH151" s="7"/>
      <c r="JSI151" s="51"/>
      <c r="JSJ151" s="52"/>
      <c r="JSK151" s="53"/>
      <c r="JSL151" s="54"/>
      <c r="JSM151" s="52"/>
      <c r="JSN151" s="53"/>
      <c r="JSO151" s="54"/>
      <c r="JSP151" s="52"/>
      <c r="JSQ151" s="53"/>
      <c r="JSR151" s="8"/>
      <c r="JSS151" s="45"/>
      <c r="JST151" s="45"/>
      <c r="JSU151" s="46"/>
      <c r="JSV151" s="44"/>
      <c r="JSW151" s="7"/>
      <c r="JSX151" s="51"/>
      <c r="JSY151" s="52"/>
      <c r="JSZ151" s="53"/>
      <c r="JTA151" s="54"/>
      <c r="JTB151" s="52"/>
      <c r="JTC151" s="53"/>
      <c r="JTD151" s="54"/>
      <c r="JTE151" s="52"/>
      <c r="JTF151" s="53"/>
      <c r="JTG151" s="8"/>
      <c r="JTH151" s="45"/>
      <c r="JTI151" s="45"/>
      <c r="JTJ151" s="46"/>
      <c r="JTK151" s="44"/>
      <c r="JTL151" s="7"/>
      <c r="JTM151" s="51"/>
      <c r="JTN151" s="52"/>
      <c r="JTO151" s="53"/>
      <c r="JTP151" s="54"/>
      <c r="JTQ151" s="52"/>
      <c r="JTR151" s="53"/>
      <c r="JTS151" s="54"/>
      <c r="JTT151" s="52"/>
      <c r="JTU151" s="53"/>
      <c r="JTV151" s="8"/>
      <c r="JTW151" s="45"/>
      <c r="JTX151" s="45"/>
      <c r="JTY151" s="46"/>
      <c r="JTZ151" s="44"/>
      <c r="JUA151" s="7"/>
      <c r="JUB151" s="51"/>
      <c r="JUC151" s="52"/>
      <c r="JUD151" s="53"/>
      <c r="JUE151" s="54"/>
      <c r="JUF151" s="52"/>
      <c r="JUG151" s="53"/>
      <c r="JUH151" s="54"/>
      <c r="JUI151" s="52"/>
      <c r="JUJ151" s="53"/>
      <c r="JUK151" s="8"/>
      <c r="JUL151" s="45"/>
      <c r="JUM151" s="45"/>
      <c r="JUN151" s="46"/>
      <c r="JUO151" s="44"/>
      <c r="JUP151" s="7"/>
      <c r="JUQ151" s="51"/>
      <c r="JUR151" s="52"/>
      <c r="JUS151" s="53"/>
      <c r="JUT151" s="54"/>
      <c r="JUU151" s="52"/>
      <c r="JUV151" s="53"/>
      <c r="JUW151" s="54"/>
      <c r="JUX151" s="52"/>
      <c r="JUY151" s="53"/>
      <c r="JUZ151" s="8"/>
      <c r="JVA151" s="45"/>
      <c r="JVB151" s="45"/>
      <c r="JVC151" s="46"/>
      <c r="JVD151" s="44"/>
      <c r="JVE151" s="7"/>
      <c r="JVF151" s="51"/>
      <c r="JVG151" s="52"/>
      <c r="JVH151" s="53"/>
      <c r="JVI151" s="54"/>
      <c r="JVJ151" s="52"/>
      <c r="JVK151" s="53"/>
      <c r="JVL151" s="54"/>
      <c r="JVM151" s="52"/>
      <c r="JVN151" s="53"/>
      <c r="JVO151" s="8"/>
      <c r="JVP151" s="45"/>
      <c r="JVQ151" s="45"/>
      <c r="JVR151" s="46"/>
      <c r="JVS151" s="44"/>
      <c r="JVT151" s="7"/>
      <c r="JVU151" s="51"/>
      <c r="JVV151" s="52"/>
      <c r="JVW151" s="53"/>
      <c r="JVX151" s="54"/>
      <c r="JVY151" s="52"/>
      <c r="JVZ151" s="53"/>
      <c r="JWA151" s="54"/>
      <c r="JWB151" s="52"/>
      <c r="JWC151" s="53"/>
      <c r="JWD151" s="8"/>
      <c r="JWE151" s="45"/>
      <c r="JWF151" s="45"/>
      <c r="JWG151" s="46"/>
      <c r="JWH151" s="44"/>
      <c r="JWI151" s="7"/>
      <c r="JWJ151" s="51"/>
      <c r="JWK151" s="52"/>
      <c r="JWL151" s="53"/>
      <c r="JWM151" s="54"/>
      <c r="JWN151" s="52"/>
      <c r="JWO151" s="53"/>
      <c r="JWP151" s="54"/>
      <c r="JWQ151" s="52"/>
      <c r="JWR151" s="53"/>
      <c r="JWS151" s="8"/>
      <c r="JWT151" s="45"/>
      <c r="JWU151" s="45"/>
      <c r="JWV151" s="46"/>
      <c r="JWW151" s="44"/>
      <c r="JWX151" s="7"/>
      <c r="JWY151" s="51"/>
      <c r="JWZ151" s="52"/>
      <c r="JXA151" s="53"/>
      <c r="JXB151" s="54"/>
      <c r="JXC151" s="52"/>
      <c r="JXD151" s="53"/>
      <c r="JXE151" s="54"/>
      <c r="JXF151" s="52"/>
      <c r="JXG151" s="53"/>
      <c r="JXH151" s="8"/>
      <c r="JXI151" s="45"/>
      <c r="JXJ151" s="45"/>
      <c r="JXK151" s="46"/>
      <c r="JXL151" s="44"/>
      <c r="JXM151" s="7"/>
      <c r="JXN151" s="51"/>
      <c r="JXO151" s="52"/>
      <c r="JXP151" s="53"/>
      <c r="JXQ151" s="54"/>
      <c r="JXR151" s="52"/>
      <c r="JXS151" s="53"/>
      <c r="JXT151" s="54"/>
      <c r="JXU151" s="52"/>
      <c r="JXV151" s="53"/>
      <c r="JXW151" s="8"/>
      <c r="JXX151" s="45"/>
      <c r="JXY151" s="45"/>
      <c r="JXZ151" s="46"/>
      <c r="JYA151" s="44"/>
      <c r="JYB151" s="7"/>
      <c r="JYC151" s="51"/>
      <c r="JYD151" s="52"/>
      <c r="JYE151" s="53"/>
      <c r="JYF151" s="54"/>
      <c r="JYG151" s="52"/>
      <c r="JYH151" s="53"/>
      <c r="JYI151" s="54"/>
      <c r="JYJ151" s="52"/>
      <c r="JYK151" s="53"/>
      <c r="JYL151" s="8"/>
      <c r="JYM151" s="45"/>
      <c r="JYN151" s="45"/>
      <c r="JYO151" s="46"/>
      <c r="JYP151" s="44"/>
      <c r="JYQ151" s="7"/>
      <c r="JYR151" s="51"/>
      <c r="JYS151" s="52"/>
      <c r="JYT151" s="53"/>
      <c r="JYU151" s="54"/>
      <c r="JYV151" s="52"/>
      <c r="JYW151" s="53"/>
      <c r="JYX151" s="54"/>
      <c r="JYY151" s="52"/>
      <c r="JYZ151" s="53"/>
      <c r="JZA151" s="8"/>
      <c r="JZB151" s="45"/>
      <c r="JZC151" s="45"/>
      <c r="JZD151" s="46"/>
      <c r="JZE151" s="44"/>
      <c r="JZF151" s="7"/>
      <c r="JZG151" s="51"/>
      <c r="JZH151" s="52"/>
      <c r="JZI151" s="53"/>
      <c r="JZJ151" s="54"/>
      <c r="JZK151" s="52"/>
      <c r="JZL151" s="53"/>
      <c r="JZM151" s="54"/>
      <c r="JZN151" s="52"/>
      <c r="JZO151" s="53"/>
      <c r="JZP151" s="8"/>
      <c r="JZQ151" s="45"/>
      <c r="JZR151" s="45"/>
      <c r="JZS151" s="46"/>
      <c r="JZT151" s="44"/>
      <c r="JZU151" s="7"/>
      <c r="JZV151" s="51"/>
      <c r="JZW151" s="52"/>
      <c r="JZX151" s="53"/>
      <c r="JZY151" s="54"/>
      <c r="JZZ151" s="52"/>
      <c r="KAA151" s="53"/>
      <c r="KAB151" s="54"/>
      <c r="KAC151" s="52"/>
      <c r="KAD151" s="53"/>
      <c r="KAE151" s="8"/>
      <c r="KAF151" s="45"/>
      <c r="KAG151" s="45"/>
      <c r="KAH151" s="46"/>
      <c r="KAI151" s="44"/>
      <c r="KAJ151" s="7"/>
      <c r="KAK151" s="51"/>
      <c r="KAL151" s="52"/>
      <c r="KAM151" s="53"/>
      <c r="KAN151" s="54"/>
      <c r="KAO151" s="52"/>
      <c r="KAP151" s="53"/>
      <c r="KAQ151" s="54"/>
      <c r="KAR151" s="52"/>
      <c r="KAS151" s="53"/>
      <c r="KAT151" s="8"/>
      <c r="KAU151" s="45"/>
      <c r="KAV151" s="45"/>
      <c r="KAW151" s="46"/>
      <c r="KAX151" s="44"/>
      <c r="KAY151" s="7"/>
      <c r="KAZ151" s="51"/>
      <c r="KBA151" s="52"/>
      <c r="KBB151" s="53"/>
      <c r="KBC151" s="54"/>
      <c r="KBD151" s="52"/>
      <c r="KBE151" s="53"/>
      <c r="KBF151" s="54"/>
      <c r="KBG151" s="52"/>
      <c r="KBH151" s="53"/>
      <c r="KBI151" s="8"/>
      <c r="KBJ151" s="45"/>
      <c r="KBK151" s="45"/>
      <c r="KBL151" s="46"/>
      <c r="KBM151" s="44"/>
      <c r="KBN151" s="7"/>
      <c r="KBO151" s="51"/>
      <c r="KBP151" s="52"/>
      <c r="KBQ151" s="53"/>
      <c r="KBR151" s="54"/>
      <c r="KBS151" s="52"/>
      <c r="KBT151" s="53"/>
      <c r="KBU151" s="54"/>
      <c r="KBV151" s="52"/>
      <c r="KBW151" s="53"/>
      <c r="KBX151" s="8"/>
      <c r="KBY151" s="45"/>
      <c r="KBZ151" s="45"/>
      <c r="KCA151" s="46"/>
      <c r="KCB151" s="44"/>
      <c r="KCC151" s="7"/>
      <c r="KCD151" s="51"/>
      <c r="KCE151" s="52"/>
      <c r="KCF151" s="53"/>
      <c r="KCG151" s="54"/>
      <c r="KCH151" s="52"/>
      <c r="KCI151" s="53"/>
      <c r="KCJ151" s="54"/>
      <c r="KCK151" s="52"/>
      <c r="KCL151" s="53"/>
      <c r="KCM151" s="8"/>
      <c r="KCN151" s="45"/>
      <c r="KCO151" s="45"/>
      <c r="KCP151" s="46"/>
      <c r="KCQ151" s="44"/>
      <c r="KCR151" s="7"/>
      <c r="KCS151" s="51"/>
      <c r="KCT151" s="52"/>
      <c r="KCU151" s="53"/>
      <c r="KCV151" s="54"/>
      <c r="KCW151" s="52"/>
      <c r="KCX151" s="53"/>
      <c r="KCY151" s="54"/>
      <c r="KCZ151" s="52"/>
      <c r="KDA151" s="53"/>
      <c r="KDB151" s="8"/>
      <c r="KDC151" s="45"/>
      <c r="KDD151" s="45"/>
      <c r="KDE151" s="46"/>
      <c r="KDF151" s="44"/>
      <c r="KDG151" s="7"/>
      <c r="KDH151" s="51"/>
      <c r="KDI151" s="52"/>
      <c r="KDJ151" s="53"/>
      <c r="KDK151" s="54"/>
      <c r="KDL151" s="52"/>
      <c r="KDM151" s="53"/>
      <c r="KDN151" s="54"/>
      <c r="KDO151" s="52"/>
      <c r="KDP151" s="53"/>
      <c r="KDQ151" s="8"/>
      <c r="KDR151" s="45"/>
      <c r="KDS151" s="45"/>
      <c r="KDT151" s="46"/>
      <c r="KDU151" s="44"/>
      <c r="KDV151" s="7"/>
      <c r="KDW151" s="51"/>
      <c r="KDX151" s="52"/>
      <c r="KDY151" s="53"/>
      <c r="KDZ151" s="54"/>
      <c r="KEA151" s="52"/>
      <c r="KEB151" s="53"/>
      <c r="KEC151" s="54"/>
      <c r="KED151" s="52"/>
      <c r="KEE151" s="53"/>
      <c r="KEF151" s="8"/>
      <c r="KEG151" s="45"/>
      <c r="KEH151" s="45"/>
      <c r="KEI151" s="46"/>
      <c r="KEJ151" s="44"/>
      <c r="KEK151" s="7"/>
      <c r="KEL151" s="51"/>
      <c r="KEM151" s="52"/>
      <c r="KEN151" s="53"/>
      <c r="KEO151" s="54"/>
      <c r="KEP151" s="52"/>
      <c r="KEQ151" s="53"/>
      <c r="KER151" s="54"/>
      <c r="KES151" s="52"/>
      <c r="KET151" s="53"/>
      <c r="KEU151" s="8"/>
      <c r="KEV151" s="45"/>
      <c r="KEW151" s="45"/>
      <c r="KEX151" s="46"/>
      <c r="KEY151" s="44"/>
      <c r="KEZ151" s="7"/>
      <c r="KFA151" s="51"/>
      <c r="KFB151" s="52"/>
      <c r="KFC151" s="53"/>
      <c r="KFD151" s="54"/>
      <c r="KFE151" s="52"/>
      <c r="KFF151" s="53"/>
      <c r="KFG151" s="54"/>
      <c r="KFH151" s="52"/>
      <c r="KFI151" s="53"/>
      <c r="KFJ151" s="8"/>
      <c r="KFK151" s="45"/>
      <c r="KFL151" s="45"/>
      <c r="KFM151" s="46"/>
      <c r="KFN151" s="44"/>
      <c r="KFO151" s="7"/>
      <c r="KFP151" s="51"/>
      <c r="KFQ151" s="52"/>
      <c r="KFR151" s="53"/>
      <c r="KFS151" s="54"/>
      <c r="KFT151" s="52"/>
      <c r="KFU151" s="53"/>
      <c r="KFV151" s="54"/>
      <c r="KFW151" s="52"/>
      <c r="KFX151" s="53"/>
      <c r="KFY151" s="8"/>
      <c r="KFZ151" s="45"/>
      <c r="KGA151" s="45"/>
      <c r="KGB151" s="46"/>
      <c r="KGC151" s="44"/>
      <c r="KGD151" s="7"/>
      <c r="KGE151" s="51"/>
      <c r="KGF151" s="52"/>
      <c r="KGG151" s="53"/>
      <c r="KGH151" s="54"/>
      <c r="KGI151" s="52"/>
      <c r="KGJ151" s="53"/>
      <c r="KGK151" s="54"/>
      <c r="KGL151" s="52"/>
      <c r="KGM151" s="53"/>
      <c r="KGN151" s="8"/>
      <c r="KGO151" s="45"/>
      <c r="KGP151" s="45"/>
      <c r="KGQ151" s="46"/>
      <c r="KGR151" s="44"/>
      <c r="KGS151" s="7"/>
      <c r="KGT151" s="51"/>
      <c r="KGU151" s="52"/>
      <c r="KGV151" s="53"/>
      <c r="KGW151" s="54"/>
      <c r="KGX151" s="52"/>
      <c r="KGY151" s="53"/>
      <c r="KGZ151" s="54"/>
      <c r="KHA151" s="52"/>
      <c r="KHB151" s="53"/>
      <c r="KHC151" s="8"/>
      <c r="KHD151" s="45"/>
      <c r="KHE151" s="45"/>
      <c r="KHF151" s="46"/>
      <c r="KHG151" s="44"/>
      <c r="KHH151" s="7"/>
      <c r="KHI151" s="51"/>
      <c r="KHJ151" s="52"/>
      <c r="KHK151" s="53"/>
      <c r="KHL151" s="54"/>
      <c r="KHM151" s="52"/>
      <c r="KHN151" s="53"/>
      <c r="KHO151" s="54"/>
      <c r="KHP151" s="52"/>
      <c r="KHQ151" s="53"/>
      <c r="KHR151" s="8"/>
      <c r="KHS151" s="45"/>
      <c r="KHT151" s="45"/>
      <c r="KHU151" s="46"/>
      <c r="KHV151" s="44"/>
      <c r="KHW151" s="7"/>
      <c r="KHX151" s="51"/>
      <c r="KHY151" s="52"/>
      <c r="KHZ151" s="53"/>
      <c r="KIA151" s="54"/>
      <c r="KIB151" s="52"/>
      <c r="KIC151" s="53"/>
      <c r="KID151" s="54"/>
      <c r="KIE151" s="52"/>
      <c r="KIF151" s="53"/>
      <c r="KIG151" s="8"/>
      <c r="KIH151" s="45"/>
      <c r="KII151" s="45"/>
      <c r="KIJ151" s="46"/>
      <c r="KIK151" s="44"/>
      <c r="KIL151" s="7"/>
      <c r="KIM151" s="51"/>
      <c r="KIN151" s="52"/>
      <c r="KIO151" s="53"/>
      <c r="KIP151" s="54"/>
      <c r="KIQ151" s="52"/>
      <c r="KIR151" s="53"/>
      <c r="KIS151" s="54"/>
      <c r="KIT151" s="52"/>
      <c r="KIU151" s="53"/>
      <c r="KIV151" s="8"/>
      <c r="KIW151" s="45"/>
      <c r="KIX151" s="45"/>
      <c r="KIY151" s="46"/>
      <c r="KIZ151" s="44"/>
      <c r="KJA151" s="7"/>
      <c r="KJB151" s="51"/>
      <c r="KJC151" s="52"/>
      <c r="KJD151" s="53"/>
      <c r="KJE151" s="54"/>
      <c r="KJF151" s="52"/>
      <c r="KJG151" s="53"/>
      <c r="KJH151" s="54"/>
      <c r="KJI151" s="52"/>
      <c r="KJJ151" s="53"/>
      <c r="KJK151" s="8"/>
      <c r="KJL151" s="45"/>
      <c r="KJM151" s="45"/>
      <c r="KJN151" s="46"/>
      <c r="KJO151" s="44"/>
      <c r="KJP151" s="7"/>
      <c r="KJQ151" s="51"/>
      <c r="KJR151" s="52"/>
      <c r="KJS151" s="53"/>
      <c r="KJT151" s="54"/>
      <c r="KJU151" s="52"/>
      <c r="KJV151" s="53"/>
      <c r="KJW151" s="54"/>
      <c r="KJX151" s="52"/>
      <c r="KJY151" s="53"/>
      <c r="KJZ151" s="8"/>
      <c r="KKA151" s="45"/>
      <c r="KKB151" s="45"/>
      <c r="KKC151" s="46"/>
      <c r="KKD151" s="44"/>
      <c r="KKE151" s="7"/>
      <c r="KKF151" s="51"/>
      <c r="KKG151" s="52"/>
      <c r="KKH151" s="53"/>
      <c r="KKI151" s="54"/>
      <c r="KKJ151" s="52"/>
      <c r="KKK151" s="53"/>
      <c r="KKL151" s="54"/>
      <c r="KKM151" s="52"/>
      <c r="KKN151" s="53"/>
      <c r="KKO151" s="8"/>
      <c r="KKP151" s="45"/>
      <c r="KKQ151" s="45"/>
      <c r="KKR151" s="46"/>
      <c r="KKS151" s="44"/>
      <c r="KKT151" s="7"/>
      <c r="KKU151" s="51"/>
      <c r="KKV151" s="52"/>
      <c r="KKW151" s="53"/>
      <c r="KKX151" s="54"/>
      <c r="KKY151" s="52"/>
      <c r="KKZ151" s="53"/>
      <c r="KLA151" s="54"/>
      <c r="KLB151" s="52"/>
      <c r="KLC151" s="53"/>
      <c r="KLD151" s="8"/>
      <c r="KLE151" s="45"/>
      <c r="KLF151" s="45"/>
      <c r="KLG151" s="46"/>
      <c r="KLH151" s="44"/>
      <c r="KLI151" s="7"/>
      <c r="KLJ151" s="51"/>
      <c r="KLK151" s="52"/>
      <c r="KLL151" s="53"/>
      <c r="KLM151" s="54"/>
      <c r="KLN151" s="52"/>
      <c r="KLO151" s="53"/>
      <c r="KLP151" s="54"/>
      <c r="KLQ151" s="52"/>
      <c r="KLR151" s="53"/>
      <c r="KLS151" s="8"/>
      <c r="KLT151" s="45"/>
      <c r="KLU151" s="45"/>
      <c r="KLV151" s="46"/>
      <c r="KLW151" s="44"/>
      <c r="KLX151" s="7"/>
      <c r="KLY151" s="51"/>
      <c r="KLZ151" s="52"/>
      <c r="KMA151" s="53"/>
      <c r="KMB151" s="54"/>
      <c r="KMC151" s="52"/>
      <c r="KMD151" s="53"/>
      <c r="KME151" s="54"/>
      <c r="KMF151" s="52"/>
      <c r="KMG151" s="53"/>
      <c r="KMH151" s="8"/>
      <c r="KMI151" s="45"/>
      <c r="KMJ151" s="45"/>
      <c r="KMK151" s="46"/>
      <c r="KML151" s="44"/>
      <c r="KMM151" s="7"/>
      <c r="KMN151" s="51"/>
      <c r="KMO151" s="52"/>
      <c r="KMP151" s="53"/>
      <c r="KMQ151" s="54"/>
      <c r="KMR151" s="52"/>
      <c r="KMS151" s="53"/>
      <c r="KMT151" s="54"/>
      <c r="KMU151" s="52"/>
      <c r="KMV151" s="53"/>
      <c r="KMW151" s="8"/>
      <c r="KMX151" s="45"/>
      <c r="KMY151" s="45"/>
      <c r="KMZ151" s="46"/>
      <c r="KNA151" s="44"/>
      <c r="KNB151" s="7"/>
      <c r="KNC151" s="51"/>
      <c r="KND151" s="52"/>
      <c r="KNE151" s="53"/>
      <c r="KNF151" s="54"/>
      <c r="KNG151" s="52"/>
      <c r="KNH151" s="53"/>
      <c r="KNI151" s="54"/>
      <c r="KNJ151" s="52"/>
      <c r="KNK151" s="53"/>
      <c r="KNL151" s="8"/>
      <c r="KNM151" s="45"/>
      <c r="KNN151" s="45"/>
      <c r="KNO151" s="46"/>
      <c r="KNP151" s="44"/>
      <c r="KNQ151" s="7"/>
      <c r="KNR151" s="51"/>
      <c r="KNS151" s="52"/>
      <c r="KNT151" s="53"/>
      <c r="KNU151" s="54"/>
      <c r="KNV151" s="52"/>
      <c r="KNW151" s="53"/>
      <c r="KNX151" s="54"/>
      <c r="KNY151" s="52"/>
      <c r="KNZ151" s="53"/>
      <c r="KOA151" s="8"/>
      <c r="KOB151" s="45"/>
      <c r="KOC151" s="45"/>
      <c r="KOD151" s="46"/>
      <c r="KOE151" s="44"/>
      <c r="KOF151" s="7"/>
      <c r="KOG151" s="51"/>
      <c r="KOH151" s="52"/>
      <c r="KOI151" s="53"/>
      <c r="KOJ151" s="54"/>
      <c r="KOK151" s="52"/>
      <c r="KOL151" s="53"/>
      <c r="KOM151" s="54"/>
      <c r="KON151" s="52"/>
      <c r="KOO151" s="53"/>
      <c r="KOP151" s="8"/>
      <c r="KOQ151" s="45"/>
      <c r="KOR151" s="45"/>
      <c r="KOS151" s="46"/>
      <c r="KOT151" s="44"/>
      <c r="KOU151" s="7"/>
      <c r="KOV151" s="51"/>
      <c r="KOW151" s="52"/>
      <c r="KOX151" s="53"/>
      <c r="KOY151" s="54"/>
      <c r="KOZ151" s="52"/>
      <c r="KPA151" s="53"/>
      <c r="KPB151" s="54"/>
      <c r="KPC151" s="52"/>
      <c r="KPD151" s="53"/>
      <c r="KPE151" s="8"/>
      <c r="KPF151" s="45"/>
      <c r="KPG151" s="45"/>
      <c r="KPH151" s="46"/>
      <c r="KPI151" s="44"/>
      <c r="KPJ151" s="7"/>
      <c r="KPK151" s="51"/>
      <c r="KPL151" s="52"/>
      <c r="KPM151" s="53"/>
      <c r="KPN151" s="54"/>
      <c r="KPO151" s="52"/>
      <c r="KPP151" s="53"/>
      <c r="KPQ151" s="54"/>
      <c r="KPR151" s="52"/>
      <c r="KPS151" s="53"/>
      <c r="KPT151" s="8"/>
      <c r="KPU151" s="45"/>
      <c r="KPV151" s="45"/>
      <c r="KPW151" s="46"/>
      <c r="KPX151" s="44"/>
      <c r="KPY151" s="7"/>
      <c r="KPZ151" s="51"/>
      <c r="KQA151" s="52"/>
      <c r="KQB151" s="53"/>
      <c r="KQC151" s="54"/>
      <c r="KQD151" s="52"/>
      <c r="KQE151" s="53"/>
      <c r="KQF151" s="54"/>
      <c r="KQG151" s="52"/>
      <c r="KQH151" s="53"/>
      <c r="KQI151" s="8"/>
      <c r="KQJ151" s="45"/>
      <c r="KQK151" s="45"/>
      <c r="KQL151" s="46"/>
      <c r="KQM151" s="44"/>
      <c r="KQN151" s="7"/>
      <c r="KQO151" s="51"/>
      <c r="KQP151" s="52"/>
      <c r="KQQ151" s="53"/>
      <c r="KQR151" s="54"/>
      <c r="KQS151" s="52"/>
      <c r="KQT151" s="53"/>
      <c r="KQU151" s="54"/>
      <c r="KQV151" s="52"/>
      <c r="KQW151" s="53"/>
      <c r="KQX151" s="8"/>
      <c r="KQY151" s="45"/>
      <c r="KQZ151" s="45"/>
      <c r="KRA151" s="46"/>
      <c r="KRB151" s="44"/>
      <c r="KRC151" s="7"/>
      <c r="KRD151" s="51"/>
      <c r="KRE151" s="52"/>
      <c r="KRF151" s="53"/>
      <c r="KRG151" s="54"/>
      <c r="KRH151" s="52"/>
      <c r="KRI151" s="53"/>
      <c r="KRJ151" s="54"/>
      <c r="KRK151" s="52"/>
      <c r="KRL151" s="53"/>
      <c r="KRM151" s="8"/>
      <c r="KRN151" s="45"/>
      <c r="KRO151" s="45"/>
      <c r="KRP151" s="46"/>
      <c r="KRQ151" s="44"/>
      <c r="KRR151" s="7"/>
      <c r="KRS151" s="51"/>
      <c r="KRT151" s="52"/>
      <c r="KRU151" s="53"/>
      <c r="KRV151" s="54"/>
      <c r="KRW151" s="52"/>
      <c r="KRX151" s="53"/>
      <c r="KRY151" s="54"/>
      <c r="KRZ151" s="52"/>
      <c r="KSA151" s="53"/>
      <c r="KSB151" s="8"/>
      <c r="KSC151" s="45"/>
      <c r="KSD151" s="45"/>
      <c r="KSE151" s="46"/>
      <c r="KSF151" s="44"/>
      <c r="KSG151" s="7"/>
      <c r="KSH151" s="51"/>
      <c r="KSI151" s="52"/>
      <c r="KSJ151" s="53"/>
      <c r="KSK151" s="54"/>
      <c r="KSL151" s="52"/>
      <c r="KSM151" s="53"/>
      <c r="KSN151" s="54"/>
      <c r="KSO151" s="52"/>
      <c r="KSP151" s="53"/>
      <c r="KSQ151" s="8"/>
      <c r="KSR151" s="45"/>
      <c r="KSS151" s="45"/>
      <c r="KST151" s="46"/>
      <c r="KSU151" s="44"/>
      <c r="KSV151" s="7"/>
      <c r="KSW151" s="51"/>
      <c r="KSX151" s="52"/>
      <c r="KSY151" s="53"/>
      <c r="KSZ151" s="54"/>
      <c r="KTA151" s="52"/>
      <c r="KTB151" s="53"/>
      <c r="KTC151" s="54"/>
      <c r="KTD151" s="52"/>
      <c r="KTE151" s="53"/>
      <c r="KTF151" s="8"/>
      <c r="KTG151" s="45"/>
      <c r="KTH151" s="45"/>
      <c r="KTI151" s="46"/>
      <c r="KTJ151" s="44"/>
      <c r="KTK151" s="7"/>
      <c r="KTL151" s="51"/>
      <c r="KTM151" s="52"/>
      <c r="KTN151" s="53"/>
      <c r="KTO151" s="54"/>
      <c r="KTP151" s="52"/>
      <c r="KTQ151" s="53"/>
      <c r="KTR151" s="54"/>
      <c r="KTS151" s="52"/>
      <c r="KTT151" s="53"/>
      <c r="KTU151" s="8"/>
      <c r="KTV151" s="45"/>
      <c r="KTW151" s="45"/>
      <c r="KTX151" s="46"/>
      <c r="KTY151" s="44"/>
      <c r="KTZ151" s="7"/>
      <c r="KUA151" s="51"/>
      <c r="KUB151" s="52"/>
      <c r="KUC151" s="53"/>
      <c r="KUD151" s="54"/>
      <c r="KUE151" s="52"/>
      <c r="KUF151" s="53"/>
      <c r="KUG151" s="54"/>
      <c r="KUH151" s="52"/>
      <c r="KUI151" s="53"/>
      <c r="KUJ151" s="8"/>
      <c r="KUK151" s="45"/>
      <c r="KUL151" s="45"/>
      <c r="KUM151" s="46"/>
      <c r="KUN151" s="44"/>
      <c r="KUO151" s="7"/>
      <c r="KUP151" s="51"/>
      <c r="KUQ151" s="52"/>
      <c r="KUR151" s="53"/>
      <c r="KUS151" s="54"/>
      <c r="KUT151" s="52"/>
      <c r="KUU151" s="53"/>
      <c r="KUV151" s="54"/>
      <c r="KUW151" s="52"/>
      <c r="KUX151" s="53"/>
      <c r="KUY151" s="8"/>
      <c r="KUZ151" s="45"/>
      <c r="KVA151" s="45"/>
      <c r="KVB151" s="46"/>
      <c r="KVC151" s="44"/>
      <c r="KVD151" s="7"/>
      <c r="KVE151" s="51"/>
      <c r="KVF151" s="52"/>
      <c r="KVG151" s="53"/>
      <c r="KVH151" s="54"/>
      <c r="KVI151" s="52"/>
      <c r="KVJ151" s="53"/>
      <c r="KVK151" s="54"/>
      <c r="KVL151" s="52"/>
      <c r="KVM151" s="53"/>
      <c r="KVN151" s="8"/>
      <c r="KVO151" s="45"/>
      <c r="KVP151" s="45"/>
      <c r="KVQ151" s="46"/>
      <c r="KVR151" s="44"/>
      <c r="KVS151" s="7"/>
      <c r="KVT151" s="51"/>
      <c r="KVU151" s="52"/>
      <c r="KVV151" s="53"/>
      <c r="KVW151" s="54"/>
      <c r="KVX151" s="52"/>
      <c r="KVY151" s="53"/>
      <c r="KVZ151" s="54"/>
      <c r="KWA151" s="52"/>
      <c r="KWB151" s="53"/>
      <c r="KWC151" s="8"/>
      <c r="KWD151" s="45"/>
      <c r="KWE151" s="45"/>
      <c r="KWF151" s="46"/>
      <c r="KWG151" s="44"/>
      <c r="KWH151" s="7"/>
      <c r="KWI151" s="51"/>
      <c r="KWJ151" s="52"/>
      <c r="KWK151" s="53"/>
      <c r="KWL151" s="54"/>
      <c r="KWM151" s="52"/>
      <c r="KWN151" s="53"/>
      <c r="KWO151" s="54"/>
      <c r="KWP151" s="52"/>
      <c r="KWQ151" s="53"/>
      <c r="KWR151" s="8"/>
      <c r="KWS151" s="45"/>
      <c r="KWT151" s="45"/>
      <c r="KWU151" s="46"/>
      <c r="KWV151" s="44"/>
      <c r="KWW151" s="7"/>
      <c r="KWX151" s="51"/>
      <c r="KWY151" s="52"/>
      <c r="KWZ151" s="53"/>
      <c r="KXA151" s="54"/>
      <c r="KXB151" s="52"/>
      <c r="KXC151" s="53"/>
      <c r="KXD151" s="54"/>
      <c r="KXE151" s="52"/>
      <c r="KXF151" s="53"/>
      <c r="KXG151" s="8"/>
      <c r="KXH151" s="45"/>
      <c r="KXI151" s="45"/>
      <c r="KXJ151" s="46"/>
      <c r="KXK151" s="44"/>
      <c r="KXL151" s="7"/>
      <c r="KXM151" s="51"/>
      <c r="KXN151" s="52"/>
      <c r="KXO151" s="53"/>
      <c r="KXP151" s="54"/>
      <c r="KXQ151" s="52"/>
      <c r="KXR151" s="53"/>
      <c r="KXS151" s="54"/>
      <c r="KXT151" s="52"/>
      <c r="KXU151" s="53"/>
      <c r="KXV151" s="8"/>
      <c r="KXW151" s="45"/>
      <c r="KXX151" s="45"/>
      <c r="KXY151" s="46"/>
      <c r="KXZ151" s="44"/>
      <c r="KYA151" s="7"/>
      <c r="KYB151" s="51"/>
      <c r="KYC151" s="52"/>
      <c r="KYD151" s="53"/>
      <c r="KYE151" s="54"/>
      <c r="KYF151" s="52"/>
      <c r="KYG151" s="53"/>
      <c r="KYH151" s="54"/>
      <c r="KYI151" s="52"/>
      <c r="KYJ151" s="53"/>
      <c r="KYK151" s="8"/>
      <c r="KYL151" s="45"/>
      <c r="KYM151" s="45"/>
      <c r="KYN151" s="46"/>
      <c r="KYO151" s="44"/>
      <c r="KYP151" s="7"/>
      <c r="KYQ151" s="51"/>
      <c r="KYR151" s="52"/>
      <c r="KYS151" s="53"/>
      <c r="KYT151" s="54"/>
      <c r="KYU151" s="52"/>
      <c r="KYV151" s="53"/>
      <c r="KYW151" s="54"/>
      <c r="KYX151" s="52"/>
      <c r="KYY151" s="53"/>
      <c r="KYZ151" s="8"/>
      <c r="KZA151" s="45"/>
      <c r="KZB151" s="45"/>
      <c r="KZC151" s="46"/>
      <c r="KZD151" s="44"/>
      <c r="KZE151" s="7"/>
      <c r="KZF151" s="51"/>
      <c r="KZG151" s="52"/>
      <c r="KZH151" s="53"/>
      <c r="KZI151" s="54"/>
      <c r="KZJ151" s="52"/>
      <c r="KZK151" s="53"/>
      <c r="KZL151" s="54"/>
      <c r="KZM151" s="52"/>
      <c r="KZN151" s="53"/>
      <c r="KZO151" s="8"/>
      <c r="KZP151" s="45"/>
      <c r="KZQ151" s="45"/>
      <c r="KZR151" s="46"/>
      <c r="KZS151" s="44"/>
      <c r="KZT151" s="7"/>
      <c r="KZU151" s="51"/>
      <c r="KZV151" s="52"/>
      <c r="KZW151" s="53"/>
      <c r="KZX151" s="54"/>
      <c r="KZY151" s="52"/>
      <c r="KZZ151" s="53"/>
      <c r="LAA151" s="54"/>
      <c r="LAB151" s="52"/>
      <c r="LAC151" s="53"/>
      <c r="LAD151" s="8"/>
      <c r="LAE151" s="45"/>
      <c r="LAF151" s="45"/>
      <c r="LAG151" s="46"/>
      <c r="LAH151" s="44"/>
      <c r="LAI151" s="7"/>
      <c r="LAJ151" s="51"/>
      <c r="LAK151" s="52"/>
      <c r="LAL151" s="53"/>
      <c r="LAM151" s="54"/>
      <c r="LAN151" s="52"/>
      <c r="LAO151" s="53"/>
      <c r="LAP151" s="54"/>
      <c r="LAQ151" s="52"/>
      <c r="LAR151" s="53"/>
      <c r="LAS151" s="8"/>
      <c r="LAT151" s="45"/>
      <c r="LAU151" s="45"/>
      <c r="LAV151" s="46"/>
      <c r="LAW151" s="44"/>
      <c r="LAX151" s="7"/>
      <c r="LAY151" s="51"/>
      <c r="LAZ151" s="52"/>
      <c r="LBA151" s="53"/>
      <c r="LBB151" s="54"/>
      <c r="LBC151" s="52"/>
      <c r="LBD151" s="53"/>
      <c r="LBE151" s="54"/>
      <c r="LBF151" s="52"/>
      <c r="LBG151" s="53"/>
      <c r="LBH151" s="8"/>
      <c r="LBI151" s="45"/>
      <c r="LBJ151" s="45"/>
      <c r="LBK151" s="46"/>
      <c r="LBL151" s="44"/>
      <c r="LBM151" s="7"/>
      <c r="LBN151" s="51"/>
      <c r="LBO151" s="52"/>
      <c r="LBP151" s="53"/>
      <c r="LBQ151" s="54"/>
      <c r="LBR151" s="52"/>
      <c r="LBS151" s="53"/>
      <c r="LBT151" s="54"/>
      <c r="LBU151" s="52"/>
      <c r="LBV151" s="53"/>
      <c r="LBW151" s="8"/>
      <c r="LBX151" s="45"/>
      <c r="LBY151" s="45"/>
      <c r="LBZ151" s="46"/>
      <c r="LCA151" s="44"/>
      <c r="LCB151" s="7"/>
      <c r="LCC151" s="51"/>
      <c r="LCD151" s="52"/>
      <c r="LCE151" s="53"/>
      <c r="LCF151" s="54"/>
      <c r="LCG151" s="52"/>
      <c r="LCH151" s="53"/>
      <c r="LCI151" s="54"/>
      <c r="LCJ151" s="52"/>
      <c r="LCK151" s="53"/>
      <c r="LCL151" s="8"/>
      <c r="LCM151" s="45"/>
      <c r="LCN151" s="45"/>
      <c r="LCO151" s="46"/>
      <c r="LCP151" s="44"/>
      <c r="LCQ151" s="7"/>
      <c r="LCR151" s="51"/>
      <c r="LCS151" s="52"/>
      <c r="LCT151" s="53"/>
      <c r="LCU151" s="54"/>
      <c r="LCV151" s="52"/>
      <c r="LCW151" s="53"/>
      <c r="LCX151" s="54"/>
      <c r="LCY151" s="52"/>
      <c r="LCZ151" s="53"/>
      <c r="LDA151" s="8"/>
      <c r="LDB151" s="45"/>
      <c r="LDC151" s="45"/>
      <c r="LDD151" s="46"/>
      <c r="LDE151" s="44"/>
      <c r="LDF151" s="7"/>
      <c r="LDG151" s="51"/>
      <c r="LDH151" s="52"/>
      <c r="LDI151" s="53"/>
      <c r="LDJ151" s="54"/>
      <c r="LDK151" s="52"/>
      <c r="LDL151" s="53"/>
      <c r="LDM151" s="54"/>
      <c r="LDN151" s="52"/>
      <c r="LDO151" s="53"/>
      <c r="LDP151" s="8"/>
      <c r="LDQ151" s="45"/>
      <c r="LDR151" s="45"/>
      <c r="LDS151" s="46"/>
      <c r="LDT151" s="44"/>
      <c r="LDU151" s="7"/>
      <c r="LDV151" s="51"/>
      <c r="LDW151" s="52"/>
      <c r="LDX151" s="53"/>
      <c r="LDY151" s="54"/>
      <c r="LDZ151" s="52"/>
      <c r="LEA151" s="53"/>
      <c r="LEB151" s="54"/>
      <c r="LEC151" s="52"/>
      <c r="LED151" s="53"/>
      <c r="LEE151" s="8"/>
      <c r="LEF151" s="45"/>
      <c r="LEG151" s="45"/>
      <c r="LEH151" s="46"/>
      <c r="LEI151" s="44"/>
      <c r="LEJ151" s="7"/>
      <c r="LEK151" s="51"/>
      <c r="LEL151" s="52"/>
      <c r="LEM151" s="53"/>
      <c r="LEN151" s="54"/>
      <c r="LEO151" s="52"/>
      <c r="LEP151" s="53"/>
      <c r="LEQ151" s="54"/>
      <c r="LER151" s="52"/>
      <c r="LES151" s="53"/>
      <c r="LET151" s="8"/>
      <c r="LEU151" s="45"/>
      <c r="LEV151" s="45"/>
      <c r="LEW151" s="46"/>
      <c r="LEX151" s="44"/>
      <c r="LEY151" s="7"/>
      <c r="LEZ151" s="51"/>
      <c r="LFA151" s="52"/>
      <c r="LFB151" s="53"/>
      <c r="LFC151" s="54"/>
      <c r="LFD151" s="52"/>
      <c r="LFE151" s="53"/>
      <c r="LFF151" s="54"/>
      <c r="LFG151" s="52"/>
      <c r="LFH151" s="53"/>
      <c r="LFI151" s="8"/>
      <c r="LFJ151" s="45"/>
      <c r="LFK151" s="45"/>
      <c r="LFL151" s="46"/>
      <c r="LFM151" s="44"/>
      <c r="LFN151" s="7"/>
      <c r="LFO151" s="51"/>
      <c r="LFP151" s="52"/>
      <c r="LFQ151" s="53"/>
      <c r="LFR151" s="54"/>
      <c r="LFS151" s="52"/>
      <c r="LFT151" s="53"/>
      <c r="LFU151" s="54"/>
      <c r="LFV151" s="52"/>
      <c r="LFW151" s="53"/>
      <c r="LFX151" s="8"/>
      <c r="LFY151" s="45"/>
      <c r="LFZ151" s="45"/>
      <c r="LGA151" s="46"/>
      <c r="LGB151" s="44"/>
      <c r="LGC151" s="7"/>
      <c r="LGD151" s="51"/>
      <c r="LGE151" s="52"/>
      <c r="LGF151" s="53"/>
      <c r="LGG151" s="54"/>
      <c r="LGH151" s="52"/>
      <c r="LGI151" s="53"/>
      <c r="LGJ151" s="54"/>
      <c r="LGK151" s="52"/>
      <c r="LGL151" s="53"/>
      <c r="LGM151" s="8"/>
      <c r="LGN151" s="45"/>
      <c r="LGO151" s="45"/>
      <c r="LGP151" s="46"/>
      <c r="LGQ151" s="44"/>
      <c r="LGR151" s="7"/>
      <c r="LGS151" s="51"/>
      <c r="LGT151" s="52"/>
      <c r="LGU151" s="53"/>
      <c r="LGV151" s="54"/>
      <c r="LGW151" s="52"/>
      <c r="LGX151" s="53"/>
      <c r="LGY151" s="54"/>
      <c r="LGZ151" s="52"/>
      <c r="LHA151" s="53"/>
      <c r="LHB151" s="8"/>
      <c r="LHC151" s="45"/>
      <c r="LHD151" s="45"/>
      <c r="LHE151" s="46"/>
      <c r="LHF151" s="44"/>
      <c r="LHG151" s="7"/>
      <c r="LHH151" s="51"/>
      <c r="LHI151" s="52"/>
      <c r="LHJ151" s="53"/>
      <c r="LHK151" s="54"/>
      <c r="LHL151" s="52"/>
      <c r="LHM151" s="53"/>
      <c r="LHN151" s="54"/>
      <c r="LHO151" s="52"/>
      <c r="LHP151" s="53"/>
      <c r="LHQ151" s="8"/>
      <c r="LHR151" s="45"/>
      <c r="LHS151" s="45"/>
      <c r="LHT151" s="46"/>
      <c r="LHU151" s="44"/>
      <c r="LHV151" s="7"/>
      <c r="LHW151" s="51"/>
      <c r="LHX151" s="52"/>
      <c r="LHY151" s="53"/>
      <c r="LHZ151" s="54"/>
      <c r="LIA151" s="52"/>
      <c r="LIB151" s="53"/>
      <c r="LIC151" s="54"/>
      <c r="LID151" s="52"/>
      <c r="LIE151" s="53"/>
      <c r="LIF151" s="8"/>
      <c r="LIG151" s="45"/>
      <c r="LIH151" s="45"/>
      <c r="LII151" s="46"/>
      <c r="LIJ151" s="44"/>
      <c r="LIK151" s="7"/>
      <c r="LIL151" s="51"/>
      <c r="LIM151" s="52"/>
      <c r="LIN151" s="53"/>
      <c r="LIO151" s="54"/>
      <c r="LIP151" s="52"/>
      <c r="LIQ151" s="53"/>
      <c r="LIR151" s="54"/>
      <c r="LIS151" s="52"/>
      <c r="LIT151" s="53"/>
      <c r="LIU151" s="8"/>
      <c r="LIV151" s="45"/>
      <c r="LIW151" s="45"/>
      <c r="LIX151" s="46"/>
      <c r="LIY151" s="44"/>
      <c r="LIZ151" s="7"/>
      <c r="LJA151" s="51"/>
      <c r="LJB151" s="52"/>
      <c r="LJC151" s="53"/>
      <c r="LJD151" s="54"/>
      <c r="LJE151" s="52"/>
      <c r="LJF151" s="53"/>
      <c r="LJG151" s="54"/>
      <c r="LJH151" s="52"/>
      <c r="LJI151" s="53"/>
      <c r="LJJ151" s="8"/>
      <c r="LJK151" s="45"/>
      <c r="LJL151" s="45"/>
      <c r="LJM151" s="46"/>
      <c r="LJN151" s="44"/>
      <c r="LJO151" s="7"/>
      <c r="LJP151" s="51"/>
      <c r="LJQ151" s="52"/>
      <c r="LJR151" s="53"/>
      <c r="LJS151" s="54"/>
      <c r="LJT151" s="52"/>
      <c r="LJU151" s="53"/>
      <c r="LJV151" s="54"/>
      <c r="LJW151" s="52"/>
      <c r="LJX151" s="53"/>
      <c r="LJY151" s="8"/>
      <c r="LJZ151" s="45"/>
      <c r="LKA151" s="45"/>
      <c r="LKB151" s="46"/>
      <c r="LKC151" s="44"/>
      <c r="LKD151" s="7"/>
      <c r="LKE151" s="51"/>
      <c r="LKF151" s="52"/>
      <c r="LKG151" s="53"/>
      <c r="LKH151" s="54"/>
      <c r="LKI151" s="52"/>
      <c r="LKJ151" s="53"/>
      <c r="LKK151" s="54"/>
      <c r="LKL151" s="52"/>
      <c r="LKM151" s="53"/>
      <c r="LKN151" s="8"/>
      <c r="LKO151" s="45"/>
      <c r="LKP151" s="45"/>
      <c r="LKQ151" s="46"/>
      <c r="LKR151" s="44"/>
      <c r="LKS151" s="7"/>
      <c r="LKT151" s="51"/>
      <c r="LKU151" s="52"/>
      <c r="LKV151" s="53"/>
      <c r="LKW151" s="54"/>
      <c r="LKX151" s="52"/>
      <c r="LKY151" s="53"/>
      <c r="LKZ151" s="54"/>
      <c r="LLA151" s="52"/>
      <c r="LLB151" s="53"/>
      <c r="LLC151" s="8"/>
      <c r="LLD151" s="45"/>
      <c r="LLE151" s="45"/>
      <c r="LLF151" s="46"/>
      <c r="LLG151" s="44"/>
      <c r="LLH151" s="7"/>
      <c r="LLI151" s="51"/>
      <c r="LLJ151" s="52"/>
      <c r="LLK151" s="53"/>
      <c r="LLL151" s="54"/>
      <c r="LLM151" s="52"/>
      <c r="LLN151" s="53"/>
      <c r="LLO151" s="54"/>
      <c r="LLP151" s="52"/>
      <c r="LLQ151" s="53"/>
      <c r="LLR151" s="8"/>
      <c r="LLS151" s="45"/>
      <c r="LLT151" s="45"/>
      <c r="LLU151" s="46"/>
      <c r="LLV151" s="44"/>
      <c r="LLW151" s="7"/>
      <c r="LLX151" s="51"/>
      <c r="LLY151" s="52"/>
      <c r="LLZ151" s="53"/>
      <c r="LMA151" s="54"/>
      <c r="LMB151" s="52"/>
      <c r="LMC151" s="53"/>
      <c r="LMD151" s="54"/>
      <c r="LME151" s="52"/>
      <c r="LMF151" s="53"/>
      <c r="LMG151" s="8"/>
      <c r="LMH151" s="45"/>
      <c r="LMI151" s="45"/>
      <c r="LMJ151" s="46"/>
      <c r="LMK151" s="44"/>
      <c r="LML151" s="7"/>
      <c r="LMM151" s="51"/>
      <c r="LMN151" s="52"/>
      <c r="LMO151" s="53"/>
      <c r="LMP151" s="54"/>
      <c r="LMQ151" s="52"/>
      <c r="LMR151" s="53"/>
      <c r="LMS151" s="54"/>
      <c r="LMT151" s="52"/>
      <c r="LMU151" s="53"/>
      <c r="LMV151" s="8"/>
      <c r="LMW151" s="45"/>
      <c r="LMX151" s="45"/>
      <c r="LMY151" s="46"/>
      <c r="LMZ151" s="44"/>
      <c r="LNA151" s="7"/>
      <c r="LNB151" s="51"/>
      <c r="LNC151" s="52"/>
      <c r="LND151" s="53"/>
      <c r="LNE151" s="54"/>
      <c r="LNF151" s="52"/>
      <c r="LNG151" s="53"/>
      <c r="LNH151" s="54"/>
      <c r="LNI151" s="52"/>
      <c r="LNJ151" s="53"/>
      <c r="LNK151" s="8"/>
      <c r="LNL151" s="45"/>
      <c r="LNM151" s="45"/>
      <c r="LNN151" s="46"/>
      <c r="LNO151" s="44"/>
      <c r="LNP151" s="7"/>
      <c r="LNQ151" s="51"/>
      <c r="LNR151" s="52"/>
      <c r="LNS151" s="53"/>
      <c r="LNT151" s="54"/>
      <c r="LNU151" s="52"/>
      <c r="LNV151" s="53"/>
      <c r="LNW151" s="54"/>
      <c r="LNX151" s="52"/>
      <c r="LNY151" s="53"/>
      <c r="LNZ151" s="8"/>
      <c r="LOA151" s="45"/>
      <c r="LOB151" s="45"/>
      <c r="LOC151" s="46"/>
      <c r="LOD151" s="44"/>
      <c r="LOE151" s="7"/>
      <c r="LOF151" s="51"/>
      <c r="LOG151" s="52"/>
      <c r="LOH151" s="53"/>
      <c r="LOI151" s="54"/>
      <c r="LOJ151" s="52"/>
      <c r="LOK151" s="53"/>
      <c r="LOL151" s="54"/>
      <c r="LOM151" s="52"/>
      <c r="LON151" s="53"/>
      <c r="LOO151" s="8"/>
      <c r="LOP151" s="45"/>
      <c r="LOQ151" s="45"/>
      <c r="LOR151" s="46"/>
      <c r="LOS151" s="44"/>
      <c r="LOT151" s="7"/>
      <c r="LOU151" s="51"/>
      <c r="LOV151" s="52"/>
      <c r="LOW151" s="53"/>
      <c r="LOX151" s="54"/>
      <c r="LOY151" s="52"/>
      <c r="LOZ151" s="53"/>
      <c r="LPA151" s="54"/>
      <c r="LPB151" s="52"/>
      <c r="LPC151" s="53"/>
      <c r="LPD151" s="8"/>
      <c r="LPE151" s="45"/>
      <c r="LPF151" s="45"/>
      <c r="LPG151" s="46"/>
      <c r="LPH151" s="44"/>
      <c r="LPI151" s="7"/>
      <c r="LPJ151" s="51"/>
      <c r="LPK151" s="52"/>
      <c r="LPL151" s="53"/>
      <c r="LPM151" s="54"/>
      <c r="LPN151" s="52"/>
      <c r="LPO151" s="53"/>
      <c r="LPP151" s="54"/>
      <c r="LPQ151" s="52"/>
      <c r="LPR151" s="53"/>
      <c r="LPS151" s="8"/>
      <c r="LPT151" s="45"/>
      <c r="LPU151" s="45"/>
      <c r="LPV151" s="46"/>
      <c r="LPW151" s="44"/>
      <c r="LPX151" s="7"/>
      <c r="LPY151" s="51"/>
      <c r="LPZ151" s="52"/>
      <c r="LQA151" s="53"/>
      <c r="LQB151" s="54"/>
      <c r="LQC151" s="52"/>
      <c r="LQD151" s="53"/>
      <c r="LQE151" s="54"/>
      <c r="LQF151" s="52"/>
      <c r="LQG151" s="53"/>
      <c r="LQH151" s="8"/>
      <c r="LQI151" s="45"/>
      <c r="LQJ151" s="45"/>
      <c r="LQK151" s="46"/>
      <c r="LQL151" s="44"/>
      <c r="LQM151" s="7"/>
      <c r="LQN151" s="51"/>
      <c r="LQO151" s="52"/>
      <c r="LQP151" s="53"/>
      <c r="LQQ151" s="54"/>
      <c r="LQR151" s="52"/>
      <c r="LQS151" s="53"/>
      <c r="LQT151" s="54"/>
      <c r="LQU151" s="52"/>
      <c r="LQV151" s="53"/>
      <c r="LQW151" s="8"/>
      <c r="LQX151" s="45"/>
      <c r="LQY151" s="45"/>
      <c r="LQZ151" s="46"/>
      <c r="LRA151" s="44"/>
      <c r="LRB151" s="7"/>
      <c r="LRC151" s="51"/>
      <c r="LRD151" s="52"/>
      <c r="LRE151" s="53"/>
      <c r="LRF151" s="54"/>
      <c r="LRG151" s="52"/>
      <c r="LRH151" s="53"/>
      <c r="LRI151" s="54"/>
      <c r="LRJ151" s="52"/>
      <c r="LRK151" s="53"/>
      <c r="LRL151" s="8"/>
      <c r="LRM151" s="45"/>
      <c r="LRN151" s="45"/>
      <c r="LRO151" s="46"/>
      <c r="LRP151" s="44"/>
      <c r="LRQ151" s="7"/>
      <c r="LRR151" s="51"/>
      <c r="LRS151" s="52"/>
      <c r="LRT151" s="53"/>
      <c r="LRU151" s="54"/>
      <c r="LRV151" s="52"/>
      <c r="LRW151" s="53"/>
      <c r="LRX151" s="54"/>
      <c r="LRY151" s="52"/>
      <c r="LRZ151" s="53"/>
      <c r="LSA151" s="8"/>
      <c r="LSB151" s="45"/>
      <c r="LSC151" s="45"/>
      <c r="LSD151" s="46"/>
      <c r="LSE151" s="44"/>
      <c r="LSF151" s="7"/>
      <c r="LSG151" s="51"/>
      <c r="LSH151" s="52"/>
      <c r="LSI151" s="53"/>
      <c r="LSJ151" s="54"/>
      <c r="LSK151" s="52"/>
      <c r="LSL151" s="53"/>
      <c r="LSM151" s="54"/>
      <c r="LSN151" s="52"/>
      <c r="LSO151" s="53"/>
      <c r="LSP151" s="8"/>
      <c r="LSQ151" s="45"/>
      <c r="LSR151" s="45"/>
      <c r="LSS151" s="46"/>
      <c r="LST151" s="44"/>
      <c r="LSU151" s="7"/>
      <c r="LSV151" s="51"/>
      <c r="LSW151" s="52"/>
      <c r="LSX151" s="53"/>
      <c r="LSY151" s="54"/>
      <c r="LSZ151" s="52"/>
      <c r="LTA151" s="53"/>
      <c r="LTB151" s="54"/>
      <c r="LTC151" s="52"/>
      <c r="LTD151" s="53"/>
      <c r="LTE151" s="8"/>
      <c r="LTF151" s="45"/>
      <c r="LTG151" s="45"/>
      <c r="LTH151" s="46"/>
      <c r="LTI151" s="44"/>
      <c r="LTJ151" s="7"/>
      <c r="LTK151" s="51"/>
      <c r="LTL151" s="52"/>
      <c r="LTM151" s="53"/>
      <c r="LTN151" s="54"/>
      <c r="LTO151" s="52"/>
      <c r="LTP151" s="53"/>
      <c r="LTQ151" s="54"/>
      <c r="LTR151" s="52"/>
      <c r="LTS151" s="53"/>
      <c r="LTT151" s="8"/>
      <c r="LTU151" s="45"/>
      <c r="LTV151" s="45"/>
      <c r="LTW151" s="46"/>
      <c r="LTX151" s="44"/>
      <c r="LTY151" s="7"/>
      <c r="LTZ151" s="51"/>
      <c r="LUA151" s="52"/>
      <c r="LUB151" s="53"/>
      <c r="LUC151" s="54"/>
      <c r="LUD151" s="52"/>
      <c r="LUE151" s="53"/>
      <c r="LUF151" s="54"/>
      <c r="LUG151" s="52"/>
      <c r="LUH151" s="53"/>
      <c r="LUI151" s="8"/>
      <c r="LUJ151" s="45"/>
      <c r="LUK151" s="45"/>
      <c r="LUL151" s="46"/>
      <c r="LUM151" s="44"/>
      <c r="LUN151" s="7"/>
      <c r="LUO151" s="51"/>
      <c r="LUP151" s="52"/>
      <c r="LUQ151" s="53"/>
      <c r="LUR151" s="54"/>
      <c r="LUS151" s="52"/>
      <c r="LUT151" s="53"/>
      <c r="LUU151" s="54"/>
      <c r="LUV151" s="52"/>
      <c r="LUW151" s="53"/>
      <c r="LUX151" s="8"/>
      <c r="LUY151" s="45"/>
      <c r="LUZ151" s="45"/>
      <c r="LVA151" s="46"/>
      <c r="LVB151" s="44"/>
      <c r="LVC151" s="7"/>
      <c r="LVD151" s="51"/>
      <c r="LVE151" s="52"/>
      <c r="LVF151" s="53"/>
      <c r="LVG151" s="54"/>
      <c r="LVH151" s="52"/>
      <c r="LVI151" s="53"/>
      <c r="LVJ151" s="54"/>
      <c r="LVK151" s="52"/>
      <c r="LVL151" s="53"/>
      <c r="LVM151" s="8"/>
      <c r="LVN151" s="45"/>
      <c r="LVO151" s="45"/>
      <c r="LVP151" s="46"/>
      <c r="LVQ151" s="44"/>
      <c r="LVR151" s="7"/>
      <c r="LVS151" s="51"/>
      <c r="LVT151" s="52"/>
      <c r="LVU151" s="53"/>
      <c r="LVV151" s="54"/>
      <c r="LVW151" s="52"/>
      <c r="LVX151" s="53"/>
      <c r="LVY151" s="54"/>
      <c r="LVZ151" s="52"/>
      <c r="LWA151" s="53"/>
      <c r="LWB151" s="8"/>
      <c r="LWC151" s="45"/>
      <c r="LWD151" s="45"/>
      <c r="LWE151" s="46"/>
      <c r="LWF151" s="44"/>
      <c r="LWG151" s="7"/>
      <c r="LWH151" s="51"/>
      <c r="LWI151" s="52"/>
      <c r="LWJ151" s="53"/>
      <c r="LWK151" s="54"/>
      <c r="LWL151" s="52"/>
      <c r="LWM151" s="53"/>
      <c r="LWN151" s="54"/>
      <c r="LWO151" s="52"/>
      <c r="LWP151" s="53"/>
      <c r="LWQ151" s="8"/>
      <c r="LWR151" s="45"/>
      <c r="LWS151" s="45"/>
      <c r="LWT151" s="46"/>
      <c r="LWU151" s="44"/>
      <c r="LWV151" s="7"/>
      <c r="LWW151" s="51"/>
      <c r="LWX151" s="52"/>
      <c r="LWY151" s="53"/>
      <c r="LWZ151" s="54"/>
      <c r="LXA151" s="52"/>
      <c r="LXB151" s="53"/>
      <c r="LXC151" s="54"/>
      <c r="LXD151" s="52"/>
      <c r="LXE151" s="53"/>
      <c r="LXF151" s="8"/>
      <c r="LXG151" s="45"/>
      <c r="LXH151" s="45"/>
      <c r="LXI151" s="46"/>
      <c r="LXJ151" s="44"/>
      <c r="LXK151" s="7"/>
      <c r="LXL151" s="51"/>
      <c r="LXM151" s="52"/>
      <c r="LXN151" s="53"/>
      <c r="LXO151" s="54"/>
      <c r="LXP151" s="52"/>
      <c r="LXQ151" s="53"/>
      <c r="LXR151" s="54"/>
      <c r="LXS151" s="52"/>
      <c r="LXT151" s="53"/>
      <c r="LXU151" s="8"/>
      <c r="LXV151" s="45"/>
      <c r="LXW151" s="45"/>
      <c r="LXX151" s="46"/>
      <c r="LXY151" s="44"/>
      <c r="LXZ151" s="7"/>
      <c r="LYA151" s="51"/>
      <c r="LYB151" s="52"/>
      <c r="LYC151" s="53"/>
      <c r="LYD151" s="54"/>
      <c r="LYE151" s="52"/>
      <c r="LYF151" s="53"/>
      <c r="LYG151" s="54"/>
      <c r="LYH151" s="52"/>
      <c r="LYI151" s="53"/>
      <c r="LYJ151" s="8"/>
      <c r="LYK151" s="45"/>
      <c r="LYL151" s="45"/>
      <c r="LYM151" s="46"/>
      <c r="LYN151" s="44"/>
      <c r="LYO151" s="7"/>
      <c r="LYP151" s="51"/>
      <c r="LYQ151" s="52"/>
      <c r="LYR151" s="53"/>
      <c r="LYS151" s="54"/>
      <c r="LYT151" s="52"/>
      <c r="LYU151" s="53"/>
      <c r="LYV151" s="54"/>
      <c r="LYW151" s="52"/>
      <c r="LYX151" s="53"/>
      <c r="LYY151" s="8"/>
      <c r="LYZ151" s="45"/>
      <c r="LZA151" s="45"/>
      <c r="LZB151" s="46"/>
      <c r="LZC151" s="44"/>
      <c r="LZD151" s="7"/>
      <c r="LZE151" s="51"/>
      <c r="LZF151" s="52"/>
      <c r="LZG151" s="53"/>
      <c r="LZH151" s="54"/>
      <c r="LZI151" s="52"/>
      <c r="LZJ151" s="53"/>
      <c r="LZK151" s="54"/>
      <c r="LZL151" s="52"/>
      <c r="LZM151" s="53"/>
      <c r="LZN151" s="8"/>
      <c r="LZO151" s="45"/>
      <c r="LZP151" s="45"/>
      <c r="LZQ151" s="46"/>
      <c r="LZR151" s="44"/>
      <c r="LZS151" s="7"/>
      <c r="LZT151" s="51"/>
      <c r="LZU151" s="52"/>
      <c r="LZV151" s="53"/>
      <c r="LZW151" s="54"/>
      <c r="LZX151" s="52"/>
      <c r="LZY151" s="53"/>
      <c r="LZZ151" s="54"/>
      <c r="MAA151" s="52"/>
      <c r="MAB151" s="53"/>
      <c r="MAC151" s="8"/>
      <c r="MAD151" s="45"/>
      <c r="MAE151" s="45"/>
      <c r="MAF151" s="46"/>
      <c r="MAG151" s="44"/>
      <c r="MAH151" s="7"/>
      <c r="MAI151" s="51"/>
      <c r="MAJ151" s="52"/>
      <c r="MAK151" s="53"/>
      <c r="MAL151" s="54"/>
      <c r="MAM151" s="52"/>
      <c r="MAN151" s="53"/>
      <c r="MAO151" s="54"/>
      <c r="MAP151" s="52"/>
      <c r="MAQ151" s="53"/>
      <c r="MAR151" s="8"/>
      <c r="MAS151" s="45"/>
      <c r="MAT151" s="45"/>
      <c r="MAU151" s="46"/>
      <c r="MAV151" s="44"/>
      <c r="MAW151" s="7"/>
      <c r="MAX151" s="51"/>
      <c r="MAY151" s="52"/>
      <c r="MAZ151" s="53"/>
      <c r="MBA151" s="54"/>
      <c r="MBB151" s="52"/>
      <c r="MBC151" s="53"/>
      <c r="MBD151" s="54"/>
      <c r="MBE151" s="52"/>
      <c r="MBF151" s="53"/>
      <c r="MBG151" s="8"/>
      <c r="MBH151" s="45"/>
      <c r="MBI151" s="45"/>
      <c r="MBJ151" s="46"/>
      <c r="MBK151" s="44"/>
      <c r="MBL151" s="7"/>
      <c r="MBM151" s="51"/>
      <c r="MBN151" s="52"/>
      <c r="MBO151" s="53"/>
      <c r="MBP151" s="54"/>
      <c r="MBQ151" s="52"/>
      <c r="MBR151" s="53"/>
      <c r="MBS151" s="54"/>
      <c r="MBT151" s="52"/>
      <c r="MBU151" s="53"/>
      <c r="MBV151" s="8"/>
      <c r="MBW151" s="45"/>
      <c r="MBX151" s="45"/>
      <c r="MBY151" s="46"/>
      <c r="MBZ151" s="44"/>
      <c r="MCA151" s="7"/>
      <c r="MCB151" s="51"/>
      <c r="MCC151" s="52"/>
      <c r="MCD151" s="53"/>
      <c r="MCE151" s="54"/>
      <c r="MCF151" s="52"/>
      <c r="MCG151" s="53"/>
      <c r="MCH151" s="54"/>
      <c r="MCI151" s="52"/>
      <c r="MCJ151" s="53"/>
      <c r="MCK151" s="8"/>
      <c r="MCL151" s="45"/>
      <c r="MCM151" s="45"/>
      <c r="MCN151" s="46"/>
      <c r="MCO151" s="44"/>
      <c r="MCP151" s="7"/>
      <c r="MCQ151" s="51"/>
      <c r="MCR151" s="52"/>
      <c r="MCS151" s="53"/>
      <c r="MCT151" s="54"/>
      <c r="MCU151" s="52"/>
      <c r="MCV151" s="53"/>
      <c r="MCW151" s="54"/>
      <c r="MCX151" s="52"/>
      <c r="MCY151" s="53"/>
      <c r="MCZ151" s="8"/>
      <c r="MDA151" s="45"/>
      <c r="MDB151" s="45"/>
      <c r="MDC151" s="46"/>
      <c r="MDD151" s="44"/>
      <c r="MDE151" s="7"/>
      <c r="MDF151" s="51"/>
      <c r="MDG151" s="52"/>
      <c r="MDH151" s="53"/>
      <c r="MDI151" s="54"/>
      <c r="MDJ151" s="52"/>
      <c r="MDK151" s="53"/>
      <c r="MDL151" s="54"/>
      <c r="MDM151" s="52"/>
      <c r="MDN151" s="53"/>
      <c r="MDO151" s="8"/>
      <c r="MDP151" s="45"/>
      <c r="MDQ151" s="45"/>
      <c r="MDR151" s="46"/>
      <c r="MDS151" s="44"/>
      <c r="MDT151" s="7"/>
      <c r="MDU151" s="51"/>
      <c r="MDV151" s="52"/>
      <c r="MDW151" s="53"/>
      <c r="MDX151" s="54"/>
      <c r="MDY151" s="52"/>
      <c r="MDZ151" s="53"/>
      <c r="MEA151" s="54"/>
      <c r="MEB151" s="52"/>
      <c r="MEC151" s="53"/>
      <c r="MED151" s="8"/>
      <c r="MEE151" s="45"/>
      <c r="MEF151" s="45"/>
      <c r="MEG151" s="46"/>
      <c r="MEH151" s="44"/>
      <c r="MEI151" s="7"/>
      <c r="MEJ151" s="51"/>
      <c r="MEK151" s="52"/>
      <c r="MEL151" s="53"/>
      <c r="MEM151" s="54"/>
      <c r="MEN151" s="52"/>
      <c r="MEO151" s="53"/>
      <c r="MEP151" s="54"/>
      <c r="MEQ151" s="52"/>
      <c r="MER151" s="53"/>
      <c r="MES151" s="8"/>
      <c r="MET151" s="45"/>
      <c r="MEU151" s="45"/>
      <c r="MEV151" s="46"/>
      <c r="MEW151" s="44"/>
      <c r="MEX151" s="7"/>
      <c r="MEY151" s="51"/>
      <c r="MEZ151" s="52"/>
      <c r="MFA151" s="53"/>
      <c r="MFB151" s="54"/>
      <c r="MFC151" s="52"/>
      <c r="MFD151" s="53"/>
      <c r="MFE151" s="54"/>
      <c r="MFF151" s="52"/>
      <c r="MFG151" s="53"/>
      <c r="MFH151" s="8"/>
      <c r="MFI151" s="45"/>
      <c r="MFJ151" s="45"/>
      <c r="MFK151" s="46"/>
      <c r="MFL151" s="44"/>
      <c r="MFM151" s="7"/>
      <c r="MFN151" s="51"/>
      <c r="MFO151" s="52"/>
      <c r="MFP151" s="53"/>
      <c r="MFQ151" s="54"/>
      <c r="MFR151" s="52"/>
      <c r="MFS151" s="53"/>
      <c r="MFT151" s="54"/>
      <c r="MFU151" s="52"/>
      <c r="MFV151" s="53"/>
      <c r="MFW151" s="8"/>
      <c r="MFX151" s="45"/>
      <c r="MFY151" s="45"/>
      <c r="MFZ151" s="46"/>
      <c r="MGA151" s="44"/>
      <c r="MGB151" s="7"/>
      <c r="MGC151" s="51"/>
      <c r="MGD151" s="52"/>
      <c r="MGE151" s="53"/>
      <c r="MGF151" s="54"/>
      <c r="MGG151" s="52"/>
      <c r="MGH151" s="53"/>
      <c r="MGI151" s="54"/>
      <c r="MGJ151" s="52"/>
      <c r="MGK151" s="53"/>
      <c r="MGL151" s="8"/>
      <c r="MGM151" s="45"/>
      <c r="MGN151" s="45"/>
      <c r="MGO151" s="46"/>
      <c r="MGP151" s="44"/>
      <c r="MGQ151" s="7"/>
      <c r="MGR151" s="51"/>
      <c r="MGS151" s="52"/>
      <c r="MGT151" s="53"/>
      <c r="MGU151" s="54"/>
      <c r="MGV151" s="52"/>
      <c r="MGW151" s="53"/>
      <c r="MGX151" s="54"/>
      <c r="MGY151" s="52"/>
      <c r="MGZ151" s="53"/>
      <c r="MHA151" s="8"/>
      <c r="MHB151" s="45"/>
      <c r="MHC151" s="45"/>
      <c r="MHD151" s="46"/>
      <c r="MHE151" s="44"/>
      <c r="MHF151" s="7"/>
      <c r="MHG151" s="51"/>
      <c r="MHH151" s="52"/>
      <c r="MHI151" s="53"/>
      <c r="MHJ151" s="54"/>
      <c r="MHK151" s="52"/>
      <c r="MHL151" s="53"/>
      <c r="MHM151" s="54"/>
      <c r="MHN151" s="52"/>
      <c r="MHO151" s="53"/>
      <c r="MHP151" s="8"/>
      <c r="MHQ151" s="45"/>
      <c r="MHR151" s="45"/>
      <c r="MHS151" s="46"/>
      <c r="MHT151" s="44"/>
      <c r="MHU151" s="7"/>
      <c r="MHV151" s="51"/>
      <c r="MHW151" s="52"/>
      <c r="MHX151" s="53"/>
      <c r="MHY151" s="54"/>
      <c r="MHZ151" s="52"/>
      <c r="MIA151" s="53"/>
      <c r="MIB151" s="54"/>
      <c r="MIC151" s="52"/>
      <c r="MID151" s="53"/>
      <c r="MIE151" s="8"/>
      <c r="MIF151" s="45"/>
      <c r="MIG151" s="45"/>
      <c r="MIH151" s="46"/>
      <c r="MII151" s="44"/>
      <c r="MIJ151" s="7"/>
      <c r="MIK151" s="51"/>
      <c r="MIL151" s="52"/>
      <c r="MIM151" s="53"/>
      <c r="MIN151" s="54"/>
      <c r="MIO151" s="52"/>
      <c r="MIP151" s="53"/>
      <c r="MIQ151" s="54"/>
      <c r="MIR151" s="52"/>
      <c r="MIS151" s="53"/>
      <c r="MIT151" s="8"/>
      <c r="MIU151" s="45"/>
      <c r="MIV151" s="45"/>
      <c r="MIW151" s="46"/>
      <c r="MIX151" s="44"/>
      <c r="MIY151" s="7"/>
      <c r="MIZ151" s="51"/>
      <c r="MJA151" s="52"/>
      <c r="MJB151" s="53"/>
      <c r="MJC151" s="54"/>
      <c r="MJD151" s="52"/>
      <c r="MJE151" s="53"/>
      <c r="MJF151" s="54"/>
      <c r="MJG151" s="52"/>
      <c r="MJH151" s="53"/>
      <c r="MJI151" s="8"/>
      <c r="MJJ151" s="45"/>
      <c r="MJK151" s="45"/>
      <c r="MJL151" s="46"/>
      <c r="MJM151" s="44"/>
      <c r="MJN151" s="7"/>
      <c r="MJO151" s="51"/>
      <c r="MJP151" s="52"/>
      <c r="MJQ151" s="53"/>
      <c r="MJR151" s="54"/>
      <c r="MJS151" s="52"/>
      <c r="MJT151" s="53"/>
      <c r="MJU151" s="54"/>
      <c r="MJV151" s="52"/>
      <c r="MJW151" s="53"/>
      <c r="MJX151" s="8"/>
      <c r="MJY151" s="45"/>
      <c r="MJZ151" s="45"/>
      <c r="MKA151" s="46"/>
      <c r="MKB151" s="44"/>
      <c r="MKC151" s="7"/>
      <c r="MKD151" s="51"/>
      <c r="MKE151" s="52"/>
      <c r="MKF151" s="53"/>
    </row>
    <row r="152" spans="1:9080">
      <c r="A152" s="44"/>
      <c r="B152" s="7"/>
      <c r="C152" s="51"/>
      <c r="D152" s="52"/>
      <c r="E152" s="53"/>
      <c r="F152" s="54"/>
      <c r="G152" s="52"/>
      <c r="H152" s="53"/>
      <c r="I152" s="54"/>
      <c r="J152" s="52"/>
      <c r="K152" s="53"/>
      <c r="L152" s="8"/>
      <c r="M152" s="45"/>
      <c r="N152" s="45"/>
      <c r="O152" s="46"/>
      <c r="NB152" s="54"/>
      <c r="NC152" s="52"/>
      <c r="ND152" s="53"/>
      <c r="NE152" s="54"/>
      <c r="NF152" s="52"/>
      <c r="NG152" s="53"/>
      <c r="NH152" s="8"/>
      <c r="NI152" s="45"/>
      <c r="NJ152" s="45"/>
      <c r="NK152" s="46"/>
      <c r="NL152" s="44"/>
      <c r="NM152" s="7"/>
      <c r="NN152" s="51"/>
      <c r="NO152" s="52"/>
      <c r="NP152" s="53"/>
      <c r="NQ152" s="54"/>
      <c r="NR152" s="52"/>
      <c r="NS152" s="53"/>
      <c r="NT152" s="54"/>
      <c r="NU152" s="52"/>
      <c r="NV152" s="53"/>
      <c r="NW152" s="8"/>
      <c r="NX152" s="45"/>
      <c r="NY152" s="45"/>
      <c r="NZ152" s="46"/>
      <c r="OA152" s="44"/>
      <c r="OB152" s="7"/>
      <c r="OC152" s="51"/>
      <c r="OD152" s="52"/>
      <c r="OE152" s="53"/>
      <c r="OF152" s="54"/>
      <c r="OG152" s="52"/>
      <c r="OH152" s="53"/>
      <c r="OI152" s="54"/>
      <c r="OJ152" s="52"/>
      <c r="OK152" s="53"/>
      <c r="OL152" s="8"/>
      <c r="OM152" s="45"/>
      <c r="ON152" s="45"/>
      <c r="OO152" s="46"/>
      <c r="OP152" s="44"/>
      <c r="OQ152" s="7"/>
      <c r="OR152" s="51"/>
      <c r="OS152" s="52"/>
      <c r="OT152" s="53"/>
      <c r="OU152" s="54"/>
      <c r="OV152" s="52"/>
      <c r="OW152" s="53"/>
      <c r="OX152" s="54"/>
      <c r="OY152" s="52"/>
      <c r="OZ152" s="53"/>
      <c r="PA152" s="8"/>
      <c r="PB152" s="45"/>
      <c r="PC152" s="45"/>
      <c r="PD152" s="46"/>
      <c r="PE152" s="44"/>
      <c r="PF152" s="7"/>
      <c r="PG152" s="51"/>
      <c r="PH152" s="52"/>
      <c r="PI152" s="53"/>
      <c r="PJ152" s="54"/>
      <c r="PK152" s="52"/>
      <c r="PL152" s="53"/>
      <c r="PM152" s="54"/>
      <c r="PN152" s="52"/>
      <c r="PO152" s="53"/>
      <c r="PP152" s="8"/>
      <c r="PQ152" s="45"/>
      <c r="PR152" s="45"/>
      <c r="PS152" s="46"/>
      <c r="PT152" s="44"/>
      <c r="PU152" s="7"/>
      <c r="PV152" s="51"/>
      <c r="PW152" s="52"/>
      <c r="PX152" s="53"/>
      <c r="PY152" s="54"/>
      <c r="PZ152" s="52"/>
      <c r="QA152" s="53"/>
      <c r="QB152" s="54"/>
      <c r="QC152" s="52"/>
      <c r="QD152" s="53"/>
      <c r="QE152" s="8"/>
      <c r="QF152" s="45"/>
      <c r="QG152" s="45"/>
      <c r="QH152" s="46"/>
      <c r="QI152" s="44"/>
      <c r="QJ152" s="7"/>
      <c r="QK152" s="51"/>
      <c r="QL152" s="52"/>
      <c r="QM152" s="53"/>
      <c r="QN152" s="54"/>
      <c r="QO152" s="52"/>
      <c r="QP152" s="53"/>
      <c r="QQ152" s="54"/>
      <c r="QR152" s="52"/>
      <c r="QS152" s="53"/>
      <c r="QT152" s="8"/>
      <c r="QU152" s="45"/>
      <c r="QV152" s="45"/>
      <c r="QW152" s="46"/>
      <c r="QX152" s="44"/>
      <c r="QY152" s="7"/>
      <c r="QZ152" s="51"/>
      <c r="RA152" s="52"/>
      <c r="RB152" s="53"/>
      <c r="RC152" s="54"/>
      <c r="RD152" s="52"/>
      <c r="RE152" s="53"/>
      <c r="RF152" s="54"/>
      <c r="RG152" s="52"/>
      <c r="RH152" s="53"/>
      <c r="RI152" s="8"/>
      <c r="RJ152" s="45"/>
      <c r="RK152" s="45"/>
      <c r="RL152" s="46"/>
      <c r="RM152" s="44"/>
      <c r="RN152" s="7"/>
      <c r="RO152" s="51"/>
      <c r="RP152" s="52"/>
      <c r="RQ152" s="53"/>
      <c r="RR152" s="54"/>
      <c r="RS152" s="52"/>
      <c r="RT152" s="53"/>
      <c r="RU152" s="54"/>
      <c r="RV152" s="52"/>
      <c r="RW152" s="53"/>
      <c r="RX152" s="8"/>
      <c r="RY152" s="45"/>
      <c r="RZ152" s="45"/>
      <c r="SA152" s="46"/>
      <c r="SB152" s="44"/>
      <c r="SC152" s="7"/>
      <c r="SD152" s="51"/>
      <c r="SE152" s="52"/>
      <c r="SF152" s="53"/>
      <c r="SG152" s="54"/>
      <c r="SH152" s="52"/>
      <c r="SI152" s="53"/>
      <c r="SJ152" s="54"/>
      <c r="SK152" s="52"/>
      <c r="SL152" s="53"/>
      <c r="SM152" s="8"/>
      <c r="SN152" s="45"/>
      <c r="SO152" s="45"/>
      <c r="SP152" s="46"/>
      <c r="SQ152" s="44"/>
      <c r="SR152" s="7"/>
      <c r="SS152" s="51"/>
      <c r="ST152" s="52"/>
      <c r="SU152" s="53"/>
      <c r="SV152" s="54"/>
      <c r="SW152" s="52"/>
      <c r="SX152" s="53"/>
      <c r="SY152" s="54"/>
      <c r="SZ152" s="52"/>
      <c r="TA152" s="53"/>
      <c r="TB152" s="8"/>
      <c r="TC152" s="45"/>
      <c r="TD152" s="45"/>
      <c r="TE152" s="46"/>
      <c r="TF152" s="44"/>
      <c r="TG152" s="7"/>
      <c r="TH152" s="51"/>
      <c r="TI152" s="52"/>
      <c r="TJ152" s="53"/>
      <c r="TK152" s="54"/>
      <c r="TL152" s="52"/>
      <c r="TM152" s="53"/>
      <c r="TN152" s="54"/>
      <c r="TO152" s="52"/>
      <c r="TP152" s="53"/>
      <c r="TQ152" s="8"/>
      <c r="TR152" s="45"/>
      <c r="TS152" s="45"/>
      <c r="TT152" s="46"/>
      <c r="TU152" s="44"/>
      <c r="TV152" s="7"/>
      <c r="TW152" s="51"/>
      <c r="TX152" s="52"/>
      <c r="TY152" s="53"/>
      <c r="TZ152" s="54"/>
      <c r="UA152" s="52"/>
      <c r="UB152" s="53"/>
      <c r="UC152" s="54"/>
      <c r="UD152" s="52"/>
      <c r="UE152" s="53"/>
      <c r="UF152" s="8"/>
      <c r="UG152" s="45"/>
      <c r="UH152" s="45"/>
      <c r="UI152" s="46"/>
      <c r="UJ152" s="44"/>
      <c r="UK152" s="7"/>
      <c r="UL152" s="51"/>
      <c r="UM152" s="52"/>
      <c r="UN152" s="53"/>
      <c r="UO152" s="54"/>
      <c r="UP152" s="52"/>
      <c r="UQ152" s="53"/>
      <c r="UR152" s="54"/>
      <c r="US152" s="52"/>
      <c r="UT152" s="53"/>
      <c r="UU152" s="8"/>
      <c r="UV152" s="45"/>
      <c r="UW152" s="45"/>
      <c r="UX152" s="46"/>
      <c r="UY152" s="44"/>
      <c r="UZ152" s="7"/>
      <c r="VA152" s="51"/>
      <c r="VB152" s="52"/>
      <c r="VC152" s="53"/>
      <c r="VD152" s="54"/>
      <c r="VE152" s="52"/>
      <c r="VF152" s="53"/>
      <c r="VG152" s="54"/>
      <c r="VH152" s="52"/>
      <c r="VI152" s="53"/>
      <c r="VJ152" s="8"/>
      <c r="VK152" s="45"/>
      <c r="VL152" s="45"/>
      <c r="VM152" s="46"/>
      <c r="VN152" s="44"/>
      <c r="VO152" s="7"/>
      <c r="VP152" s="51"/>
      <c r="VQ152" s="52"/>
      <c r="VR152" s="53"/>
      <c r="VS152" s="54"/>
      <c r="VT152" s="52"/>
      <c r="VU152" s="53"/>
      <c r="VV152" s="54"/>
      <c r="VW152" s="52"/>
      <c r="VX152" s="53"/>
      <c r="VY152" s="8"/>
      <c r="VZ152" s="45"/>
      <c r="WA152" s="45"/>
      <c r="WB152" s="46"/>
      <c r="WC152" s="44"/>
      <c r="WD152" s="7"/>
      <c r="WE152" s="51"/>
      <c r="WF152" s="52"/>
      <c r="WG152" s="53"/>
      <c r="WH152" s="54"/>
      <c r="WI152" s="52"/>
      <c r="WJ152" s="53"/>
      <c r="WK152" s="54"/>
      <c r="WL152" s="52"/>
      <c r="WM152" s="53"/>
      <c r="WN152" s="8"/>
      <c r="WO152" s="45"/>
      <c r="WP152" s="45"/>
      <c r="WQ152" s="46"/>
      <c r="WR152" s="44"/>
      <c r="WS152" s="7"/>
      <c r="WT152" s="51"/>
      <c r="WU152" s="52"/>
      <c r="WV152" s="53"/>
      <c r="WW152" s="54"/>
      <c r="WX152" s="52"/>
      <c r="WY152" s="53"/>
      <c r="WZ152" s="54"/>
      <c r="XA152" s="52"/>
      <c r="XB152" s="53"/>
      <c r="XC152" s="8"/>
      <c r="XD152" s="45"/>
      <c r="XE152" s="45"/>
      <c r="XF152" s="46"/>
      <c r="XG152" s="44"/>
      <c r="XH152" s="7"/>
      <c r="XI152" s="51"/>
      <c r="XJ152" s="52"/>
      <c r="XK152" s="53"/>
      <c r="XL152" s="54"/>
      <c r="XM152" s="52"/>
      <c r="XN152" s="53"/>
      <c r="XO152" s="54"/>
      <c r="XP152" s="52"/>
      <c r="XQ152" s="53"/>
      <c r="XR152" s="8"/>
      <c r="XS152" s="45"/>
      <c r="XT152" s="45"/>
      <c r="XU152" s="46"/>
      <c r="XV152" s="44"/>
      <c r="XW152" s="7"/>
      <c r="XX152" s="51"/>
      <c r="XY152" s="52"/>
      <c r="XZ152" s="53"/>
      <c r="YA152" s="54"/>
      <c r="YB152" s="52"/>
      <c r="YC152" s="53"/>
      <c r="YD152" s="54"/>
      <c r="YE152" s="52"/>
      <c r="YF152" s="53"/>
      <c r="YG152" s="8"/>
      <c r="YH152" s="45"/>
      <c r="YI152" s="45"/>
      <c r="YJ152" s="46"/>
      <c r="YK152" s="44"/>
      <c r="YL152" s="7"/>
      <c r="YM152" s="51"/>
      <c r="YN152" s="52"/>
      <c r="YO152" s="53"/>
      <c r="YP152" s="54"/>
      <c r="YQ152" s="52"/>
      <c r="YR152" s="53"/>
      <c r="YS152" s="54"/>
      <c r="YT152" s="52"/>
      <c r="YU152" s="53"/>
      <c r="YV152" s="8"/>
      <c r="YW152" s="45"/>
      <c r="YX152" s="45"/>
      <c r="YY152" s="46"/>
      <c r="YZ152" s="44"/>
      <c r="ZA152" s="7"/>
      <c r="ZB152" s="51"/>
      <c r="ZC152" s="52"/>
      <c r="ZD152" s="53"/>
      <c r="ZE152" s="54"/>
      <c r="ZF152" s="52"/>
      <c r="ZG152" s="53"/>
      <c r="ZH152" s="54"/>
      <c r="ZI152" s="52"/>
      <c r="ZJ152" s="53"/>
      <c r="ZK152" s="8"/>
      <c r="ZL152" s="45"/>
      <c r="ZM152" s="45"/>
      <c r="ZN152" s="46"/>
      <c r="ZO152" s="44"/>
      <c r="ZP152" s="7"/>
      <c r="ZQ152" s="51"/>
      <c r="ZR152" s="52"/>
      <c r="ZS152" s="53"/>
      <c r="ZT152" s="54"/>
      <c r="ZU152" s="52"/>
      <c r="ZV152" s="53"/>
      <c r="ZW152" s="54"/>
      <c r="ZX152" s="52"/>
      <c r="ZY152" s="53"/>
      <c r="ZZ152" s="8"/>
      <c r="AAA152" s="45"/>
      <c r="AAB152" s="45"/>
      <c r="AAC152" s="46"/>
      <c r="AAD152" s="44"/>
      <c r="AAE152" s="7"/>
      <c r="AAF152" s="51"/>
      <c r="AAG152" s="52"/>
      <c r="AAH152" s="53"/>
      <c r="AAI152" s="54"/>
      <c r="AAJ152" s="52"/>
      <c r="AAK152" s="53"/>
      <c r="AAL152" s="54"/>
      <c r="AAM152" s="52"/>
      <c r="AAN152" s="53"/>
      <c r="AAO152" s="8"/>
      <c r="AAP152" s="45"/>
      <c r="AAQ152" s="45"/>
      <c r="AAR152" s="46"/>
      <c r="AAS152" s="44"/>
      <c r="AAT152" s="7"/>
      <c r="AAU152" s="51"/>
      <c r="AAV152" s="52"/>
      <c r="AAW152" s="53"/>
      <c r="AAX152" s="54"/>
      <c r="AAY152" s="52"/>
      <c r="AAZ152" s="53"/>
      <c r="ABA152" s="54"/>
      <c r="ABB152" s="52"/>
      <c r="ABC152" s="53"/>
      <c r="ABD152" s="8"/>
      <c r="ABE152" s="45"/>
      <c r="ABF152" s="45"/>
      <c r="ABG152" s="46"/>
      <c r="ABH152" s="44"/>
      <c r="ABI152" s="7"/>
      <c r="ABJ152" s="51"/>
      <c r="ABK152" s="52"/>
      <c r="ABL152" s="53"/>
      <c r="ABM152" s="54"/>
      <c r="ABN152" s="52"/>
      <c r="ABO152" s="53"/>
      <c r="ABP152" s="54"/>
      <c r="ABQ152" s="52"/>
      <c r="ABR152" s="53"/>
      <c r="ABS152" s="8"/>
      <c r="ABT152" s="45"/>
      <c r="ABU152" s="45"/>
      <c r="ABV152" s="46"/>
      <c r="ABW152" s="44"/>
      <c r="ABX152" s="7"/>
      <c r="ABY152" s="51"/>
      <c r="ABZ152" s="52"/>
      <c r="ACA152" s="53"/>
      <c r="ACB152" s="54"/>
      <c r="ACC152" s="52"/>
      <c r="ACD152" s="53"/>
      <c r="ACE152" s="54"/>
      <c r="ACF152" s="52"/>
      <c r="ACG152" s="53"/>
      <c r="ACH152" s="8"/>
      <c r="ACI152" s="45"/>
      <c r="ACJ152" s="45"/>
      <c r="ACK152" s="46"/>
      <c r="ACL152" s="44"/>
      <c r="ACM152" s="7"/>
      <c r="ACN152" s="51"/>
      <c r="ACO152" s="52"/>
      <c r="ACP152" s="53"/>
      <c r="ACQ152" s="54"/>
      <c r="ACR152" s="52"/>
      <c r="ACS152" s="53"/>
      <c r="ACT152" s="54"/>
      <c r="ACU152" s="52"/>
      <c r="ACV152" s="53"/>
      <c r="ACW152" s="8"/>
      <c r="ACX152" s="45"/>
      <c r="ACY152" s="45"/>
      <c r="ACZ152" s="46"/>
      <c r="ADA152" s="44"/>
      <c r="ADB152" s="7"/>
      <c r="ADC152" s="51"/>
      <c r="ADD152" s="52"/>
      <c r="ADE152" s="53"/>
      <c r="ADF152" s="54"/>
      <c r="ADG152" s="52"/>
      <c r="ADH152" s="53"/>
      <c r="ADI152" s="54"/>
      <c r="ADJ152" s="52"/>
      <c r="ADK152" s="53"/>
      <c r="ADL152" s="8"/>
      <c r="ADM152" s="45"/>
      <c r="ADN152" s="45"/>
      <c r="ADO152" s="46"/>
      <c r="ADP152" s="44"/>
      <c r="ADQ152" s="7"/>
      <c r="ADR152" s="51"/>
      <c r="ADS152" s="52"/>
      <c r="ADT152" s="53"/>
      <c r="ADU152" s="54"/>
      <c r="ADV152" s="52"/>
      <c r="ADW152" s="53"/>
      <c r="ADX152" s="54"/>
      <c r="ADY152" s="52"/>
      <c r="ADZ152" s="53"/>
      <c r="AEA152" s="8"/>
      <c r="AEB152" s="45"/>
      <c r="AEC152" s="45"/>
      <c r="AED152" s="46"/>
      <c r="AEE152" s="44"/>
      <c r="AEF152" s="7"/>
      <c r="AEG152" s="51"/>
      <c r="AEH152" s="52"/>
      <c r="AEI152" s="53"/>
      <c r="AEJ152" s="54"/>
      <c r="AEK152" s="52"/>
      <c r="AEL152" s="53"/>
      <c r="AEM152" s="54"/>
      <c r="AEN152" s="52"/>
      <c r="AEO152" s="53"/>
      <c r="AEP152" s="8"/>
      <c r="AEQ152" s="45"/>
      <c r="AER152" s="45"/>
      <c r="AES152" s="46"/>
      <c r="AET152" s="44"/>
      <c r="AEU152" s="7"/>
      <c r="AEV152" s="51"/>
      <c r="AEW152" s="52"/>
      <c r="AEX152" s="53"/>
      <c r="AEY152" s="54"/>
      <c r="AEZ152" s="52"/>
      <c r="AFA152" s="53"/>
      <c r="AFB152" s="54"/>
      <c r="AFC152" s="52"/>
      <c r="AFD152" s="53"/>
      <c r="AFE152" s="8"/>
      <c r="AFF152" s="45"/>
      <c r="AFG152" s="45"/>
      <c r="AFH152" s="46"/>
      <c r="AFI152" s="44"/>
      <c r="AFJ152" s="7"/>
      <c r="AFK152" s="51"/>
      <c r="AFL152" s="52"/>
      <c r="AFM152" s="53"/>
      <c r="AFN152" s="54"/>
      <c r="AFO152" s="52"/>
      <c r="AFP152" s="53"/>
      <c r="AFQ152" s="54"/>
      <c r="AFR152" s="52"/>
      <c r="AFS152" s="53"/>
      <c r="AFT152" s="8"/>
      <c r="AFU152" s="45"/>
      <c r="AFV152" s="45"/>
      <c r="AFW152" s="46"/>
      <c r="AFX152" s="44"/>
      <c r="AFY152" s="7"/>
      <c r="AFZ152" s="51"/>
      <c r="AGA152" s="52"/>
      <c r="AGB152" s="53"/>
      <c r="AGC152" s="54"/>
      <c r="AGD152" s="52"/>
      <c r="AGE152" s="53"/>
      <c r="AGF152" s="54"/>
      <c r="AGG152" s="52"/>
      <c r="AGH152" s="53"/>
      <c r="AGI152" s="8"/>
      <c r="AGJ152" s="45"/>
      <c r="AGK152" s="45"/>
      <c r="AGL152" s="46"/>
      <c r="AGM152" s="44"/>
      <c r="AGN152" s="7"/>
      <c r="AGO152" s="51"/>
      <c r="AGP152" s="52"/>
      <c r="AGQ152" s="53"/>
      <c r="AGR152" s="54"/>
      <c r="AGS152" s="52"/>
      <c r="AGT152" s="53"/>
      <c r="AGU152" s="54"/>
      <c r="AGV152" s="52"/>
      <c r="AGW152" s="53"/>
      <c r="AGX152" s="8"/>
      <c r="AGY152" s="45"/>
      <c r="AGZ152" s="45"/>
      <c r="AHA152" s="46"/>
      <c r="AHB152" s="44"/>
      <c r="AHC152" s="7"/>
      <c r="AHD152" s="51"/>
      <c r="AHE152" s="52"/>
      <c r="AHF152" s="53"/>
      <c r="AHG152" s="54"/>
      <c r="AHH152" s="52"/>
      <c r="AHI152" s="53"/>
      <c r="AHJ152" s="54"/>
      <c r="AHK152" s="52"/>
      <c r="AHL152" s="53"/>
      <c r="AHM152" s="8"/>
      <c r="AHN152" s="45"/>
      <c r="AHO152" s="45"/>
      <c r="AHP152" s="46"/>
      <c r="AHQ152" s="44"/>
      <c r="AHR152" s="7"/>
      <c r="AHS152" s="51"/>
      <c r="AHT152" s="52"/>
      <c r="AHU152" s="53"/>
      <c r="AHV152" s="54"/>
      <c r="AHW152" s="52"/>
      <c r="AHX152" s="53"/>
      <c r="AHY152" s="54"/>
      <c r="AHZ152" s="52"/>
      <c r="AIA152" s="53"/>
      <c r="AIB152" s="8"/>
      <c r="AIC152" s="45"/>
      <c r="AID152" s="45"/>
      <c r="AIE152" s="46"/>
      <c r="AIF152" s="44"/>
      <c r="AIG152" s="7"/>
      <c r="AIH152" s="51"/>
      <c r="AII152" s="52"/>
      <c r="AIJ152" s="53"/>
      <c r="AIK152" s="54"/>
      <c r="AIL152" s="52"/>
      <c r="AIM152" s="53"/>
      <c r="AIN152" s="54"/>
      <c r="AIO152" s="52"/>
      <c r="AIP152" s="53"/>
      <c r="AIQ152" s="8"/>
      <c r="AIR152" s="45"/>
      <c r="AIS152" s="45"/>
      <c r="AIT152" s="46"/>
      <c r="AIU152" s="44"/>
      <c r="AIV152" s="7"/>
      <c r="AIW152" s="51"/>
      <c r="AIX152" s="52"/>
      <c r="AIY152" s="53"/>
      <c r="AIZ152" s="54"/>
      <c r="AJA152" s="52"/>
      <c r="AJB152" s="53"/>
      <c r="AJC152" s="54"/>
      <c r="AJD152" s="52"/>
      <c r="AJE152" s="53"/>
      <c r="AJF152" s="8"/>
      <c r="AJG152" s="45"/>
      <c r="AJH152" s="45"/>
      <c r="AJI152" s="46"/>
      <c r="AJJ152" s="44"/>
      <c r="AJK152" s="7"/>
      <c r="AJL152" s="51"/>
      <c r="AJM152" s="52"/>
      <c r="AJN152" s="53"/>
      <c r="AJO152" s="54"/>
      <c r="AJP152" s="52"/>
      <c r="AJQ152" s="53"/>
      <c r="AJR152" s="54"/>
      <c r="AJS152" s="52"/>
      <c r="AJT152" s="53"/>
      <c r="AJU152" s="8"/>
      <c r="AJV152" s="45"/>
      <c r="AJW152" s="45"/>
      <c r="AJX152" s="46"/>
      <c r="AJY152" s="44"/>
      <c r="AJZ152" s="7"/>
      <c r="AKA152" s="51"/>
      <c r="AKB152" s="52"/>
      <c r="AKC152" s="53"/>
      <c r="AKD152" s="54"/>
      <c r="AKE152" s="52"/>
      <c r="AKF152" s="53"/>
      <c r="AKG152" s="54"/>
      <c r="AKH152" s="52"/>
      <c r="AKI152" s="53"/>
      <c r="AKJ152" s="8"/>
      <c r="AKK152" s="45"/>
      <c r="AKL152" s="45"/>
      <c r="AKM152" s="46"/>
      <c r="AKN152" s="44"/>
      <c r="AKO152" s="7"/>
      <c r="AKP152" s="51"/>
      <c r="AKQ152" s="52"/>
      <c r="AKR152" s="53"/>
      <c r="AKS152" s="54"/>
      <c r="AKT152" s="52"/>
      <c r="AKU152" s="53"/>
      <c r="AKV152" s="54"/>
      <c r="AKW152" s="52"/>
      <c r="AKX152" s="53"/>
      <c r="AKY152" s="8"/>
      <c r="AKZ152" s="45"/>
      <c r="ALA152" s="45"/>
      <c r="ALB152" s="46"/>
      <c r="ALC152" s="44"/>
      <c r="ALD152" s="7"/>
      <c r="ALE152" s="51"/>
      <c r="ALF152" s="52"/>
      <c r="ALG152" s="53"/>
      <c r="ALH152" s="54"/>
      <c r="ALI152" s="52"/>
      <c r="ALJ152" s="53"/>
      <c r="ALK152" s="54"/>
      <c r="ALL152" s="52"/>
      <c r="ALM152" s="53"/>
      <c r="ALN152" s="8"/>
      <c r="ALO152" s="45"/>
      <c r="ALP152" s="45"/>
      <c r="ALQ152" s="46"/>
      <c r="ALR152" s="44"/>
      <c r="ALS152" s="7"/>
      <c r="ALT152" s="51"/>
      <c r="ALU152" s="52"/>
      <c r="ALV152" s="53"/>
      <c r="ALW152" s="54"/>
      <c r="ALX152" s="52"/>
      <c r="ALY152" s="53"/>
      <c r="ALZ152" s="54"/>
      <c r="AMA152" s="52"/>
      <c r="AMB152" s="53"/>
      <c r="AMC152" s="8"/>
      <c r="AMD152" s="45"/>
      <c r="AME152" s="45"/>
      <c r="AMF152" s="46"/>
      <c r="AMG152" s="44"/>
      <c r="AMH152" s="7"/>
      <c r="AMI152" s="51"/>
      <c r="AMJ152" s="52"/>
      <c r="AMK152" s="53"/>
      <c r="AML152" s="54"/>
      <c r="AMM152" s="52"/>
      <c r="AMN152" s="53"/>
      <c r="AMO152" s="54"/>
      <c r="AMP152" s="52"/>
      <c r="AMQ152" s="53"/>
      <c r="AMR152" s="8"/>
      <c r="AMS152" s="45"/>
      <c r="AMT152" s="45"/>
      <c r="AMU152" s="46"/>
      <c r="AMV152" s="44"/>
      <c r="AMW152" s="7"/>
      <c r="AMX152" s="51"/>
      <c r="AMY152" s="52"/>
      <c r="AMZ152" s="53"/>
      <c r="ANA152" s="54"/>
      <c r="ANB152" s="52"/>
      <c r="ANC152" s="53"/>
      <c r="AND152" s="54"/>
      <c r="ANE152" s="52"/>
      <c r="ANF152" s="53"/>
      <c r="ANG152" s="8"/>
      <c r="ANH152" s="45"/>
      <c r="ANI152" s="45"/>
      <c r="ANJ152" s="46"/>
      <c r="ANK152" s="44"/>
      <c r="ANL152" s="7"/>
      <c r="ANM152" s="51"/>
      <c r="ANN152" s="52"/>
      <c r="ANO152" s="53"/>
      <c r="ANP152" s="54"/>
      <c r="ANQ152" s="52"/>
      <c r="ANR152" s="53"/>
      <c r="ANS152" s="54"/>
      <c r="ANT152" s="52"/>
      <c r="ANU152" s="53"/>
      <c r="ANV152" s="8"/>
      <c r="ANW152" s="45"/>
      <c r="ANX152" s="45"/>
      <c r="ANY152" s="46"/>
      <c r="ANZ152" s="44"/>
      <c r="AOA152" s="7"/>
      <c r="AOB152" s="51"/>
      <c r="AOC152" s="52"/>
      <c r="AOD152" s="53"/>
      <c r="AOE152" s="54"/>
      <c r="AOF152" s="52"/>
      <c r="AOG152" s="53"/>
      <c r="AOH152" s="54"/>
      <c r="AOI152" s="52"/>
      <c r="AOJ152" s="53"/>
      <c r="AOK152" s="8"/>
      <c r="AOL152" s="45"/>
      <c r="AOM152" s="45"/>
      <c r="AON152" s="46"/>
      <c r="AOO152" s="44"/>
      <c r="AOP152" s="7"/>
      <c r="AOQ152" s="51"/>
      <c r="AOR152" s="52"/>
      <c r="AOS152" s="53"/>
      <c r="AOT152" s="54"/>
      <c r="AOU152" s="52"/>
      <c r="AOV152" s="53"/>
      <c r="AOW152" s="54"/>
      <c r="AOX152" s="52"/>
      <c r="AOY152" s="53"/>
      <c r="AOZ152" s="8"/>
      <c r="APA152" s="45"/>
      <c r="APB152" s="45"/>
      <c r="APC152" s="46"/>
      <c r="APD152" s="44"/>
      <c r="APE152" s="7"/>
      <c r="APF152" s="51"/>
      <c r="APG152" s="52"/>
      <c r="APH152" s="53"/>
      <c r="API152" s="54"/>
      <c r="APJ152" s="52"/>
      <c r="APK152" s="53"/>
      <c r="APL152" s="54"/>
      <c r="APM152" s="52"/>
      <c r="APN152" s="53"/>
      <c r="APO152" s="8"/>
      <c r="APP152" s="45"/>
      <c r="APQ152" s="45"/>
      <c r="APR152" s="46"/>
      <c r="APS152" s="44"/>
      <c r="APT152" s="7"/>
      <c r="APU152" s="51"/>
      <c r="APV152" s="52"/>
      <c r="APW152" s="53"/>
      <c r="APX152" s="54"/>
      <c r="APY152" s="52"/>
      <c r="APZ152" s="53"/>
      <c r="AQA152" s="54"/>
      <c r="AQB152" s="52"/>
      <c r="AQC152" s="53"/>
      <c r="AQD152" s="8"/>
      <c r="AQE152" s="45"/>
      <c r="AQF152" s="45"/>
      <c r="AQG152" s="46"/>
      <c r="AQH152" s="44"/>
      <c r="AQI152" s="7"/>
      <c r="AQJ152" s="51"/>
      <c r="AQK152" s="52"/>
      <c r="AQL152" s="53"/>
      <c r="AQM152" s="54"/>
      <c r="AQN152" s="52"/>
      <c r="AQO152" s="53"/>
      <c r="AQP152" s="54"/>
      <c r="AQQ152" s="52"/>
      <c r="AQR152" s="53"/>
      <c r="AQS152" s="8"/>
      <c r="AQT152" s="45"/>
      <c r="AQU152" s="45"/>
      <c r="AQV152" s="46"/>
      <c r="AQW152" s="44"/>
      <c r="AQX152" s="7"/>
      <c r="AQY152" s="51"/>
      <c r="AQZ152" s="52"/>
      <c r="ARA152" s="53"/>
      <c r="ARB152" s="54"/>
      <c r="ARC152" s="52"/>
      <c r="ARD152" s="53"/>
      <c r="ARE152" s="54"/>
      <c r="ARF152" s="52"/>
      <c r="ARG152" s="53"/>
      <c r="ARH152" s="8"/>
      <c r="ARI152" s="45"/>
      <c r="ARJ152" s="45"/>
      <c r="ARK152" s="46"/>
      <c r="ARL152" s="44"/>
      <c r="ARM152" s="7"/>
      <c r="ARN152" s="51"/>
      <c r="ARO152" s="52"/>
      <c r="ARP152" s="53"/>
      <c r="ARQ152" s="54"/>
      <c r="ARR152" s="52"/>
      <c r="ARS152" s="53"/>
      <c r="ART152" s="54"/>
      <c r="ARU152" s="52"/>
      <c r="ARV152" s="53"/>
      <c r="ARW152" s="8"/>
      <c r="ARX152" s="45"/>
      <c r="ARY152" s="45"/>
      <c r="ARZ152" s="46"/>
      <c r="ASA152" s="44"/>
      <c r="ASB152" s="7"/>
      <c r="ASC152" s="51"/>
      <c r="ASD152" s="52"/>
      <c r="ASE152" s="53"/>
      <c r="ASF152" s="54"/>
      <c r="ASG152" s="52"/>
      <c r="ASH152" s="53"/>
      <c r="ASI152" s="54"/>
      <c r="ASJ152" s="52"/>
      <c r="ASK152" s="53"/>
      <c r="ASL152" s="8"/>
      <c r="ASM152" s="45"/>
      <c r="ASN152" s="45"/>
      <c r="ASO152" s="46"/>
      <c r="ASP152" s="44"/>
      <c r="ASQ152" s="7"/>
      <c r="ASR152" s="51"/>
      <c r="ASS152" s="52"/>
      <c r="AST152" s="53"/>
      <c r="ASU152" s="54"/>
      <c r="ASV152" s="52"/>
      <c r="ASW152" s="53"/>
      <c r="ASX152" s="54"/>
      <c r="ASY152" s="52"/>
      <c r="ASZ152" s="53"/>
      <c r="ATA152" s="8"/>
      <c r="ATB152" s="45"/>
      <c r="ATC152" s="45"/>
      <c r="ATD152" s="46"/>
      <c r="ATE152" s="44"/>
      <c r="ATF152" s="7"/>
      <c r="ATG152" s="51"/>
      <c r="ATH152" s="52"/>
      <c r="ATI152" s="53"/>
      <c r="ATJ152" s="54"/>
      <c r="ATK152" s="52"/>
      <c r="ATL152" s="53"/>
      <c r="ATM152" s="54"/>
      <c r="ATN152" s="52"/>
      <c r="ATO152" s="53"/>
      <c r="ATP152" s="8"/>
      <c r="ATQ152" s="45"/>
      <c r="ATR152" s="45"/>
      <c r="ATS152" s="46"/>
      <c r="ATT152" s="44"/>
      <c r="ATU152" s="7"/>
      <c r="ATV152" s="51"/>
      <c r="ATW152" s="52"/>
      <c r="ATX152" s="53"/>
      <c r="ATY152" s="54"/>
      <c r="ATZ152" s="52"/>
      <c r="AUA152" s="53"/>
      <c r="AUB152" s="54"/>
      <c r="AUC152" s="52"/>
      <c r="AUD152" s="53"/>
      <c r="AUE152" s="8"/>
      <c r="AUF152" s="45"/>
      <c r="AUG152" s="45"/>
      <c r="AUH152" s="46"/>
      <c r="AUI152" s="44"/>
      <c r="AUJ152" s="7"/>
      <c r="AUK152" s="51"/>
      <c r="AUL152" s="52"/>
      <c r="AUM152" s="53"/>
      <c r="AUN152" s="54"/>
      <c r="AUO152" s="52"/>
      <c r="AUP152" s="53"/>
      <c r="AUQ152" s="54"/>
      <c r="AUR152" s="52"/>
      <c r="AUS152" s="53"/>
      <c r="AUT152" s="8"/>
      <c r="AUU152" s="45"/>
      <c r="AUV152" s="45"/>
      <c r="AUW152" s="46"/>
      <c r="AUX152" s="44"/>
      <c r="AUY152" s="7"/>
      <c r="AUZ152" s="51"/>
      <c r="AVA152" s="52"/>
      <c r="AVB152" s="53"/>
      <c r="AVC152" s="54"/>
      <c r="AVD152" s="52"/>
      <c r="AVE152" s="53"/>
      <c r="AVF152" s="54"/>
      <c r="AVG152" s="52"/>
      <c r="AVH152" s="53"/>
      <c r="AVI152" s="8"/>
      <c r="AVJ152" s="45"/>
      <c r="AVK152" s="45"/>
      <c r="AVL152" s="46"/>
      <c r="AVM152" s="44"/>
      <c r="AVN152" s="7"/>
      <c r="AVO152" s="51"/>
      <c r="AVP152" s="52"/>
      <c r="AVQ152" s="53"/>
      <c r="AVR152" s="54"/>
      <c r="AVS152" s="52"/>
      <c r="AVT152" s="53"/>
      <c r="AVU152" s="54"/>
      <c r="AVV152" s="52"/>
      <c r="AVW152" s="53"/>
      <c r="AVX152" s="8"/>
      <c r="AVY152" s="45"/>
      <c r="AVZ152" s="45"/>
      <c r="AWA152" s="46"/>
      <c r="AWB152" s="44"/>
      <c r="AWC152" s="7"/>
      <c r="AWD152" s="51"/>
      <c r="AWE152" s="52"/>
      <c r="AWF152" s="53"/>
      <c r="AWG152" s="54"/>
      <c r="AWH152" s="52"/>
      <c r="AWI152" s="53"/>
      <c r="AWJ152" s="54"/>
      <c r="AWK152" s="52"/>
      <c r="AWL152" s="53"/>
      <c r="AWM152" s="8"/>
      <c r="AWN152" s="45"/>
      <c r="AWO152" s="45"/>
      <c r="AWP152" s="46"/>
      <c r="AWQ152" s="44"/>
      <c r="AWR152" s="7"/>
      <c r="AWS152" s="51"/>
      <c r="AWT152" s="52"/>
      <c r="AWU152" s="53"/>
      <c r="AWV152" s="54"/>
      <c r="AWW152" s="52"/>
      <c r="AWX152" s="53"/>
      <c r="AWY152" s="54"/>
      <c r="AWZ152" s="52"/>
      <c r="AXA152" s="53"/>
      <c r="AXB152" s="8"/>
      <c r="AXC152" s="45"/>
      <c r="AXD152" s="45"/>
      <c r="AXE152" s="46"/>
      <c r="AXF152" s="44"/>
      <c r="AXG152" s="7"/>
      <c r="AXH152" s="51"/>
      <c r="AXI152" s="52"/>
      <c r="AXJ152" s="53"/>
      <c r="AXK152" s="54"/>
      <c r="AXL152" s="52"/>
      <c r="AXM152" s="53"/>
      <c r="AXN152" s="54"/>
      <c r="AXO152" s="52"/>
      <c r="AXP152" s="53"/>
      <c r="AXQ152" s="8"/>
      <c r="AXR152" s="45"/>
      <c r="AXS152" s="45"/>
      <c r="AXT152" s="46"/>
      <c r="AXU152" s="44"/>
      <c r="AXV152" s="7"/>
      <c r="AXW152" s="51"/>
      <c r="AXX152" s="52"/>
      <c r="AXY152" s="53"/>
      <c r="AXZ152" s="54"/>
      <c r="AYA152" s="52"/>
      <c r="AYB152" s="53"/>
      <c r="AYC152" s="54"/>
      <c r="AYD152" s="52"/>
      <c r="AYE152" s="53"/>
      <c r="AYF152" s="8"/>
      <c r="AYG152" s="45"/>
      <c r="AYH152" s="45"/>
      <c r="AYI152" s="46"/>
      <c r="AYJ152" s="44"/>
      <c r="AYK152" s="7"/>
      <c r="AYL152" s="51"/>
      <c r="AYM152" s="52"/>
      <c r="AYN152" s="53"/>
      <c r="AYO152" s="54"/>
      <c r="AYP152" s="52"/>
      <c r="AYQ152" s="53"/>
      <c r="AYR152" s="54"/>
      <c r="AYS152" s="52"/>
      <c r="AYT152" s="53"/>
      <c r="AYU152" s="8"/>
      <c r="AYV152" s="45"/>
      <c r="AYW152" s="45"/>
      <c r="AYX152" s="46"/>
      <c r="AYY152" s="44"/>
      <c r="AYZ152" s="7"/>
      <c r="AZA152" s="51"/>
      <c r="AZB152" s="52"/>
      <c r="AZC152" s="53"/>
      <c r="AZD152" s="54"/>
      <c r="AZE152" s="52"/>
      <c r="AZF152" s="53"/>
      <c r="AZG152" s="54"/>
      <c r="AZH152" s="52"/>
      <c r="AZI152" s="53"/>
      <c r="AZJ152" s="8"/>
      <c r="AZK152" s="45"/>
      <c r="AZL152" s="45"/>
      <c r="AZM152" s="46"/>
      <c r="AZN152" s="44"/>
      <c r="AZO152" s="7"/>
      <c r="AZP152" s="51"/>
      <c r="AZQ152" s="52"/>
      <c r="AZR152" s="53"/>
      <c r="AZS152" s="54"/>
      <c r="AZT152" s="52"/>
      <c r="AZU152" s="53"/>
      <c r="AZV152" s="54"/>
      <c r="AZW152" s="52"/>
      <c r="AZX152" s="53"/>
      <c r="AZY152" s="8"/>
      <c r="AZZ152" s="45"/>
      <c r="BAA152" s="45"/>
      <c r="BAB152" s="46"/>
      <c r="BAC152" s="44"/>
      <c r="BAD152" s="7"/>
      <c r="BAE152" s="51"/>
      <c r="BAF152" s="52"/>
      <c r="BAG152" s="53"/>
      <c r="BAH152" s="54"/>
      <c r="BAI152" s="52"/>
      <c r="BAJ152" s="53"/>
      <c r="BAK152" s="54"/>
      <c r="BAL152" s="52"/>
      <c r="BAM152" s="53"/>
      <c r="BAN152" s="8"/>
      <c r="BAO152" s="45"/>
      <c r="BAP152" s="45"/>
      <c r="BAQ152" s="46"/>
      <c r="BAR152" s="44"/>
      <c r="BAS152" s="7"/>
      <c r="BAT152" s="51"/>
      <c r="BAU152" s="52"/>
      <c r="BAV152" s="53"/>
      <c r="BAW152" s="54"/>
      <c r="BAX152" s="52"/>
      <c r="BAY152" s="53"/>
      <c r="BAZ152" s="54"/>
      <c r="BBA152" s="52"/>
      <c r="BBB152" s="53"/>
      <c r="BBC152" s="8"/>
      <c r="BBD152" s="45"/>
      <c r="BBE152" s="45"/>
      <c r="BBF152" s="46"/>
      <c r="BBG152" s="44"/>
      <c r="BBH152" s="7"/>
      <c r="BBI152" s="51"/>
      <c r="BBJ152" s="52"/>
      <c r="BBK152" s="53"/>
      <c r="BBL152" s="54"/>
      <c r="BBM152" s="52"/>
      <c r="BBN152" s="53"/>
      <c r="BBO152" s="54"/>
      <c r="BBP152" s="52"/>
      <c r="BBQ152" s="53"/>
      <c r="BBR152" s="8"/>
      <c r="BBS152" s="45"/>
      <c r="BBT152" s="45"/>
      <c r="BBU152" s="46"/>
      <c r="BBV152" s="44"/>
      <c r="BBW152" s="7"/>
      <c r="BBX152" s="51"/>
      <c r="BBY152" s="52"/>
      <c r="BBZ152" s="53"/>
      <c r="BCA152" s="54"/>
      <c r="BCB152" s="52"/>
      <c r="BCC152" s="53"/>
      <c r="BCD152" s="54"/>
      <c r="BCE152" s="52"/>
      <c r="BCF152" s="53"/>
      <c r="BCG152" s="8"/>
      <c r="BCH152" s="45"/>
      <c r="BCI152" s="45"/>
      <c r="BCJ152" s="46"/>
      <c r="BCK152" s="44"/>
      <c r="BCL152" s="7"/>
      <c r="BCM152" s="51"/>
      <c r="BCN152" s="52"/>
      <c r="BCO152" s="53"/>
      <c r="BCP152" s="54"/>
      <c r="BCQ152" s="52"/>
      <c r="BCR152" s="53"/>
      <c r="BCS152" s="54"/>
      <c r="BCT152" s="52"/>
      <c r="BCU152" s="53"/>
      <c r="BCV152" s="8"/>
      <c r="BCW152" s="45"/>
      <c r="BCX152" s="45"/>
      <c r="BCY152" s="46"/>
      <c r="BCZ152" s="44"/>
      <c r="BDA152" s="7"/>
      <c r="BDB152" s="51"/>
      <c r="BDC152" s="52"/>
      <c r="BDD152" s="53"/>
      <c r="BDE152" s="54"/>
      <c r="BDF152" s="52"/>
      <c r="BDG152" s="53"/>
      <c r="BDH152" s="54"/>
      <c r="BDI152" s="52"/>
      <c r="BDJ152" s="53"/>
      <c r="BDK152" s="8"/>
      <c r="BDL152" s="45"/>
      <c r="BDM152" s="45"/>
      <c r="BDN152" s="46"/>
      <c r="BDO152" s="44"/>
      <c r="BDP152" s="7"/>
      <c r="BDQ152" s="51"/>
      <c r="BDR152" s="52"/>
      <c r="BDS152" s="53"/>
      <c r="BDT152" s="54"/>
      <c r="BDU152" s="52"/>
      <c r="BDV152" s="53"/>
      <c r="BDW152" s="54"/>
      <c r="BDX152" s="52"/>
      <c r="BDY152" s="53"/>
      <c r="BDZ152" s="8"/>
      <c r="BEA152" s="45"/>
      <c r="BEB152" s="45"/>
      <c r="BEC152" s="46"/>
      <c r="BED152" s="44"/>
      <c r="BEE152" s="7"/>
      <c r="BEF152" s="51"/>
      <c r="BEG152" s="52"/>
      <c r="BEH152" s="53"/>
      <c r="BEI152" s="54"/>
      <c r="BEJ152" s="52"/>
      <c r="BEK152" s="53"/>
      <c r="BEL152" s="54"/>
      <c r="BEM152" s="52"/>
      <c r="BEN152" s="53"/>
      <c r="BEO152" s="8"/>
      <c r="BEP152" s="45"/>
      <c r="BEQ152" s="45"/>
      <c r="BER152" s="46"/>
      <c r="BES152" s="44"/>
      <c r="BET152" s="7"/>
      <c r="BEU152" s="51"/>
      <c r="BEV152" s="52"/>
      <c r="BEW152" s="53"/>
      <c r="BEX152" s="54"/>
      <c r="BEY152" s="52"/>
      <c r="BEZ152" s="53"/>
      <c r="BFA152" s="54"/>
      <c r="BFB152" s="52"/>
      <c r="BFC152" s="53"/>
      <c r="BFD152" s="8"/>
      <c r="BFE152" s="45"/>
      <c r="BFF152" s="45"/>
      <c r="BFG152" s="46"/>
      <c r="BFH152" s="44"/>
      <c r="BFI152" s="7"/>
      <c r="BFJ152" s="51"/>
      <c r="BFK152" s="52"/>
      <c r="BFL152" s="53"/>
      <c r="BFM152" s="54"/>
      <c r="BFN152" s="52"/>
      <c r="BFO152" s="53"/>
      <c r="BFP152" s="54"/>
      <c r="BFQ152" s="52"/>
      <c r="BFR152" s="53"/>
      <c r="BFS152" s="8"/>
      <c r="BFT152" s="45"/>
      <c r="BFU152" s="45"/>
      <c r="BFV152" s="46"/>
      <c r="BFW152" s="44"/>
      <c r="BFX152" s="7"/>
      <c r="BFY152" s="51"/>
      <c r="BFZ152" s="52"/>
      <c r="BGA152" s="53"/>
      <c r="BGB152" s="54"/>
      <c r="BGC152" s="52"/>
      <c r="BGD152" s="53"/>
      <c r="BGE152" s="54"/>
      <c r="BGF152" s="52"/>
      <c r="BGG152" s="53"/>
      <c r="BGH152" s="8"/>
      <c r="BGI152" s="45"/>
      <c r="BGJ152" s="45"/>
      <c r="BGK152" s="46"/>
      <c r="BGL152" s="44"/>
      <c r="BGM152" s="7"/>
      <c r="BGN152" s="51"/>
      <c r="BGO152" s="52"/>
      <c r="BGP152" s="53"/>
      <c r="BGQ152" s="54"/>
      <c r="BGR152" s="52"/>
      <c r="BGS152" s="53"/>
      <c r="BGT152" s="54"/>
      <c r="BGU152" s="52"/>
      <c r="BGV152" s="53"/>
      <c r="BGW152" s="8"/>
      <c r="BGX152" s="45"/>
      <c r="BGY152" s="45"/>
      <c r="BGZ152" s="46"/>
      <c r="BHA152" s="44"/>
      <c r="BHB152" s="7"/>
      <c r="BHC152" s="51"/>
      <c r="BHD152" s="52"/>
      <c r="BHE152" s="53"/>
      <c r="BHF152" s="54"/>
      <c r="BHG152" s="52"/>
      <c r="BHH152" s="53"/>
      <c r="BHI152" s="54"/>
      <c r="BHJ152" s="52"/>
      <c r="BHK152" s="53"/>
      <c r="BHL152" s="8"/>
      <c r="BHM152" s="45"/>
      <c r="BHN152" s="45"/>
      <c r="BHO152" s="46"/>
      <c r="BHP152" s="44"/>
      <c r="BHQ152" s="7"/>
      <c r="BHR152" s="51"/>
      <c r="BHS152" s="52"/>
      <c r="BHT152" s="53"/>
      <c r="BHU152" s="54"/>
      <c r="BHV152" s="52"/>
      <c r="BHW152" s="53"/>
      <c r="BHX152" s="54"/>
      <c r="BHY152" s="52"/>
      <c r="BHZ152" s="53"/>
      <c r="BIA152" s="8"/>
      <c r="BIB152" s="45"/>
      <c r="BIC152" s="45"/>
      <c r="BID152" s="46"/>
      <c r="BIE152" s="44"/>
      <c r="BIF152" s="7"/>
      <c r="BIG152" s="51"/>
      <c r="BIH152" s="52"/>
      <c r="BII152" s="53"/>
      <c r="BIJ152" s="54"/>
      <c r="BIK152" s="52"/>
      <c r="BIL152" s="53"/>
      <c r="BIM152" s="54"/>
      <c r="BIN152" s="52"/>
      <c r="BIO152" s="53"/>
      <c r="BIP152" s="8"/>
      <c r="BIQ152" s="45"/>
      <c r="BIR152" s="45"/>
      <c r="BIS152" s="46"/>
      <c r="BIT152" s="44"/>
      <c r="BIU152" s="7"/>
      <c r="BIV152" s="51"/>
      <c r="BIW152" s="52"/>
      <c r="BIX152" s="53"/>
      <c r="BIY152" s="54"/>
      <c r="BIZ152" s="52"/>
      <c r="BJA152" s="53"/>
      <c r="BJB152" s="54"/>
      <c r="BJC152" s="52"/>
      <c r="BJD152" s="53"/>
      <c r="BJE152" s="8"/>
      <c r="BJF152" s="45"/>
      <c r="BJG152" s="45"/>
      <c r="BJH152" s="46"/>
      <c r="BJI152" s="44"/>
      <c r="BJJ152" s="7"/>
      <c r="BJK152" s="51"/>
      <c r="BJL152" s="52"/>
      <c r="BJM152" s="53"/>
      <c r="BJN152" s="54"/>
      <c r="BJO152" s="52"/>
      <c r="BJP152" s="53"/>
      <c r="BJQ152" s="54"/>
      <c r="BJR152" s="52"/>
      <c r="BJS152" s="53"/>
      <c r="BJT152" s="8"/>
      <c r="BJU152" s="45"/>
      <c r="BJV152" s="45"/>
      <c r="BJW152" s="46"/>
      <c r="BJX152" s="44"/>
      <c r="BJY152" s="7"/>
      <c r="BJZ152" s="51"/>
      <c r="BKA152" s="52"/>
      <c r="BKB152" s="53"/>
      <c r="BKC152" s="54"/>
      <c r="BKD152" s="52"/>
      <c r="BKE152" s="53"/>
      <c r="BKF152" s="54"/>
      <c r="BKG152" s="52"/>
      <c r="BKH152" s="53"/>
      <c r="BKI152" s="8"/>
      <c r="BKJ152" s="45"/>
      <c r="BKK152" s="45"/>
      <c r="BKL152" s="46"/>
      <c r="BKM152" s="44"/>
      <c r="BKN152" s="7"/>
      <c r="BKO152" s="51"/>
      <c r="BKP152" s="52"/>
      <c r="BKQ152" s="53"/>
      <c r="BKR152" s="54"/>
      <c r="BKS152" s="52"/>
      <c r="BKT152" s="53"/>
      <c r="BKU152" s="54"/>
      <c r="BKV152" s="52"/>
      <c r="BKW152" s="53"/>
      <c r="BKX152" s="8"/>
      <c r="BKY152" s="45"/>
      <c r="BKZ152" s="45"/>
      <c r="BLA152" s="46"/>
      <c r="BLB152" s="44"/>
      <c r="BLC152" s="7"/>
      <c r="BLD152" s="51"/>
      <c r="BLE152" s="52"/>
      <c r="BLF152" s="53"/>
      <c r="BLG152" s="54"/>
      <c r="BLH152" s="52"/>
      <c r="BLI152" s="53"/>
      <c r="BLJ152" s="54"/>
      <c r="BLK152" s="52"/>
      <c r="BLL152" s="53"/>
      <c r="BLM152" s="8"/>
      <c r="BLN152" s="45"/>
      <c r="BLO152" s="45"/>
      <c r="BLP152" s="46"/>
      <c r="BLQ152" s="44"/>
      <c r="BLR152" s="7"/>
      <c r="BLS152" s="51"/>
      <c r="BLT152" s="52"/>
      <c r="BLU152" s="53"/>
      <c r="BLV152" s="54"/>
      <c r="BLW152" s="52"/>
      <c r="BLX152" s="53"/>
      <c r="BLY152" s="54"/>
      <c r="BLZ152" s="52"/>
      <c r="BMA152" s="53"/>
      <c r="BMB152" s="8"/>
      <c r="BMC152" s="45"/>
      <c r="BMD152" s="45"/>
      <c r="BME152" s="46"/>
      <c r="BMF152" s="44"/>
      <c r="BMG152" s="7"/>
      <c r="BMH152" s="51"/>
      <c r="BMI152" s="52"/>
      <c r="BMJ152" s="53"/>
      <c r="BMK152" s="54"/>
      <c r="BML152" s="52"/>
      <c r="BMM152" s="53"/>
      <c r="BMN152" s="54"/>
      <c r="BMO152" s="52"/>
      <c r="BMP152" s="53"/>
      <c r="BMQ152" s="8"/>
      <c r="BMR152" s="45"/>
      <c r="BMS152" s="45"/>
      <c r="BMT152" s="46"/>
      <c r="BMU152" s="44"/>
      <c r="BMV152" s="7"/>
      <c r="BMW152" s="51"/>
      <c r="BMX152" s="52"/>
      <c r="BMY152" s="53"/>
      <c r="BMZ152" s="54"/>
      <c r="BNA152" s="52"/>
      <c r="BNB152" s="53"/>
      <c r="BNC152" s="54"/>
      <c r="BND152" s="52"/>
      <c r="BNE152" s="53"/>
      <c r="BNF152" s="8"/>
      <c r="BNG152" s="45"/>
      <c r="BNH152" s="45"/>
      <c r="BNI152" s="46"/>
      <c r="BNJ152" s="44"/>
      <c r="BNK152" s="7"/>
      <c r="BNL152" s="51"/>
      <c r="BNM152" s="52"/>
      <c r="BNN152" s="53"/>
      <c r="BNO152" s="54"/>
      <c r="BNP152" s="52"/>
      <c r="BNQ152" s="53"/>
      <c r="BNR152" s="54"/>
      <c r="BNS152" s="52"/>
      <c r="BNT152" s="53"/>
      <c r="BNU152" s="8"/>
      <c r="BNV152" s="45"/>
      <c r="BNW152" s="45"/>
      <c r="BNX152" s="46"/>
      <c r="BNY152" s="44"/>
      <c r="BNZ152" s="7"/>
      <c r="BOA152" s="51"/>
      <c r="BOB152" s="52"/>
      <c r="BOC152" s="53"/>
      <c r="BOD152" s="54"/>
      <c r="BOE152" s="52"/>
      <c r="BOF152" s="53"/>
      <c r="BOG152" s="54"/>
      <c r="BOH152" s="52"/>
      <c r="BOI152" s="53"/>
      <c r="BOJ152" s="8"/>
      <c r="BOK152" s="45"/>
      <c r="BOL152" s="45"/>
      <c r="BOM152" s="46"/>
      <c r="BON152" s="44"/>
      <c r="BOO152" s="7"/>
      <c r="BOP152" s="51"/>
      <c r="BOQ152" s="52"/>
      <c r="BOR152" s="53"/>
      <c r="BOS152" s="54"/>
      <c r="BOT152" s="52"/>
      <c r="BOU152" s="53"/>
      <c r="BOV152" s="54"/>
      <c r="BOW152" s="52"/>
      <c r="BOX152" s="53"/>
      <c r="BOY152" s="8"/>
      <c r="BOZ152" s="45"/>
      <c r="BPA152" s="45"/>
      <c r="BPB152" s="46"/>
      <c r="BPC152" s="44"/>
      <c r="BPD152" s="7"/>
      <c r="BPE152" s="51"/>
      <c r="BPF152" s="52"/>
      <c r="BPG152" s="53"/>
      <c r="BPH152" s="54"/>
      <c r="BPI152" s="52"/>
      <c r="BPJ152" s="53"/>
      <c r="BPK152" s="54"/>
      <c r="BPL152" s="52"/>
      <c r="BPM152" s="53"/>
      <c r="BPN152" s="8"/>
      <c r="BPO152" s="45"/>
      <c r="BPP152" s="45"/>
      <c r="BPQ152" s="46"/>
      <c r="BPR152" s="44"/>
      <c r="BPS152" s="7"/>
      <c r="BPT152" s="51"/>
      <c r="BPU152" s="52"/>
      <c r="BPV152" s="53"/>
      <c r="BPW152" s="54"/>
      <c r="BPX152" s="52"/>
      <c r="BPY152" s="53"/>
      <c r="BPZ152" s="54"/>
      <c r="BQA152" s="52"/>
      <c r="BQB152" s="53"/>
      <c r="BQC152" s="8"/>
      <c r="BQD152" s="45"/>
      <c r="BQE152" s="45"/>
      <c r="BQF152" s="46"/>
      <c r="BQG152" s="44"/>
      <c r="BQH152" s="7"/>
      <c r="BQI152" s="51"/>
      <c r="BQJ152" s="52"/>
      <c r="BQK152" s="53"/>
      <c r="BQL152" s="54"/>
      <c r="BQM152" s="52"/>
      <c r="BQN152" s="53"/>
      <c r="BQO152" s="54"/>
      <c r="BQP152" s="52"/>
      <c r="BQQ152" s="53"/>
      <c r="BQR152" s="8"/>
      <c r="BQS152" s="45"/>
      <c r="BQT152" s="45"/>
      <c r="BQU152" s="46"/>
      <c r="BQV152" s="44"/>
      <c r="BQW152" s="7"/>
      <c r="BQX152" s="51"/>
      <c r="BQY152" s="52"/>
      <c r="BQZ152" s="53"/>
      <c r="BRA152" s="54"/>
      <c r="BRB152" s="52"/>
      <c r="BRC152" s="53"/>
      <c r="BRD152" s="54"/>
      <c r="BRE152" s="52"/>
      <c r="BRF152" s="53"/>
      <c r="BRG152" s="8"/>
      <c r="BRH152" s="45"/>
      <c r="BRI152" s="45"/>
      <c r="BRJ152" s="46"/>
      <c r="BRK152" s="44"/>
      <c r="BRL152" s="7"/>
      <c r="BRM152" s="51"/>
      <c r="BRN152" s="52"/>
      <c r="BRO152" s="53"/>
      <c r="BRP152" s="54"/>
      <c r="BRQ152" s="52"/>
      <c r="BRR152" s="53"/>
      <c r="BRS152" s="54"/>
      <c r="BRT152" s="52"/>
      <c r="BRU152" s="53"/>
      <c r="BRV152" s="8"/>
      <c r="BRW152" s="45"/>
      <c r="BRX152" s="45"/>
      <c r="BRY152" s="46"/>
      <c r="BRZ152" s="44"/>
      <c r="BSA152" s="7"/>
      <c r="BSB152" s="51"/>
      <c r="BSC152" s="52"/>
      <c r="BSD152" s="53"/>
      <c r="BSE152" s="54"/>
      <c r="BSF152" s="52"/>
      <c r="BSG152" s="53"/>
      <c r="BSH152" s="54"/>
      <c r="BSI152" s="52"/>
      <c r="BSJ152" s="53"/>
      <c r="BSK152" s="8"/>
      <c r="BSL152" s="45"/>
      <c r="BSM152" s="45"/>
      <c r="BSN152" s="46"/>
      <c r="BSO152" s="44"/>
      <c r="BSP152" s="7"/>
      <c r="BSQ152" s="51"/>
      <c r="BSR152" s="52"/>
      <c r="BSS152" s="53"/>
      <c r="BST152" s="54"/>
      <c r="BSU152" s="52"/>
      <c r="BSV152" s="53"/>
      <c r="BSW152" s="54"/>
      <c r="BSX152" s="52"/>
      <c r="BSY152" s="53"/>
      <c r="BSZ152" s="8"/>
      <c r="BTA152" s="45"/>
      <c r="BTB152" s="45"/>
      <c r="BTC152" s="46"/>
      <c r="BTD152" s="44"/>
      <c r="BTE152" s="7"/>
      <c r="BTF152" s="51"/>
      <c r="BTG152" s="52"/>
      <c r="BTH152" s="53"/>
      <c r="BTI152" s="54"/>
      <c r="BTJ152" s="52"/>
      <c r="BTK152" s="53"/>
      <c r="BTL152" s="54"/>
      <c r="BTM152" s="52"/>
      <c r="BTN152" s="53"/>
      <c r="BTO152" s="8"/>
      <c r="BTP152" s="45"/>
      <c r="BTQ152" s="45"/>
      <c r="BTR152" s="46"/>
      <c r="BTS152" s="44"/>
      <c r="BTT152" s="7"/>
      <c r="BTU152" s="51"/>
      <c r="BTV152" s="52"/>
      <c r="BTW152" s="53"/>
      <c r="BTX152" s="54"/>
      <c r="BTY152" s="52"/>
      <c r="BTZ152" s="53"/>
      <c r="BUA152" s="54"/>
      <c r="BUB152" s="52"/>
      <c r="BUC152" s="53"/>
      <c r="BUD152" s="8"/>
      <c r="BUE152" s="45"/>
      <c r="BUF152" s="45"/>
      <c r="BUG152" s="46"/>
      <c r="BUH152" s="44"/>
      <c r="BUI152" s="7"/>
      <c r="BUJ152" s="51"/>
      <c r="BUK152" s="52"/>
      <c r="BUL152" s="53"/>
      <c r="BUM152" s="54"/>
      <c r="BUN152" s="52"/>
      <c r="BUO152" s="53"/>
      <c r="BUP152" s="54"/>
      <c r="BUQ152" s="52"/>
      <c r="BUR152" s="53"/>
      <c r="BUS152" s="8"/>
      <c r="BUT152" s="45"/>
      <c r="BUU152" s="45"/>
      <c r="BUV152" s="46"/>
      <c r="BUW152" s="44"/>
      <c r="BUX152" s="7"/>
      <c r="BUY152" s="51"/>
      <c r="BUZ152" s="52"/>
      <c r="BVA152" s="53"/>
      <c r="BVB152" s="54"/>
      <c r="BVC152" s="52"/>
      <c r="BVD152" s="53"/>
      <c r="BVE152" s="54"/>
      <c r="BVF152" s="52"/>
      <c r="BVG152" s="53"/>
      <c r="BVH152" s="8"/>
      <c r="BVI152" s="45"/>
      <c r="BVJ152" s="45"/>
      <c r="BVK152" s="46"/>
      <c r="BVL152" s="44"/>
      <c r="BVM152" s="7"/>
      <c r="BVN152" s="51"/>
      <c r="BVO152" s="52"/>
      <c r="BVP152" s="53"/>
      <c r="BVQ152" s="54"/>
      <c r="BVR152" s="52"/>
      <c r="BVS152" s="53"/>
      <c r="BVT152" s="54"/>
      <c r="BVU152" s="52"/>
      <c r="BVV152" s="53"/>
      <c r="BVW152" s="8"/>
      <c r="BVX152" s="45"/>
      <c r="BVY152" s="45"/>
      <c r="BVZ152" s="46"/>
      <c r="BWA152" s="44"/>
      <c r="BWB152" s="7"/>
      <c r="BWC152" s="51"/>
      <c r="BWD152" s="52"/>
      <c r="BWE152" s="53"/>
      <c r="BWF152" s="54"/>
      <c r="BWG152" s="52"/>
      <c r="BWH152" s="53"/>
      <c r="BWI152" s="54"/>
      <c r="BWJ152" s="52"/>
      <c r="BWK152" s="53"/>
      <c r="BWL152" s="8"/>
      <c r="BWM152" s="45"/>
      <c r="BWN152" s="45"/>
      <c r="BWO152" s="46"/>
      <c r="BWP152" s="44"/>
      <c r="BWQ152" s="7"/>
      <c r="BWR152" s="51"/>
      <c r="BWS152" s="52"/>
      <c r="BWT152" s="53"/>
      <c r="BWU152" s="54"/>
      <c r="BWV152" s="52"/>
      <c r="BWW152" s="53"/>
      <c r="BWX152" s="54"/>
      <c r="BWY152" s="52"/>
      <c r="BWZ152" s="53"/>
      <c r="BXA152" s="8"/>
      <c r="BXB152" s="45"/>
      <c r="BXC152" s="45"/>
      <c r="BXD152" s="46"/>
      <c r="BXE152" s="44"/>
      <c r="BXF152" s="7"/>
      <c r="BXG152" s="51"/>
      <c r="BXH152" s="52"/>
      <c r="BXI152" s="53"/>
      <c r="BXJ152" s="54"/>
      <c r="BXK152" s="52"/>
      <c r="BXL152" s="53"/>
      <c r="BXM152" s="54"/>
      <c r="BXN152" s="52"/>
      <c r="BXO152" s="53"/>
      <c r="BXP152" s="8"/>
      <c r="BXQ152" s="45"/>
      <c r="BXR152" s="45"/>
      <c r="BXS152" s="46"/>
      <c r="BXT152" s="44"/>
      <c r="BXU152" s="7"/>
      <c r="BXV152" s="51"/>
      <c r="BXW152" s="52"/>
      <c r="BXX152" s="53"/>
      <c r="BXY152" s="54"/>
      <c r="BXZ152" s="52"/>
      <c r="BYA152" s="53"/>
      <c r="BYB152" s="54"/>
      <c r="BYC152" s="52"/>
      <c r="BYD152" s="53"/>
      <c r="BYE152" s="8"/>
      <c r="BYF152" s="45"/>
      <c r="BYG152" s="45"/>
      <c r="BYH152" s="46"/>
      <c r="BYI152" s="44"/>
      <c r="BYJ152" s="7"/>
      <c r="BYK152" s="51"/>
      <c r="BYL152" s="52"/>
      <c r="BYM152" s="53"/>
      <c r="BYN152" s="54"/>
      <c r="BYO152" s="52"/>
      <c r="BYP152" s="53"/>
      <c r="BYQ152" s="54"/>
      <c r="BYR152" s="52"/>
      <c r="BYS152" s="53"/>
      <c r="BYT152" s="8"/>
      <c r="BYU152" s="45"/>
      <c r="BYV152" s="45"/>
      <c r="BYW152" s="46"/>
      <c r="BYX152" s="44"/>
      <c r="BYY152" s="7"/>
      <c r="BYZ152" s="51"/>
      <c r="BZA152" s="52"/>
      <c r="BZB152" s="53"/>
      <c r="BZC152" s="54"/>
      <c r="BZD152" s="52"/>
      <c r="BZE152" s="53"/>
      <c r="BZF152" s="54"/>
      <c r="BZG152" s="52"/>
      <c r="BZH152" s="53"/>
      <c r="BZI152" s="8"/>
      <c r="BZJ152" s="45"/>
      <c r="BZK152" s="45"/>
      <c r="BZL152" s="46"/>
      <c r="BZM152" s="44"/>
      <c r="BZN152" s="7"/>
      <c r="BZO152" s="51"/>
      <c r="BZP152" s="52"/>
      <c r="BZQ152" s="53"/>
      <c r="BZR152" s="54"/>
      <c r="BZS152" s="52"/>
      <c r="BZT152" s="53"/>
      <c r="BZU152" s="54"/>
      <c r="BZV152" s="52"/>
      <c r="BZW152" s="53"/>
      <c r="BZX152" s="8"/>
      <c r="BZY152" s="45"/>
      <c r="BZZ152" s="45"/>
      <c r="CAA152" s="46"/>
      <c r="CAB152" s="44"/>
      <c r="CAC152" s="7"/>
      <c r="CAD152" s="51"/>
      <c r="CAE152" s="52"/>
      <c r="CAF152" s="53"/>
      <c r="CAG152" s="54"/>
      <c r="CAH152" s="52"/>
      <c r="CAI152" s="53"/>
      <c r="CAJ152" s="54"/>
      <c r="CAK152" s="52"/>
      <c r="CAL152" s="53"/>
      <c r="CAM152" s="8"/>
      <c r="CAN152" s="45"/>
      <c r="CAO152" s="45"/>
      <c r="CAP152" s="46"/>
      <c r="CAQ152" s="44"/>
      <c r="CAR152" s="7"/>
      <c r="CAS152" s="51"/>
      <c r="CAT152" s="52"/>
      <c r="CAU152" s="53"/>
      <c r="CAV152" s="54"/>
      <c r="CAW152" s="52"/>
      <c r="CAX152" s="53"/>
      <c r="CAY152" s="54"/>
      <c r="CAZ152" s="52"/>
      <c r="CBA152" s="53"/>
      <c r="CBB152" s="8"/>
      <c r="CBC152" s="45"/>
      <c r="CBD152" s="45"/>
      <c r="CBE152" s="46"/>
      <c r="CBF152" s="44"/>
      <c r="CBG152" s="7"/>
      <c r="CBH152" s="51"/>
      <c r="CBI152" s="52"/>
      <c r="CBJ152" s="53"/>
      <c r="CBK152" s="54"/>
      <c r="CBL152" s="52"/>
      <c r="CBM152" s="53"/>
      <c r="CBN152" s="54"/>
      <c r="CBO152" s="52"/>
      <c r="CBP152" s="53"/>
      <c r="CBQ152" s="8"/>
      <c r="CBR152" s="45"/>
      <c r="CBS152" s="45"/>
      <c r="CBT152" s="46"/>
      <c r="CBU152" s="44"/>
      <c r="CBV152" s="7"/>
      <c r="CBW152" s="51"/>
      <c r="CBX152" s="52"/>
      <c r="CBY152" s="53"/>
      <c r="CBZ152" s="54"/>
      <c r="CCA152" s="52"/>
      <c r="CCB152" s="53"/>
      <c r="CCC152" s="54"/>
      <c r="CCD152" s="52"/>
      <c r="CCE152" s="53"/>
      <c r="CCF152" s="8"/>
      <c r="CCG152" s="45"/>
      <c r="CCH152" s="45"/>
      <c r="CCI152" s="46"/>
      <c r="CCJ152" s="44"/>
      <c r="CCK152" s="7"/>
      <c r="CCL152" s="51"/>
      <c r="CCM152" s="52"/>
      <c r="CCN152" s="53"/>
      <c r="CCO152" s="54"/>
      <c r="CCP152" s="52"/>
      <c r="CCQ152" s="53"/>
      <c r="CCR152" s="54"/>
      <c r="CCS152" s="52"/>
      <c r="CCT152" s="53"/>
      <c r="CCU152" s="8"/>
      <c r="CCV152" s="45"/>
      <c r="CCW152" s="45"/>
      <c r="CCX152" s="46"/>
      <c r="CCY152" s="44"/>
      <c r="CCZ152" s="7"/>
      <c r="CDA152" s="51"/>
      <c r="CDB152" s="52"/>
      <c r="CDC152" s="53"/>
      <c r="CDD152" s="54"/>
      <c r="CDE152" s="52"/>
      <c r="CDF152" s="53"/>
      <c r="CDG152" s="54"/>
      <c r="CDH152" s="52"/>
      <c r="CDI152" s="53"/>
      <c r="CDJ152" s="8"/>
      <c r="CDK152" s="45"/>
      <c r="CDL152" s="45"/>
      <c r="CDM152" s="46"/>
      <c r="CDN152" s="44"/>
      <c r="CDO152" s="7"/>
      <c r="CDP152" s="51"/>
      <c r="CDQ152" s="52"/>
      <c r="CDR152" s="53"/>
      <c r="CDS152" s="54"/>
      <c r="CDT152" s="52"/>
      <c r="CDU152" s="53"/>
      <c r="CDV152" s="54"/>
      <c r="CDW152" s="52"/>
      <c r="CDX152" s="53"/>
      <c r="CDY152" s="8"/>
      <c r="CDZ152" s="45"/>
      <c r="CEA152" s="45"/>
      <c r="CEB152" s="46"/>
      <c r="CEC152" s="44"/>
      <c r="CED152" s="7"/>
      <c r="CEE152" s="51"/>
      <c r="CEF152" s="52"/>
      <c r="CEG152" s="53"/>
      <c r="CEH152" s="54"/>
      <c r="CEI152" s="52"/>
      <c r="CEJ152" s="53"/>
      <c r="CEK152" s="54"/>
      <c r="CEL152" s="52"/>
      <c r="CEM152" s="53"/>
      <c r="CEN152" s="8"/>
      <c r="CEO152" s="45"/>
      <c r="CEP152" s="45"/>
      <c r="CEQ152" s="46"/>
      <c r="CER152" s="44"/>
      <c r="CES152" s="7"/>
      <c r="CET152" s="51"/>
      <c r="CEU152" s="52"/>
      <c r="CEV152" s="53"/>
      <c r="CEW152" s="54"/>
      <c r="CEX152" s="52"/>
      <c r="CEY152" s="53"/>
      <c r="CEZ152" s="54"/>
      <c r="CFA152" s="52"/>
      <c r="CFB152" s="53"/>
      <c r="CFC152" s="8"/>
      <c r="CFD152" s="45"/>
      <c r="CFE152" s="45"/>
      <c r="CFF152" s="46"/>
      <c r="CFG152" s="44"/>
      <c r="CFH152" s="7"/>
      <c r="CFI152" s="51"/>
      <c r="CFJ152" s="52"/>
      <c r="CFK152" s="53"/>
      <c r="CFL152" s="54"/>
      <c r="CFM152" s="52"/>
      <c r="CFN152" s="53"/>
      <c r="CFO152" s="54"/>
      <c r="CFP152" s="52"/>
      <c r="CFQ152" s="53"/>
      <c r="CFR152" s="8"/>
      <c r="CFS152" s="45"/>
      <c r="CFT152" s="45"/>
      <c r="CFU152" s="46"/>
      <c r="CFV152" s="44"/>
      <c r="CFW152" s="7"/>
      <c r="CFX152" s="51"/>
      <c r="CFY152" s="52"/>
      <c r="CFZ152" s="53"/>
      <c r="CGA152" s="54"/>
      <c r="CGB152" s="52"/>
      <c r="CGC152" s="53"/>
      <c r="CGD152" s="54"/>
      <c r="CGE152" s="52"/>
      <c r="CGF152" s="53"/>
      <c r="CGG152" s="8"/>
      <c r="CGH152" s="45"/>
      <c r="CGI152" s="45"/>
      <c r="CGJ152" s="46"/>
      <c r="CGK152" s="44"/>
      <c r="CGL152" s="7"/>
      <c r="CGM152" s="51"/>
      <c r="CGN152" s="52"/>
      <c r="CGO152" s="53"/>
      <c r="CGP152" s="54"/>
      <c r="CGQ152" s="52"/>
      <c r="CGR152" s="53"/>
      <c r="CGS152" s="54"/>
      <c r="CGT152" s="52"/>
      <c r="CGU152" s="53"/>
      <c r="CGV152" s="8"/>
      <c r="CGW152" s="45"/>
      <c r="CGX152" s="45"/>
      <c r="CGY152" s="46"/>
      <c r="CGZ152" s="44"/>
      <c r="CHA152" s="7"/>
      <c r="CHB152" s="51"/>
      <c r="CHC152" s="52"/>
      <c r="CHD152" s="53"/>
      <c r="CHE152" s="54"/>
      <c r="CHF152" s="52"/>
      <c r="CHG152" s="53"/>
      <c r="CHH152" s="54"/>
      <c r="CHI152" s="52"/>
      <c r="CHJ152" s="53"/>
      <c r="CHK152" s="8"/>
      <c r="CHL152" s="45"/>
      <c r="CHM152" s="45"/>
      <c r="CHN152" s="46"/>
      <c r="CHO152" s="44"/>
      <c r="CHP152" s="7"/>
      <c r="CHQ152" s="51"/>
      <c r="CHR152" s="52"/>
      <c r="CHS152" s="53"/>
      <c r="CHT152" s="54"/>
      <c r="CHU152" s="52"/>
      <c r="CHV152" s="53"/>
      <c r="CHW152" s="54"/>
      <c r="CHX152" s="52"/>
      <c r="CHY152" s="53"/>
      <c r="CHZ152" s="8"/>
      <c r="CIA152" s="45"/>
      <c r="CIB152" s="45"/>
      <c r="CIC152" s="46"/>
      <c r="CID152" s="44"/>
      <c r="CIE152" s="7"/>
      <c r="CIF152" s="51"/>
      <c r="CIG152" s="52"/>
      <c r="CIH152" s="53"/>
      <c r="CII152" s="54"/>
      <c r="CIJ152" s="52"/>
      <c r="CIK152" s="53"/>
      <c r="CIL152" s="54"/>
      <c r="CIM152" s="52"/>
      <c r="CIN152" s="53"/>
      <c r="CIO152" s="8"/>
      <c r="CIP152" s="45"/>
      <c r="CIQ152" s="45"/>
      <c r="CIR152" s="46"/>
      <c r="CIS152" s="44"/>
      <c r="CIT152" s="7"/>
      <c r="CIU152" s="51"/>
      <c r="CIV152" s="52"/>
      <c r="CIW152" s="53"/>
      <c r="CIX152" s="54"/>
      <c r="CIY152" s="52"/>
      <c r="CIZ152" s="53"/>
      <c r="CJA152" s="54"/>
      <c r="CJB152" s="52"/>
      <c r="CJC152" s="53"/>
      <c r="CJD152" s="8"/>
      <c r="CJE152" s="45"/>
      <c r="CJF152" s="45"/>
      <c r="CJG152" s="46"/>
      <c r="CJH152" s="44"/>
      <c r="CJI152" s="7"/>
      <c r="CJJ152" s="51"/>
      <c r="CJK152" s="52"/>
      <c r="CJL152" s="53"/>
      <c r="CJM152" s="54"/>
      <c r="CJN152" s="52"/>
      <c r="CJO152" s="53"/>
      <c r="CJP152" s="54"/>
      <c r="CJQ152" s="52"/>
      <c r="CJR152" s="53"/>
      <c r="CJS152" s="8"/>
      <c r="CJT152" s="45"/>
      <c r="CJU152" s="45"/>
      <c r="CJV152" s="46"/>
      <c r="CJW152" s="44"/>
      <c r="CJX152" s="7"/>
      <c r="CJY152" s="51"/>
      <c r="CJZ152" s="52"/>
      <c r="CKA152" s="53"/>
      <c r="CKB152" s="54"/>
      <c r="CKC152" s="52"/>
      <c r="CKD152" s="53"/>
      <c r="CKE152" s="54"/>
      <c r="CKF152" s="52"/>
      <c r="CKG152" s="53"/>
      <c r="CKH152" s="8"/>
      <c r="CKI152" s="45"/>
      <c r="CKJ152" s="45"/>
      <c r="CKK152" s="46"/>
      <c r="CKL152" s="44"/>
      <c r="CKM152" s="7"/>
      <c r="CKN152" s="51"/>
      <c r="CKO152" s="52"/>
      <c r="CKP152" s="53"/>
      <c r="CKQ152" s="54"/>
      <c r="CKR152" s="52"/>
      <c r="CKS152" s="53"/>
      <c r="CKT152" s="54"/>
      <c r="CKU152" s="52"/>
      <c r="CKV152" s="53"/>
      <c r="CKW152" s="8"/>
      <c r="CKX152" s="45"/>
      <c r="CKY152" s="45"/>
      <c r="CKZ152" s="46"/>
      <c r="CLA152" s="44"/>
      <c r="CLB152" s="7"/>
      <c r="CLC152" s="51"/>
      <c r="CLD152" s="52"/>
      <c r="CLE152" s="53"/>
      <c r="CLF152" s="54"/>
      <c r="CLG152" s="52"/>
      <c r="CLH152" s="53"/>
      <c r="CLI152" s="54"/>
      <c r="CLJ152" s="52"/>
      <c r="CLK152" s="53"/>
      <c r="CLL152" s="8"/>
      <c r="CLM152" s="45"/>
      <c r="CLN152" s="45"/>
      <c r="CLO152" s="46"/>
      <c r="CLP152" s="44"/>
      <c r="CLQ152" s="7"/>
      <c r="CLR152" s="51"/>
      <c r="CLS152" s="52"/>
      <c r="CLT152" s="53"/>
      <c r="CLU152" s="54"/>
      <c r="CLV152" s="52"/>
      <c r="CLW152" s="53"/>
      <c r="CLX152" s="54"/>
      <c r="CLY152" s="52"/>
      <c r="CLZ152" s="53"/>
      <c r="CMA152" s="8"/>
      <c r="CMB152" s="45"/>
      <c r="CMC152" s="45"/>
      <c r="CMD152" s="46"/>
      <c r="CME152" s="44"/>
      <c r="CMF152" s="7"/>
      <c r="CMG152" s="51"/>
      <c r="CMH152" s="52"/>
      <c r="CMI152" s="53"/>
      <c r="CMJ152" s="54"/>
      <c r="CMK152" s="52"/>
      <c r="CML152" s="53"/>
      <c r="CMM152" s="54"/>
      <c r="CMN152" s="52"/>
      <c r="CMO152" s="53"/>
      <c r="CMP152" s="8"/>
      <c r="CMQ152" s="45"/>
      <c r="CMR152" s="45"/>
      <c r="CMS152" s="46"/>
      <c r="CMT152" s="44"/>
      <c r="CMU152" s="7"/>
      <c r="CMV152" s="51"/>
      <c r="CMW152" s="52"/>
      <c r="CMX152" s="53"/>
      <c r="CMY152" s="54"/>
      <c r="CMZ152" s="52"/>
      <c r="CNA152" s="53"/>
      <c r="CNB152" s="54"/>
      <c r="CNC152" s="52"/>
      <c r="CND152" s="53"/>
      <c r="CNE152" s="8"/>
      <c r="CNF152" s="45"/>
      <c r="CNG152" s="45"/>
      <c r="CNH152" s="46"/>
      <c r="CNI152" s="44"/>
      <c r="CNJ152" s="7"/>
      <c r="CNK152" s="51"/>
      <c r="CNL152" s="52"/>
      <c r="CNM152" s="53"/>
      <c r="CNN152" s="54"/>
      <c r="CNO152" s="52"/>
      <c r="CNP152" s="53"/>
      <c r="CNQ152" s="54"/>
      <c r="CNR152" s="52"/>
      <c r="CNS152" s="53"/>
      <c r="CNT152" s="8"/>
      <c r="CNU152" s="45"/>
      <c r="CNV152" s="45"/>
      <c r="CNW152" s="46"/>
      <c r="CNX152" s="44"/>
      <c r="CNY152" s="7"/>
      <c r="CNZ152" s="51"/>
      <c r="COA152" s="52"/>
      <c r="COB152" s="53"/>
      <c r="COC152" s="54"/>
      <c r="COD152" s="52"/>
      <c r="COE152" s="53"/>
      <c r="COF152" s="54"/>
      <c r="COG152" s="52"/>
      <c r="COH152" s="53"/>
      <c r="COI152" s="8"/>
      <c r="COJ152" s="45"/>
      <c r="COK152" s="45"/>
      <c r="COL152" s="46"/>
      <c r="COM152" s="44"/>
      <c r="CON152" s="7"/>
      <c r="COO152" s="51"/>
      <c r="COP152" s="52"/>
      <c r="COQ152" s="53"/>
      <c r="COR152" s="54"/>
      <c r="COS152" s="52"/>
      <c r="COT152" s="53"/>
      <c r="COU152" s="54"/>
      <c r="COV152" s="52"/>
      <c r="COW152" s="53"/>
      <c r="COX152" s="8"/>
      <c r="COY152" s="45"/>
      <c r="COZ152" s="45"/>
      <c r="CPA152" s="46"/>
      <c r="CPB152" s="44"/>
      <c r="CPC152" s="7"/>
      <c r="CPD152" s="51"/>
      <c r="CPE152" s="52"/>
      <c r="CPF152" s="53"/>
      <c r="CPG152" s="54"/>
      <c r="CPH152" s="52"/>
      <c r="CPI152" s="53"/>
      <c r="CPJ152" s="54"/>
      <c r="CPK152" s="52"/>
      <c r="CPL152" s="53"/>
      <c r="CPM152" s="8"/>
      <c r="CPN152" s="45"/>
      <c r="CPO152" s="45"/>
      <c r="CPP152" s="46"/>
      <c r="CPQ152" s="44"/>
      <c r="CPR152" s="7"/>
      <c r="CPS152" s="51"/>
      <c r="CPT152" s="52"/>
      <c r="CPU152" s="53"/>
      <c r="CPV152" s="54"/>
      <c r="CPW152" s="52"/>
      <c r="CPX152" s="53"/>
      <c r="CPY152" s="54"/>
      <c r="CPZ152" s="52"/>
      <c r="CQA152" s="53"/>
      <c r="CQB152" s="8"/>
      <c r="CQC152" s="45"/>
      <c r="CQD152" s="45"/>
      <c r="CQE152" s="46"/>
      <c r="CQF152" s="44"/>
      <c r="CQG152" s="7"/>
      <c r="CQH152" s="51"/>
      <c r="CQI152" s="52"/>
      <c r="CQJ152" s="53"/>
      <c r="CQK152" s="54"/>
      <c r="CQL152" s="52"/>
      <c r="CQM152" s="53"/>
      <c r="CQN152" s="54"/>
      <c r="CQO152" s="52"/>
      <c r="CQP152" s="53"/>
      <c r="CQQ152" s="8"/>
      <c r="CQR152" s="45"/>
      <c r="CQS152" s="45"/>
      <c r="CQT152" s="46"/>
      <c r="CQU152" s="44"/>
      <c r="CQV152" s="7"/>
      <c r="CQW152" s="51"/>
      <c r="CQX152" s="52"/>
      <c r="CQY152" s="53"/>
      <c r="CQZ152" s="54"/>
      <c r="CRA152" s="52"/>
      <c r="CRB152" s="53"/>
      <c r="CRC152" s="54"/>
      <c r="CRD152" s="52"/>
      <c r="CRE152" s="53"/>
      <c r="CRF152" s="8"/>
      <c r="CRG152" s="45"/>
      <c r="CRH152" s="45"/>
      <c r="CRI152" s="46"/>
      <c r="CRJ152" s="44"/>
      <c r="CRK152" s="7"/>
      <c r="CRL152" s="51"/>
      <c r="CRM152" s="52"/>
      <c r="CRN152" s="53"/>
      <c r="CRO152" s="54"/>
      <c r="CRP152" s="52"/>
      <c r="CRQ152" s="53"/>
      <c r="CRR152" s="54"/>
      <c r="CRS152" s="52"/>
      <c r="CRT152" s="53"/>
      <c r="CRU152" s="8"/>
      <c r="CRV152" s="45"/>
      <c r="CRW152" s="45"/>
      <c r="CRX152" s="46"/>
      <c r="CRY152" s="44"/>
      <c r="CRZ152" s="7"/>
      <c r="CSA152" s="51"/>
      <c r="CSB152" s="52"/>
      <c r="CSC152" s="53"/>
      <c r="CSD152" s="54"/>
      <c r="CSE152" s="52"/>
      <c r="CSF152" s="53"/>
      <c r="CSG152" s="54"/>
      <c r="CSH152" s="52"/>
      <c r="CSI152" s="53"/>
      <c r="CSJ152" s="8"/>
      <c r="CSK152" s="45"/>
      <c r="CSL152" s="45"/>
      <c r="CSM152" s="46"/>
      <c r="CSN152" s="44"/>
      <c r="CSO152" s="7"/>
      <c r="CSP152" s="51"/>
      <c r="CSQ152" s="52"/>
      <c r="CSR152" s="53"/>
      <c r="CSS152" s="54"/>
      <c r="CST152" s="52"/>
      <c r="CSU152" s="53"/>
      <c r="CSV152" s="54"/>
      <c r="CSW152" s="52"/>
      <c r="CSX152" s="53"/>
      <c r="CSY152" s="8"/>
      <c r="CSZ152" s="45"/>
      <c r="CTA152" s="45"/>
      <c r="CTB152" s="46"/>
      <c r="CTC152" s="44"/>
      <c r="CTD152" s="7"/>
      <c r="CTE152" s="51"/>
      <c r="CTF152" s="52"/>
      <c r="CTG152" s="53"/>
      <c r="CTH152" s="54"/>
      <c r="CTI152" s="52"/>
      <c r="CTJ152" s="53"/>
      <c r="CTK152" s="54"/>
      <c r="CTL152" s="52"/>
      <c r="CTM152" s="53"/>
      <c r="CTN152" s="8"/>
      <c r="CTO152" s="45"/>
      <c r="CTP152" s="45"/>
      <c r="CTQ152" s="46"/>
      <c r="CTR152" s="44"/>
      <c r="CTS152" s="7"/>
      <c r="CTT152" s="51"/>
      <c r="CTU152" s="52"/>
      <c r="CTV152" s="53"/>
      <c r="CTW152" s="54"/>
      <c r="CTX152" s="52"/>
      <c r="CTY152" s="53"/>
      <c r="CTZ152" s="54"/>
      <c r="CUA152" s="52"/>
      <c r="CUB152" s="53"/>
      <c r="CUC152" s="8"/>
      <c r="CUD152" s="45"/>
      <c r="CUE152" s="45"/>
      <c r="CUF152" s="46"/>
      <c r="CUG152" s="44"/>
      <c r="CUH152" s="7"/>
      <c r="CUI152" s="51"/>
      <c r="CUJ152" s="52"/>
      <c r="CUK152" s="53"/>
      <c r="CUL152" s="54"/>
      <c r="CUM152" s="52"/>
      <c r="CUN152" s="53"/>
      <c r="CUO152" s="54"/>
      <c r="CUP152" s="52"/>
      <c r="CUQ152" s="53"/>
      <c r="CUR152" s="8"/>
      <c r="CUS152" s="45"/>
      <c r="CUT152" s="45"/>
      <c r="CUU152" s="46"/>
      <c r="CUV152" s="44"/>
      <c r="CUW152" s="7"/>
      <c r="CUX152" s="51"/>
      <c r="CUY152" s="52"/>
      <c r="CUZ152" s="53"/>
      <c r="CVA152" s="54"/>
      <c r="CVB152" s="52"/>
      <c r="CVC152" s="53"/>
      <c r="CVD152" s="54"/>
      <c r="CVE152" s="52"/>
      <c r="CVF152" s="53"/>
      <c r="CVG152" s="8"/>
      <c r="CVH152" s="45"/>
      <c r="CVI152" s="45"/>
      <c r="CVJ152" s="46"/>
      <c r="CVK152" s="44"/>
      <c r="CVL152" s="7"/>
      <c r="CVM152" s="51"/>
      <c r="CVN152" s="52"/>
      <c r="CVO152" s="53"/>
      <c r="CVP152" s="54"/>
      <c r="CVQ152" s="52"/>
      <c r="CVR152" s="53"/>
      <c r="CVS152" s="54"/>
      <c r="CVT152" s="52"/>
      <c r="CVU152" s="53"/>
      <c r="CVV152" s="8"/>
      <c r="CVW152" s="45"/>
      <c r="CVX152" s="45"/>
      <c r="CVY152" s="46"/>
      <c r="CVZ152" s="44"/>
      <c r="CWA152" s="7"/>
      <c r="CWB152" s="51"/>
      <c r="CWC152" s="52"/>
      <c r="CWD152" s="53"/>
      <c r="CWE152" s="54"/>
      <c r="CWF152" s="52"/>
      <c r="CWG152" s="53"/>
      <c r="CWH152" s="54"/>
      <c r="CWI152" s="52"/>
      <c r="CWJ152" s="53"/>
      <c r="CWK152" s="8"/>
      <c r="CWL152" s="45"/>
      <c r="CWM152" s="45"/>
      <c r="CWN152" s="46"/>
      <c r="CWO152" s="44"/>
      <c r="CWP152" s="7"/>
      <c r="CWQ152" s="51"/>
      <c r="CWR152" s="52"/>
      <c r="CWS152" s="53"/>
      <c r="CWT152" s="54"/>
      <c r="CWU152" s="52"/>
      <c r="CWV152" s="53"/>
      <c r="CWW152" s="54"/>
      <c r="CWX152" s="52"/>
      <c r="CWY152" s="53"/>
      <c r="CWZ152" s="8"/>
      <c r="CXA152" s="45"/>
      <c r="CXB152" s="45"/>
      <c r="CXC152" s="46"/>
      <c r="CXD152" s="44"/>
      <c r="CXE152" s="7"/>
      <c r="CXF152" s="51"/>
      <c r="CXG152" s="52"/>
      <c r="CXH152" s="53"/>
      <c r="CXI152" s="54"/>
      <c r="CXJ152" s="52"/>
      <c r="CXK152" s="53"/>
      <c r="CXL152" s="54"/>
      <c r="CXM152" s="52"/>
      <c r="CXN152" s="53"/>
      <c r="CXO152" s="8"/>
      <c r="CXP152" s="45"/>
      <c r="CXQ152" s="45"/>
      <c r="CXR152" s="46"/>
      <c r="CXS152" s="44"/>
      <c r="CXT152" s="7"/>
      <c r="CXU152" s="51"/>
      <c r="CXV152" s="52"/>
      <c r="CXW152" s="53"/>
      <c r="CXX152" s="54"/>
      <c r="CXY152" s="52"/>
      <c r="CXZ152" s="53"/>
      <c r="CYA152" s="54"/>
      <c r="CYB152" s="52"/>
      <c r="CYC152" s="53"/>
      <c r="CYD152" s="8"/>
      <c r="CYE152" s="45"/>
      <c r="CYF152" s="45"/>
      <c r="CYG152" s="46"/>
      <c r="CYH152" s="44"/>
      <c r="CYI152" s="7"/>
      <c r="CYJ152" s="51"/>
      <c r="CYK152" s="52"/>
      <c r="CYL152" s="53"/>
      <c r="CYM152" s="54"/>
      <c r="CYN152" s="52"/>
      <c r="CYO152" s="53"/>
      <c r="CYP152" s="54"/>
      <c r="CYQ152" s="52"/>
      <c r="CYR152" s="53"/>
      <c r="CYS152" s="8"/>
      <c r="CYT152" s="45"/>
      <c r="CYU152" s="45"/>
      <c r="CYV152" s="46"/>
      <c r="CYW152" s="44"/>
      <c r="CYX152" s="7"/>
      <c r="CYY152" s="51"/>
      <c r="CYZ152" s="52"/>
      <c r="CZA152" s="53"/>
      <c r="CZB152" s="54"/>
      <c r="CZC152" s="52"/>
      <c r="CZD152" s="53"/>
      <c r="CZE152" s="54"/>
      <c r="CZF152" s="52"/>
      <c r="CZG152" s="53"/>
      <c r="CZH152" s="8"/>
      <c r="CZI152" s="45"/>
      <c r="CZJ152" s="45"/>
      <c r="CZK152" s="46"/>
      <c r="CZL152" s="44"/>
      <c r="CZM152" s="7"/>
      <c r="CZN152" s="51"/>
      <c r="CZO152" s="52"/>
      <c r="CZP152" s="53"/>
      <c r="CZQ152" s="54"/>
      <c r="CZR152" s="52"/>
      <c r="CZS152" s="53"/>
      <c r="CZT152" s="54"/>
      <c r="CZU152" s="52"/>
      <c r="CZV152" s="53"/>
      <c r="CZW152" s="8"/>
      <c r="CZX152" s="45"/>
      <c r="CZY152" s="45"/>
      <c r="CZZ152" s="46"/>
      <c r="DAA152" s="44"/>
      <c r="DAB152" s="7"/>
      <c r="DAC152" s="51"/>
      <c r="DAD152" s="52"/>
      <c r="DAE152" s="53"/>
      <c r="DAF152" s="54"/>
      <c r="DAG152" s="52"/>
      <c r="DAH152" s="53"/>
      <c r="DAI152" s="54"/>
      <c r="DAJ152" s="52"/>
      <c r="DAK152" s="53"/>
      <c r="DAL152" s="8"/>
      <c r="DAM152" s="45"/>
      <c r="DAN152" s="45"/>
      <c r="DAO152" s="46"/>
      <c r="DAP152" s="44"/>
      <c r="DAQ152" s="7"/>
      <c r="DAR152" s="51"/>
      <c r="DAS152" s="52"/>
      <c r="DAT152" s="53"/>
      <c r="DAU152" s="54"/>
      <c r="DAV152" s="52"/>
      <c r="DAW152" s="53"/>
      <c r="DAX152" s="54"/>
      <c r="DAY152" s="52"/>
      <c r="DAZ152" s="53"/>
      <c r="DBA152" s="8"/>
      <c r="DBB152" s="45"/>
      <c r="DBC152" s="45"/>
      <c r="DBD152" s="46"/>
      <c r="DBE152" s="44"/>
      <c r="DBF152" s="7"/>
      <c r="DBG152" s="51"/>
      <c r="DBH152" s="52"/>
      <c r="DBI152" s="53"/>
      <c r="DBJ152" s="54"/>
      <c r="DBK152" s="52"/>
      <c r="DBL152" s="53"/>
      <c r="DBM152" s="54"/>
      <c r="DBN152" s="52"/>
      <c r="DBO152" s="53"/>
      <c r="DBP152" s="8"/>
      <c r="DBQ152" s="45"/>
      <c r="DBR152" s="45"/>
      <c r="DBS152" s="46"/>
      <c r="DBT152" s="44"/>
      <c r="DBU152" s="7"/>
      <c r="DBV152" s="51"/>
      <c r="DBW152" s="52"/>
      <c r="DBX152" s="53"/>
      <c r="DBY152" s="54"/>
      <c r="DBZ152" s="52"/>
      <c r="DCA152" s="53"/>
      <c r="DCB152" s="54"/>
      <c r="DCC152" s="52"/>
      <c r="DCD152" s="53"/>
      <c r="DCE152" s="8"/>
      <c r="DCF152" s="45"/>
      <c r="DCG152" s="45"/>
      <c r="DCH152" s="46"/>
      <c r="DCI152" s="44"/>
      <c r="DCJ152" s="7"/>
      <c r="DCK152" s="51"/>
      <c r="DCL152" s="52"/>
      <c r="DCM152" s="53"/>
      <c r="DCN152" s="54"/>
      <c r="DCO152" s="52"/>
      <c r="DCP152" s="53"/>
      <c r="DCQ152" s="54"/>
      <c r="DCR152" s="52"/>
      <c r="DCS152" s="53"/>
      <c r="DCT152" s="8"/>
      <c r="DCU152" s="45"/>
      <c r="DCV152" s="45"/>
      <c r="DCW152" s="46"/>
      <c r="DCX152" s="44"/>
      <c r="DCY152" s="7"/>
      <c r="DCZ152" s="51"/>
      <c r="DDA152" s="52"/>
      <c r="DDB152" s="53"/>
      <c r="DDC152" s="54"/>
      <c r="DDD152" s="52"/>
      <c r="DDE152" s="53"/>
      <c r="DDF152" s="54"/>
      <c r="DDG152" s="52"/>
      <c r="DDH152" s="53"/>
      <c r="DDI152" s="8"/>
      <c r="DDJ152" s="45"/>
      <c r="DDK152" s="45"/>
      <c r="DDL152" s="46"/>
      <c r="DDM152" s="44"/>
      <c r="DDN152" s="7"/>
      <c r="DDO152" s="51"/>
      <c r="DDP152" s="52"/>
      <c r="DDQ152" s="53"/>
      <c r="DDR152" s="54"/>
      <c r="DDS152" s="52"/>
      <c r="DDT152" s="53"/>
      <c r="DDU152" s="54"/>
      <c r="DDV152" s="52"/>
      <c r="DDW152" s="53"/>
      <c r="DDX152" s="8"/>
      <c r="DDY152" s="45"/>
      <c r="DDZ152" s="45"/>
      <c r="DEA152" s="46"/>
      <c r="DEB152" s="44"/>
      <c r="DEC152" s="7"/>
      <c r="DED152" s="51"/>
      <c r="DEE152" s="52"/>
      <c r="DEF152" s="53"/>
      <c r="DEG152" s="54"/>
      <c r="DEH152" s="52"/>
      <c r="DEI152" s="53"/>
      <c r="DEJ152" s="54"/>
      <c r="DEK152" s="52"/>
      <c r="DEL152" s="53"/>
      <c r="DEM152" s="8"/>
      <c r="DEN152" s="45"/>
      <c r="DEO152" s="45"/>
      <c r="DEP152" s="46"/>
      <c r="DEQ152" s="44"/>
      <c r="DER152" s="7"/>
      <c r="DES152" s="51"/>
      <c r="DET152" s="52"/>
      <c r="DEU152" s="53"/>
      <c r="DEV152" s="54"/>
      <c r="DEW152" s="52"/>
      <c r="DEX152" s="53"/>
      <c r="DEY152" s="54"/>
      <c r="DEZ152" s="52"/>
      <c r="DFA152" s="53"/>
      <c r="DFB152" s="8"/>
      <c r="DFC152" s="45"/>
      <c r="DFD152" s="45"/>
      <c r="DFE152" s="46"/>
      <c r="DFF152" s="44"/>
      <c r="DFG152" s="7"/>
      <c r="DFH152" s="51"/>
      <c r="DFI152" s="52"/>
      <c r="DFJ152" s="53"/>
      <c r="DFK152" s="54"/>
      <c r="DFL152" s="52"/>
      <c r="DFM152" s="53"/>
      <c r="DFN152" s="54"/>
      <c r="DFO152" s="52"/>
      <c r="DFP152" s="53"/>
      <c r="DFQ152" s="8"/>
      <c r="DFR152" s="45"/>
      <c r="DFS152" s="45"/>
      <c r="DFT152" s="46"/>
      <c r="DFU152" s="44"/>
      <c r="DFV152" s="7"/>
      <c r="DFW152" s="51"/>
      <c r="DFX152" s="52"/>
      <c r="DFY152" s="53"/>
      <c r="DFZ152" s="54"/>
      <c r="DGA152" s="52"/>
      <c r="DGB152" s="53"/>
      <c r="DGC152" s="54"/>
      <c r="DGD152" s="52"/>
      <c r="DGE152" s="53"/>
      <c r="DGF152" s="8"/>
      <c r="DGG152" s="45"/>
      <c r="DGH152" s="45"/>
      <c r="DGI152" s="46"/>
      <c r="DGJ152" s="44"/>
      <c r="DGK152" s="7"/>
      <c r="DGL152" s="51"/>
      <c r="DGM152" s="52"/>
      <c r="DGN152" s="53"/>
      <c r="DGO152" s="54"/>
      <c r="DGP152" s="52"/>
      <c r="DGQ152" s="53"/>
      <c r="DGR152" s="54"/>
      <c r="DGS152" s="52"/>
      <c r="DGT152" s="53"/>
      <c r="DGU152" s="8"/>
      <c r="DGV152" s="45"/>
      <c r="DGW152" s="45"/>
      <c r="DGX152" s="46"/>
      <c r="DGY152" s="44"/>
      <c r="DGZ152" s="7"/>
      <c r="DHA152" s="51"/>
      <c r="DHB152" s="52"/>
      <c r="DHC152" s="53"/>
      <c r="DHD152" s="54"/>
      <c r="DHE152" s="52"/>
      <c r="DHF152" s="53"/>
      <c r="DHG152" s="54"/>
      <c r="DHH152" s="52"/>
      <c r="DHI152" s="53"/>
      <c r="DHJ152" s="8"/>
      <c r="DHK152" s="45"/>
      <c r="DHL152" s="45"/>
      <c r="DHM152" s="46"/>
      <c r="DHN152" s="44"/>
      <c r="DHO152" s="7"/>
      <c r="DHP152" s="51"/>
      <c r="DHQ152" s="52"/>
      <c r="DHR152" s="53"/>
      <c r="DHS152" s="54"/>
      <c r="DHT152" s="52"/>
      <c r="DHU152" s="53"/>
      <c r="DHV152" s="54"/>
      <c r="DHW152" s="52"/>
      <c r="DHX152" s="53"/>
      <c r="DHY152" s="8"/>
      <c r="DHZ152" s="45"/>
      <c r="DIA152" s="45"/>
      <c r="DIB152" s="46"/>
      <c r="DIC152" s="44"/>
      <c r="DID152" s="7"/>
      <c r="DIE152" s="51"/>
      <c r="DIF152" s="52"/>
      <c r="DIG152" s="53"/>
      <c r="DIH152" s="54"/>
      <c r="DII152" s="52"/>
      <c r="DIJ152" s="53"/>
      <c r="DIK152" s="54"/>
      <c r="DIL152" s="52"/>
      <c r="DIM152" s="53"/>
      <c r="DIN152" s="8"/>
      <c r="DIO152" s="45"/>
      <c r="DIP152" s="45"/>
      <c r="DIQ152" s="46"/>
      <c r="DIR152" s="44"/>
      <c r="DIS152" s="7"/>
      <c r="DIT152" s="51"/>
      <c r="DIU152" s="52"/>
      <c r="DIV152" s="53"/>
      <c r="DIW152" s="54"/>
      <c r="DIX152" s="52"/>
      <c r="DIY152" s="53"/>
      <c r="DIZ152" s="54"/>
      <c r="DJA152" s="52"/>
      <c r="DJB152" s="53"/>
      <c r="DJC152" s="8"/>
      <c r="DJD152" s="45"/>
      <c r="DJE152" s="45"/>
      <c r="DJF152" s="46"/>
      <c r="DJG152" s="44"/>
      <c r="DJH152" s="7"/>
      <c r="DJI152" s="51"/>
      <c r="DJJ152" s="52"/>
      <c r="DJK152" s="53"/>
      <c r="DJL152" s="54"/>
      <c r="DJM152" s="52"/>
      <c r="DJN152" s="53"/>
      <c r="DJO152" s="54"/>
      <c r="DJP152" s="52"/>
      <c r="DJQ152" s="53"/>
      <c r="DJR152" s="8"/>
      <c r="DJS152" s="45"/>
      <c r="DJT152" s="45"/>
      <c r="DJU152" s="46"/>
      <c r="DJV152" s="44"/>
      <c r="DJW152" s="7"/>
      <c r="DJX152" s="51"/>
      <c r="DJY152" s="52"/>
      <c r="DJZ152" s="53"/>
      <c r="DKA152" s="54"/>
      <c r="DKB152" s="52"/>
      <c r="DKC152" s="53"/>
      <c r="DKD152" s="54"/>
      <c r="DKE152" s="52"/>
      <c r="DKF152" s="53"/>
      <c r="DKG152" s="8"/>
      <c r="DKH152" s="45"/>
      <c r="DKI152" s="45"/>
      <c r="DKJ152" s="46"/>
      <c r="DKK152" s="44"/>
      <c r="DKL152" s="7"/>
      <c r="DKM152" s="51"/>
      <c r="DKN152" s="52"/>
      <c r="DKO152" s="53"/>
      <c r="DKP152" s="54"/>
      <c r="DKQ152" s="52"/>
      <c r="DKR152" s="53"/>
      <c r="DKS152" s="54"/>
      <c r="DKT152" s="52"/>
      <c r="DKU152" s="53"/>
      <c r="DKV152" s="8"/>
      <c r="DKW152" s="45"/>
      <c r="DKX152" s="45"/>
      <c r="DKY152" s="46"/>
      <c r="DKZ152" s="44"/>
      <c r="DLA152" s="7"/>
      <c r="DLB152" s="51"/>
      <c r="DLC152" s="52"/>
      <c r="DLD152" s="53"/>
      <c r="DLE152" s="54"/>
      <c r="DLF152" s="52"/>
      <c r="DLG152" s="53"/>
      <c r="DLH152" s="54"/>
      <c r="DLI152" s="52"/>
      <c r="DLJ152" s="53"/>
      <c r="DLK152" s="8"/>
      <c r="DLL152" s="45"/>
      <c r="DLM152" s="45"/>
      <c r="DLN152" s="46"/>
      <c r="DLO152" s="44"/>
      <c r="DLP152" s="7"/>
      <c r="DLQ152" s="51"/>
      <c r="DLR152" s="52"/>
      <c r="DLS152" s="53"/>
      <c r="DLT152" s="54"/>
      <c r="DLU152" s="52"/>
      <c r="DLV152" s="53"/>
      <c r="DLW152" s="54"/>
      <c r="DLX152" s="52"/>
      <c r="DLY152" s="53"/>
      <c r="DLZ152" s="8"/>
      <c r="DMA152" s="45"/>
      <c r="DMB152" s="45"/>
      <c r="DMC152" s="46"/>
      <c r="DMD152" s="44"/>
      <c r="DME152" s="7"/>
      <c r="DMF152" s="51"/>
      <c r="DMG152" s="52"/>
      <c r="DMH152" s="53"/>
      <c r="DMI152" s="54"/>
      <c r="DMJ152" s="52"/>
      <c r="DMK152" s="53"/>
      <c r="DML152" s="54"/>
      <c r="DMM152" s="52"/>
      <c r="DMN152" s="53"/>
      <c r="DMO152" s="8"/>
      <c r="DMP152" s="45"/>
      <c r="DMQ152" s="45"/>
      <c r="DMR152" s="46"/>
      <c r="DMS152" s="44"/>
      <c r="DMT152" s="7"/>
      <c r="DMU152" s="51"/>
      <c r="DMV152" s="52"/>
      <c r="DMW152" s="53"/>
      <c r="DMX152" s="54"/>
      <c r="DMY152" s="52"/>
      <c r="DMZ152" s="53"/>
      <c r="DNA152" s="54"/>
      <c r="DNB152" s="52"/>
      <c r="DNC152" s="53"/>
      <c r="DND152" s="8"/>
      <c r="DNE152" s="45"/>
      <c r="DNF152" s="45"/>
      <c r="DNG152" s="46"/>
      <c r="DNH152" s="44"/>
      <c r="DNI152" s="7"/>
      <c r="DNJ152" s="51"/>
      <c r="DNK152" s="52"/>
      <c r="DNL152" s="53"/>
      <c r="DNM152" s="54"/>
      <c r="DNN152" s="52"/>
      <c r="DNO152" s="53"/>
      <c r="DNP152" s="54"/>
      <c r="DNQ152" s="52"/>
      <c r="DNR152" s="53"/>
      <c r="DNS152" s="8"/>
      <c r="DNT152" s="45"/>
      <c r="DNU152" s="45"/>
      <c r="DNV152" s="46"/>
      <c r="DNW152" s="44"/>
      <c r="DNX152" s="7"/>
      <c r="DNY152" s="51"/>
      <c r="DNZ152" s="52"/>
      <c r="DOA152" s="53"/>
      <c r="DOB152" s="54"/>
      <c r="DOC152" s="52"/>
      <c r="DOD152" s="53"/>
      <c r="DOE152" s="54"/>
      <c r="DOF152" s="52"/>
      <c r="DOG152" s="53"/>
      <c r="DOH152" s="8"/>
      <c r="DOI152" s="45"/>
      <c r="DOJ152" s="45"/>
      <c r="DOK152" s="46"/>
      <c r="DOL152" s="44"/>
      <c r="DOM152" s="7"/>
      <c r="DON152" s="51"/>
      <c r="DOO152" s="52"/>
      <c r="DOP152" s="53"/>
      <c r="DOQ152" s="54"/>
      <c r="DOR152" s="52"/>
      <c r="DOS152" s="53"/>
      <c r="DOT152" s="54"/>
      <c r="DOU152" s="52"/>
      <c r="DOV152" s="53"/>
      <c r="DOW152" s="8"/>
      <c r="DOX152" s="45"/>
      <c r="DOY152" s="45"/>
      <c r="DOZ152" s="46"/>
      <c r="DPA152" s="44"/>
      <c r="DPB152" s="7"/>
      <c r="DPC152" s="51"/>
      <c r="DPD152" s="52"/>
      <c r="DPE152" s="53"/>
      <c r="DPF152" s="54"/>
      <c r="DPG152" s="52"/>
      <c r="DPH152" s="53"/>
      <c r="DPI152" s="54"/>
      <c r="DPJ152" s="52"/>
      <c r="DPK152" s="53"/>
      <c r="DPL152" s="8"/>
      <c r="DPM152" s="45"/>
      <c r="DPN152" s="45"/>
      <c r="DPO152" s="46"/>
      <c r="DPP152" s="44"/>
      <c r="DPQ152" s="7"/>
      <c r="DPR152" s="51"/>
      <c r="DPS152" s="52"/>
      <c r="DPT152" s="53"/>
      <c r="DPU152" s="54"/>
      <c r="DPV152" s="52"/>
      <c r="DPW152" s="53"/>
      <c r="DPX152" s="54"/>
      <c r="DPY152" s="52"/>
      <c r="DPZ152" s="53"/>
      <c r="DQA152" s="8"/>
      <c r="DQB152" s="45"/>
      <c r="DQC152" s="45"/>
      <c r="DQD152" s="46"/>
      <c r="DQE152" s="44"/>
      <c r="DQF152" s="7"/>
      <c r="DQG152" s="51"/>
      <c r="DQH152" s="52"/>
      <c r="DQI152" s="53"/>
      <c r="DQJ152" s="54"/>
      <c r="DQK152" s="52"/>
      <c r="DQL152" s="53"/>
      <c r="DQM152" s="54"/>
      <c r="DQN152" s="52"/>
      <c r="DQO152" s="53"/>
      <c r="DQP152" s="8"/>
      <c r="DQQ152" s="45"/>
      <c r="DQR152" s="45"/>
      <c r="DQS152" s="46"/>
      <c r="DQT152" s="44"/>
      <c r="DQU152" s="7"/>
      <c r="DQV152" s="51"/>
      <c r="DQW152" s="52"/>
      <c r="DQX152" s="53"/>
      <c r="DQY152" s="54"/>
      <c r="DQZ152" s="52"/>
      <c r="DRA152" s="53"/>
      <c r="DRB152" s="54"/>
      <c r="DRC152" s="52"/>
      <c r="DRD152" s="53"/>
      <c r="DRE152" s="8"/>
      <c r="DRF152" s="45"/>
      <c r="DRG152" s="45"/>
      <c r="DRH152" s="46"/>
      <c r="DRI152" s="44"/>
      <c r="DRJ152" s="7"/>
      <c r="DRK152" s="51"/>
      <c r="DRL152" s="52"/>
      <c r="DRM152" s="53"/>
      <c r="DRN152" s="54"/>
      <c r="DRO152" s="52"/>
      <c r="DRP152" s="53"/>
      <c r="DRQ152" s="54"/>
      <c r="DRR152" s="52"/>
      <c r="DRS152" s="53"/>
      <c r="DRT152" s="8"/>
      <c r="DRU152" s="45"/>
      <c r="DRV152" s="45"/>
      <c r="DRW152" s="46"/>
      <c r="DRX152" s="44"/>
      <c r="DRY152" s="7"/>
      <c r="DRZ152" s="51"/>
      <c r="DSA152" s="52"/>
      <c r="DSB152" s="53"/>
      <c r="DSC152" s="54"/>
      <c r="DSD152" s="52"/>
      <c r="DSE152" s="53"/>
      <c r="DSF152" s="54"/>
      <c r="DSG152" s="52"/>
      <c r="DSH152" s="53"/>
      <c r="DSI152" s="8"/>
      <c r="DSJ152" s="45"/>
      <c r="DSK152" s="45"/>
      <c r="DSL152" s="46"/>
      <c r="DSM152" s="44"/>
      <c r="DSN152" s="7"/>
      <c r="DSO152" s="51"/>
      <c r="DSP152" s="52"/>
      <c r="DSQ152" s="53"/>
      <c r="DSR152" s="54"/>
      <c r="DSS152" s="52"/>
      <c r="DST152" s="53"/>
      <c r="DSU152" s="54"/>
      <c r="DSV152" s="52"/>
      <c r="DSW152" s="53"/>
      <c r="DSX152" s="8"/>
      <c r="DSY152" s="45"/>
      <c r="DSZ152" s="45"/>
      <c r="DTA152" s="46"/>
      <c r="DTB152" s="44"/>
      <c r="DTC152" s="7"/>
      <c r="DTD152" s="51"/>
      <c r="DTE152" s="52"/>
      <c r="DTF152" s="53"/>
      <c r="DTG152" s="54"/>
      <c r="DTH152" s="52"/>
      <c r="DTI152" s="53"/>
      <c r="DTJ152" s="54"/>
      <c r="DTK152" s="52"/>
      <c r="DTL152" s="53"/>
      <c r="DTM152" s="8"/>
      <c r="DTN152" s="45"/>
      <c r="DTO152" s="45"/>
      <c r="DTP152" s="46"/>
      <c r="DTQ152" s="44"/>
      <c r="DTR152" s="7"/>
      <c r="DTS152" s="51"/>
      <c r="DTT152" s="52"/>
      <c r="DTU152" s="53"/>
      <c r="DTV152" s="54"/>
      <c r="DTW152" s="52"/>
      <c r="DTX152" s="53"/>
      <c r="DTY152" s="54"/>
      <c r="DTZ152" s="52"/>
      <c r="DUA152" s="53"/>
      <c r="DUB152" s="8"/>
      <c r="DUC152" s="45"/>
      <c r="DUD152" s="45"/>
      <c r="DUE152" s="46"/>
      <c r="DUF152" s="44"/>
      <c r="DUG152" s="7"/>
      <c r="DUH152" s="51"/>
      <c r="DUI152" s="52"/>
      <c r="DUJ152" s="53"/>
      <c r="DUK152" s="54"/>
      <c r="DUL152" s="52"/>
      <c r="DUM152" s="53"/>
      <c r="DUN152" s="54"/>
      <c r="DUO152" s="52"/>
      <c r="DUP152" s="53"/>
      <c r="DUQ152" s="8"/>
      <c r="DUR152" s="45"/>
      <c r="DUS152" s="45"/>
      <c r="DUT152" s="46"/>
      <c r="DUU152" s="44"/>
      <c r="DUV152" s="7"/>
      <c r="DUW152" s="51"/>
      <c r="DUX152" s="52"/>
      <c r="DUY152" s="53"/>
      <c r="DUZ152" s="54"/>
      <c r="DVA152" s="52"/>
      <c r="DVB152" s="53"/>
      <c r="DVC152" s="54"/>
      <c r="DVD152" s="52"/>
      <c r="DVE152" s="53"/>
      <c r="DVF152" s="8"/>
      <c r="DVG152" s="45"/>
      <c r="DVH152" s="45"/>
      <c r="DVI152" s="46"/>
      <c r="DVJ152" s="44"/>
      <c r="DVK152" s="7"/>
      <c r="DVL152" s="51"/>
      <c r="DVM152" s="52"/>
      <c r="DVN152" s="53"/>
      <c r="DVO152" s="54"/>
      <c r="DVP152" s="52"/>
      <c r="DVQ152" s="53"/>
      <c r="DVR152" s="54"/>
      <c r="DVS152" s="52"/>
      <c r="DVT152" s="53"/>
      <c r="DVU152" s="8"/>
      <c r="DVV152" s="45"/>
      <c r="DVW152" s="45"/>
      <c r="DVX152" s="46"/>
      <c r="DVY152" s="44"/>
      <c r="DVZ152" s="7"/>
      <c r="DWA152" s="51"/>
      <c r="DWB152" s="52"/>
      <c r="DWC152" s="53"/>
      <c r="DWD152" s="54"/>
      <c r="DWE152" s="52"/>
      <c r="DWF152" s="53"/>
      <c r="DWG152" s="54"/>
      <c r="DWH152" s="52"/>
      <c r="DWI152" s="53"/>
      <c r="DWJ152" s="8"/>
      <c r="DWK152" s="45"/>
      <c r="DWL152" s="45"/>
      <c r="DWM152" s="46"/>
      <c r="DWN152" s="44"/>
      <c r="DWO152" s="7"/>
      <c r="DWP152" s="51"/>
      <c r="DWQ152" s="52"/>
      <c r="DWR152" s="53"/>
      <c r="DWS152" s="54"/>
      <c r="DWT152" s="52"/>
      <c r="DWU152" s="53"/>
      <c r="DWV152" s="54"/>
      <c r="DWW152" s="52"/>
      <c r="DWX152" s="53"/>
      <c r="DWY152" s="8"/>
      <c r="DWZ152" s="45"/>
      <c r="DXA152" s="45"/>
      <c r="DXB152" s="46"/>
      <c r="DXC152" s="44"/>
      <c r="DXD152" s="7"/>
      <c r="DXE152" s="51"/>
      <c r="DXF152" s="52"/>
      <c r="DXG152" s="53"/>
      <c r="DXH152" s="54"/>
      <c r="DXI152" s="52"/>
      <c r="DXJ152" s="53"/>
      <c r="DXK152" s="54"/>
      <c r="DXL152" s="52"/>
      <c r="DXM152" s="53"/>
      <c r="DXN152" s="8"/>
      <c r="DXO152" s="45"/>
      <c r="DXP152" s="45"/>
      <c r="DXQ152" s="46"/>
      <c r="DXR152" s="44"/>
      <c r="DXS152" s="7"/>
      <c r="DXT152" s="51"/>
      <c r="DXU152" s="52"/>
      <c r="DXV152" s="53"/>
      <c r="DXW152" s="54"/>
      <c r="DXX152" s="52"/>
      <c r="DXY152" s="53"/>
      <c r="DXZ152" s="54"/>
      <c r="DYA152" s="52"/>
      <c r="DYB152" s="53"/>
      <c r="DYC152" s="8"/>
      <c r="DYD152" s="45"/>
      <c r="DYE152" s="45"/>
      <c r="DYF152" s="46"/>
      <c r="DYG152" s="44"/>
      <c r="DYH152" s="7"/>
      <c r="DYI152" s="51"/>
      <c r="DYJ152" s="52"/>
      <c r="DYK152" s="53"/>
      <c r="DYL152" s="54"/>
      <c r="DYM152" s="52"/>
      <c r="DYN152" s="53"/>
      <c r="DYO152" s="54"/>
      <c r="DYP152" s="52"/>
      <c r="DYQ152" s="53"/>
      <c r="DYR152" s="8"/>
      <c r="DYS152" s="45"/>
      <c r="DYT152" s="45"/>
      <c r="DYU152" s="46"/>
      <c r="DYV152" s="44"/>
      <c r="DYW152" s="7"/>
      <c r="DYX152" s="51"/>
      <c r="DYY152" s="52"/>
      <c r="DYZ152" s="53"/>
      <c r="DZA152" s="54"/>
      <c r="DZB152" s="52"/>
      <c r="DZC152" s="53"/>
      <c r="DZD152" s="54"/>
      <c r="DZE152" s="52"/>
      <c r="DZF152" s="53"/>
      <c r="DZG152" s="8"/>
      <c r="DZH152" s="45"/>
      <c r="DZI152" s="45"/>
      <c r="DZJ152" s="46"/>
      <c r="DZK152" s="44"/>
      <c r="DZL152" s="7"/>
      <c r="DZM152" s="51"/>
      <c r="DZN152" s="52"/>
      <c r="DZO152" s="53"/>
      <c r="DZP152" s="54"/>
      <c r="DZQ152" s="52"/>
      <c r="DZR152" s="53"/>
      <c r="DZS152" s="54"/>
      <c r="DZT152" s="52"/>
      <c r="DZU152" s="53"/>
      <c r="DZV152" s="8"/>
      <c r="DZW152" s="45"/>
      <c r="DZX152" s="45"/>
      <c r="DZY152" s="46"/>
      <c r="DZZ152" s="44"/>
      <c r="EAA152" s="7"/>
      <c r="EAB152" s="51"/>
      <c r="EAC152" s="52"/>
      <c r="EAD152" s="53"/>
      <c r="EAE152" s="54"/>
      <c r="EAF152" s="52"/>
      <c r="EAG152" s="53"/>
      <c r="EAH152" s="54"/>
      <c r="EAI152" s="52"/>
      <c r="EAJ152" s="53"/>
      <c r="EAK152" s="8"/>
      <c r="EAL152" s="45"/>
      <c r="EAM152" s="45"/>
      <c r="EAN152" s="46"/>
      <c r="EAO152" s="44"/>
      <c r="EAP152" s="7"/>
      <c r="EAQ152" s="51"/>
      <c r="EAR152" s="52"/>
      <c r="EAS152" s="53"/>
      <c r="EAT152" s="54"/>
      <c r="EAU152" s="52"/>
      <c r="EAV152" s="53"/>
      <c r="EAW152" s="54"/>
      <c r="EAX152" s="52"/>
      <c r="EAY152" s="53"/>
      <c r="EAZ152" s="8"/>
      <c r="EBA152" s="45"/>
      <c r="EBB152" s="45"/>
      <c r="EBC152" s="46"/>
      <c r="EBD152" s="44"/>
      <c r="EBE152" s="7"/>
      <c r="EBF152" s="51"/>
      <c r="EBG152" s="52"/>
      <c r="EBH152" s="53"/>
      <c r="EBI152" s="54"/>
      <c r="EBJ152" s="52"/>
      <c r="EBK152" s="53"/>
      <c r="EBL152" s="54"/>
      <c r="EBM152" s="52"/>
      <c r="EBN152" s="53"/>
      <c r="EBO152" s="8"/>
      <c r="EBP152" s="45"/>
      <c r="EBQ152" s="45"/>
      <c r="EBR152" s="46"/>
      <c r="EBS152" s="44"/>
      <c r="EBT152" s="7"/>
      <c r="EBU152" s="51"/>
      <c r="EBV152" s="52"/>
      <c r="EBW152" s="53"/>
      <c r="EBX152" s="54"/>
      <c r="EBY152" s="52"/>
      <c r="EBZ152" s="53"/>
      <c r="ECA152" s="54"/>
      <c r="ECB152" s="52"/>
      <c r="ECC152" s="53"/>
      <c r="ECD152" s="8"/>
      <c r="ECE152" s="45"/>
      <c r="ECF152" s="45"/>
      <c r="ECG152" s="46"/>
      <c r="ECH152" s="44"/>
      <c r="ECI152" s="7"/>
      <c r="ECJ152" s="51"/>
      <c r="ECK152" s="52"/>
      <c r="ECL152" s="53"/>
      <c r="ECM152" s="54"/>
      <c r="ECN152" s="52"/>
      <c r="ECO152" s="53"/>
      <c r="ECP152" s="54"/>
      <c r="ECQ152" s="52"/>
      <c r="ECR152" s="53"/>
      <c r="ECS152" s="8"/>
      <c r="ECT152" s="45"/>
      <c r="ECU152" s="45"/>
      <c r="ECV152" s="46"/>
      <c r="ECW152" s="44"/>
      <c r="ECX152" s="7"/>
      <c r="ECY152" s="51"/>
      <c r="ECZ152" s="52"/>
      <c r="EDA152" s="53"/>
      <c r="EDB152" s="54"/>
      <c r="EDC152" s="52"/>
      <c r="EDD152" s="53"/>
      <c r="EDE152" s="54"/>
      <c r="EDF152" s="52"/>
      <c r="EDG152" s="53"/>
      <c r="EDH152" s="8"/>
      <c r="EDI152" s="45"/>
      <c r="EDJ152" s="45"/>
      <c r="EDK152" s="46"/>
      <c r="EDL152" s="44"/>
      <c r="EDM152" s="7"/>
      <c r="EDN152" s="51"/>
      <c r="EDO152" s="52"/>
      <c r="EDP152" s="53"/>
      <c r="EDQ152" s="54"/>
      <c r="EDR152" s="52"/>
      <c r="EDS152" s="53"/>
      <c r="EDT152" s="54"/>
      <c r="EDU152" s="52"/>
      <c r="EDV152" s="53"/>
      <c r="EDW152" s="8"/>
      <c r="EDX152" s="45"/>
      <c r="EDY152" s="45"/>
      <c r="EDZ152" s="46"/>
      <c r="EEA152" s="44"/>
      <c r="EEB152" s="7"/>
      <c r="EEC152" s="51"/>
      <c r="EED152" s="52"/>
      <c r="EEE152" s="53"/>
      <c r="EEF152" s="54"/>
      <c r="EEG152" s="52"/>
      <c r="EEH152" s="53"/>
      <c r="EEI152" s="54"/>
      <c r="EEJ152" s="52"/>
      <c r="EEK152" s="53"/>
      <c r="EEL152" s="8"/>
      <c r="EEM152" s="45"/>
      <c r="EEN152" s="45"/>
      <c r="EEO152" s="46"/>
      <c r="EEP152" s="44"/>
      <c r="EEQ152" s="7"/>
      <c r="EER152" s="51"/>
      <c r="EES152" s="52"/>
      <c r="EET152" s="53"/>
      <c r="EEU152" s="54"/>
      <c r="EEV152" s="52"/>
      <c r="EEW152" s="53"/>
      <c r="EEX152" s="54"/>
      <c r="EEY152" s="52"/>
      <c r="EEZ152" s="53"/>
      <c r="EFA152" s="8"/>
      <c r="EFB152" s="45"/>
      <c r="EFC152" s="45"/>
      <c r="EFD152" s="46"/>
      <c r="EFE152" s="44"/>
      <c r="EFF152" s="7"/>
      <c r="EFG152" s="51"/>
      <c r="EFH152" s="52"/>
      <c r="EFI152" s="53"/>
      <c r="EFJ152" s="54"/>
      <c r="EFK152" s="52"/>
      <c r="EFL152" s="53"/>
      <c r="EFM152" s="54"/>
      <c r="EFN152" s="52"/>
      <c r="EFO152" s="53"/>
      <c r="EFP152" s="8"/>
      <c r="EFQ152" s="45"/>
      <c r="EFR152" s="45"/>
      <c r="EFS152" s="46"/>
      <c r="EFT152" s="44"/>
      <c r="EFU152" s="7"/>
      <c r="EFV152" s="51"/>
      <c r="EFW152" s="52"/>
      <c r="EFX152" s="53"/>
      <c r="EFY152" s="54"/>
      <c r="EFZ152" s="52"/>
      <c r="EGA152" s="53"/>
      <c r="EGB152" s="54"/>
      <c r="EGC152" s="52"/>
      <c r="EGD152" s="53"/>
      <c r="EGE152" s="8"/>
      <c r="EGF152" s="45"/>
      <c r="EGG152" s="45"/>
      <c r="EGH152" s="46"/>
      <c r="EGI152" s="44"/>
      <c r="EGJ152" s="7"/>
      <c r="EGK152" s="51"/>
      <c r="EGL152" s="52"/>
      <c r="EGM152" s="53"/>
      <c r="EGN152" s="54"/>
      <c r="EGO152" s="52"/>
      <c r="EGP152" s="53"/>
      <c r="EGQ152" s="54"/>
      <c r="EGR152" s="52"/>
      <c r="EGS152" s="53"/>
      <c r="EGT152" s="8"/>
      <c r="EGU152" s="45"/>
      <c r="EGV152" s="45"/>
      <c r="EGW152" s="46"/>
      <c r="EGX152" s="44"/>
      <c r="EGY152" s="7"/>
      <c r="EGZ152" s="51"/>
      <c r="EHA152" s="52"/>
      <c r="EHB152" s="53"/>
      <c r="EHC152" s="54"/>
      <c r="EHD152" s="52"/>
      <c r="EHE152" s="53"/>
      <c r="EHF152" s="54"/>
      <c r="EHG152" s="52"/>
      <c r="EHH152" s="53"/>
      <c r="EHI152" s="8"/>
      <c r="EHJ152" s="45"/>
      <c r="EHK152" s="45"/>
      <c r="EHL152" s="46"/>
      <c r="EHM152" s="44"/>
      <c r="EHN152" s="7"/>
      <c r="EHO152" s="51"/>
      <c r="EHP152" s="52"/>
      <c r="EHQ152" s="53"/>
      <c r="EHR152" s="54"/>
      <c r="EHS152" s="52"/>
      <c r="EHT152" s="53"/>
      <c r="EHU152" s="54"/>
      <c r="EHV152" s="52"/>
      <c r="EHW152" s="53"/>
      <c r="EHX152" s="8"/>
      <c r="EHY152" s="45"/>
      <c r="EHZ152" s="45"/>
      <c r="EIA152" s="46"/>
      <c r="EIB152" s="44"/>
      <c r="EIC152" s="7"/>
      <c r="EID152" s="51"/>
      <c r="EIE152" s="52"/>
      <c r="EIF152" s="53"/>
      <c r="EIG152" s="54"/>
      <c r="EIH152" s="52"/>
      <c r="EII152" s="53"/>
      <c r="EIJ152" s="54"/>
      <c r="EIK152" s="52"/>
      <c r="EIL152" s="53"/>
      <c r="EIM152" s="8"/>
      <c r="EIN152" s="45"/>
      <c r="EIO152" s="45"/>
      <c r="EIP152" s="46"/>
      <c r="EIQ152" s="44"/>
      <c r="EIR152" s="7"/>
      <c r="EIS152" s="51"/>
      <c r="EIT152" s="52"/>
      <c r="EIU152" s="53"/>
      <c r="EIV152" s="54"/>
      <c r="EIW152" s="52"/>
      <c r="EIX152" s="53"/>
      <c r="EIY152" s="54"/>
      <c r="EIZ152" s="52"/>
      <c r="EJA152" s="53"/>
      <c r="EJB152" s="8"/>
      <c r="EJC152" s="45"/>
      <c r="EJD152" s="45"/>
      <c r="EJE152" s="46"/>
      <c r="EJF152" s="44"/>
      <c r="EJG152" s="7"/>
      <c r="EJH152" s="51"/>
      <c r="EJI152" s="52"/>
      <c r="EJJ152" s="53"/>
      <c r="EJK152" s="54"/>
      <c r="EJL152" s="52"/>
      <c r="EJM152" s="53"/>
      <c r="EJN152" s="54"/>
      <c r="EJO152" s="52"/>
      <c r="EJP152" s="53"/>
      <c r="EJQ152" s="8"/>
      <c r="EJR152" s="45"/>
      <c r="EJS152" s="45"/>
      <c r="EJT152" s="46"/>
      <c r="EJU152" s="44"/>
      <c r="EJV152" s="7"/>
      <c r="EJW152" s="51"/>
      <c r="EJX152" s="52"/>
      <c r="EJY152" s="53"/>
      <c r="EJZ152" s="54"/>
      <c r="EKA152" s="52"/>
      <c r="EKB152" s="53"/>
      <c r="EKC152" s="54"/>
      <c r="EKD152" s="52"/>
      <c r="EKE152" s="53"/>
      <c r="EKF152" s="8"/>
      <c r="EKG152" s="45"/>
      <c r="EKH152" s="45"/>
      <c r="EKI152" s="46"/>
      <c r="EKJ152" s="44"/>
      <c r="EKK152" s="7"/>
      <c r="EKL152" s="51"/>
      <c r="EKM152" s="52"/>
      <c r="EKN152" s="53"/>
      <c r="EKO152" s="54"/>
      <c r="EKP152" s="52"/>
      <c r="EKQ152" s="53"/>
      <c r="EKR152" s="54"/>
      <c r="EKS152" s="52"/>
      <c r="EKT152" s="53"/>
      <c r="EKU152" s="8"/>
      <c r="EKV152" s="45"/>
      <c r="EKW152" s="45"/>
      <c r="EKX152" s="46"/>
      <c r="EKY152" s="44"/>
      <c r="EKZ152" s="7"/>
      <c r="ELA152" s="51"/>
      <c r="ELB152" s="52"/>
      <c r="ELC152" s="53"/>
      <c r="ELD152" s="54"/>
      <c r="ELE152" s="52"/>
      <c r="ELF152" s="53"/>
      <c r="ELG152" s="54"/>
      <c r="ELH152" s="52"/>
      <c r="ELI152" s="53"/>
      <c r="ELJ152" s="8"/>
      <c r="ELK152" s="45"/>
      <c r="ELL152" s="45"/>
      <c r="ELM152" s="46"/>
      <c r="ELN152" s="44"/>
      <c r="ELO152" s="7"/>
      <c r="ELP152" s="51"/>
      <c r="ELQ152" s="52"/>
      <c r="ELR152" s="53"/>
      <c r="ELS152" s="54"/>
      <c r="ELT152" s="52"/>
      <c r="ELU152" s="53"/>
      <c r="ELV152" s="54"/>
      <c r="ELW152" s="52"/>
      <c r="ELX152" s="53"/>
      <c r="ELY152" s="8"/>
      <c r="ELZ152" s="45"/>
      <c r="EMA152" s="45"/>
      <c r="EMB152" s="46"/>
      <c r="EMC152" s="44"/>
      <c r="EMD152" s="7"/>
      <c r="EME152" s="51"/>
      <c r="EMF152" s="52"/>
      <c r="EMG152" s="53"/>
      <c r="EMH152" s="54"/>
      <c r="EMI152" s="52"/>
      <c r="EMJ152" s="53"/>
      <c r="EMK152" s="54"/>
      <c r="EML152" s="52"/>
      <c r="EMM152" s="53"/>
      <c r="EMN152" s="8"/>
      <c r="EMO152" s="45"/>
      <c r="EMP152" s="45"/>
      <c r="EMQ152" s="46"/>
      <c r="EMR152" s="44"/>
      <c r="EMS152" s="7"/>
      <c r="EMT152" s="51"/>
      <c r="EMU152" s="52"/>
      <c r="EMV152" s="53"/>
      <c r="EMW152" s="54"/>
      <c r="EMX152" s="52"/>
      <c r="EMY152" s="53"/>
      <c r="EMZ152" s="54"/>
      <c r="ENA152" s="52"/>
      <c r="ENB152" s="53"/>
      <c r="ENC152" s="8"/>
      <c r="END152" s="45"/>
      <c r="ENE152" s="45"/>
      <c r="ENF152" s="46"/>
      <c r="ENG152" s="44"/>
      <c r="ENH152" s="7"/>
      <c r="ENI152" s="51"/>
      <c r="ENJ152" s="52"/>
      <c r="ENK152" s="53"/>
      <c r="ENL152" s="54"/>
      <c r="ENM152" s="52"/>
      <c r="ENN152" s="53"/>
      <c r="ENO152" s="54"/>
      <c r="ENP152" s="52"/>
      <c r="ENQ152" s="53"/>
      <c r="ENR152" s="8"/>
      <c r="ENS152" s="45"/>
      <c r="ENT152" s="45"/>
      <c r="ENU152" s="46"/>
      <c r="ENV152" s="44"/>
      <c r="ENW152" s="7"/>
      <c r="ENX152" s="51"/>
      <c r="ENY152" s="52"/>
      <c r="ENZ152" s="53"/>
      <c r="EOA152" s="54"/>
      <c r="EOB152" s="52"/>
      <c r="EOC152" s="53"/>
      <c r="EOD152" s="54"/>
      <c r="EOE152" s="52"/>
      <c r="EOF152" s="53"/>
      <c r="EOG152" s="8"/>
      <c r="EOH152" s="45"/>
      <c r="EOI152" s="45"/>
      <c r="EOJ152" s="46"/>
      <c r="EOK152" s="44"/>
      <c r="EOL152" s="7"/>
      <c r="EOM152" s="51"/>
      <c r="EON152" s="52"/>
      <c r="EOO152" s="53"/>
      <c r="EOP152" s="54"/>
      <c r="EOQ152" s="52"/>
      <c r="EOR152" s="53"/>
      <c r="EOS152" s="54"/>
      <c r="EOT152" s="52"/>
      <c r="EOU152" s="53"/>
      <c r="EOV152" s="8"/>
      <c r="EOW152" s="45"/>
      <c r="EOX152" s="45"/>
      <c r="EOY152" s="46"/>
      <c r="EOZ152" s="44"/>
      <c r="EPA152" s="7"/>
      <c r="EPB152" s="51"/>
      <c r="EPC152" s="52"/>
      <c r="EPD152" s="53"/>
      <c r="EPE152" s="54"/>
      <c r="EPF152" s="52"/>
      <c r="EPG152" s="53"/>
      <c r="EPH152" s="54"/>
      <c r="EPI152" s="52"/>
      <c r="EPJ152" s="53"/>
      <c r="EPK152" s="8"/>
      <c r="EPL152" s="45"/>
      <c r="EPM152" s="45"/>
      <c r="EPN152" s="46"/>
      <c r="EPO152" s="44"/>
      <c r="EPP152" s="7"/>
      <c r="EPQ152" s="51"/>
      <c r="EPR152" s="52"/>
      <c r="EPS152" s="53"/>
      <c r="EPT152" s="54"/>
      <c r="EPU152" s="52"/>
      <c r="EPV152" s="53"/>
      <c r="EPW152" s="54"/>
      <c r="EPX152" s="52"/>
      <c r="EPY152" s="53"/>
      <c r="EPZ152" s="8"/>
      <c r="EQA152" s="45"/>
      <c r="EQB152" s="45"/>
      <c r="EQC152" s="46"/>
      <c r="EQD152" s="44"/>
      <c r="EQE152" s="7"/>
      <c r="EQF152" s="51"/>
      <c r="EQG152" s="52"/>
      <c r="EQH152" s="53"/>
      <c r="EQI152" s="54"/>
      <c r="EQJ152" s="52"/>
      <c r="EQK152" s="53"/>
      <c r="EQL152" s="54"/>
      <c r="EQM152" s="52"/>
      <c r="EQN152" s="53"/>
      <c r="EQO152" s="8"/>
      <c r="EQP152" s="45"/>
      <c r="EQQ152" s="45"/>
      <c r="EQR152" s="46"/>
      <c r="EQS152" s="44"/>
      <c r="EQT152" s="7"/>
      <c r="EQU152" s="51"/>
      <c r="EQV152" s="52"/>
      <c r="EQW152" s="53"/>
      <c r="EQX152" s="54"/>
      <c r="EQY152" s="52"/>
      <c r="EQZ152" s="53"/>
      <c r="ERA152" s="54"/>
      <c r="ERB152" s="52"/>
      <c r="ERC152" s="53"/>
      <c r="ERD152" s="8"/>
      <c r="ERE152" s="45"/>
      <c r="ERF152" s="45"/>
      <c r="ERG152" s="46"/>
      <c r="ERH152" s="44"/>
      <c r="ERI152" s="7"/>
      <c r="ERJ152" s="51"/>
      <c r="ERK152" s="52"/>
      <c r="ERL152" s="53"/>
      <c r="ERM152" s="54"/>
      <c r="ERN152" s="52"/>
      <c r="ERO152" s="53"/>
      <c r="ERP152" s="54"/>
      <c r="ERQ152" s="52"/>
      <c r="ERR152" s="53"/>
      <c r="ERS152" s="8"/>
      <c r="ERT152" s="45"/>
      <c r="ERU152" s="45"/>
      <c r="ERV152" s="46"/>
      <c r="ERW152" s="44"/>
      <c r="ERX152" s="7"/>
      <c r="ERY152" s="51"/>
      <c r="ERZ152" s="52"/>
      <c r="ESA152" s="53"/>
      <c r="ESB152" s="54"/>
      <c r="ESC152" s="52"/>
      <c r="ESD152" s="53"/>
      <c r="ESE152" s="54"/>
      <c r="ESF152" s="52"/>
      <c r="ESG152" s="53"/>
      <c r="ESH152" s="8"/>
      <c r="ESI152" s="45"/>
      <c r="ESJ152" s="45"/>
      <c r="ESK152" s="46"/>
      <c r="ESL152" s="44"/>
      <c r="ESM152" s="7"/>
      <c r="ESN152" s="51"/>
      <c r="ESO152" s="52"/>
      <c r="ESP152" s="53"/>
      <c r="ESQ152" s="54"/>
      <c r="ESR152" s="52"/>
      <c r="ESS152" s="53"/>
      <c r="EST152" s="54"/>
      <c r="ESU152" s="52"/>
      <c r="ESV152" s="53"/>
      <c r="ESW152" s="8"/>
      <c r="ESX152" s="45"/>
      <c r="ESY152" s="45"/>
      <c r="ESZ152" s="46"/>
      <c r="ETA152" s="44"/>
      <c r="ETB152" s="7"/>
      <c r="ETC152" s="51"/>
      <c r="ETD152" s="52"/>
      <c r="ETE152" s="53"/>
      <c r="ETF152" s="54"/>
      <c r="ETG152" s="52"/>
      <c r="ETH152" s="53"/>
      <c r="ETI152" s="54"/>
      <c r="ETJ152" s="52"/>
      <c r="ETK152" s="53"/>
      <c r="ETL152" s="8"/>
      <c r="ETM152" s="45"/>
      <c r="ETN152" s="45"/>
      <c r="ETO152" s="46"/>
      <c r="ETP152" s="44"/>
      <c r="ETQ152" s="7"/>
      <c r="ETR152" s="51"/>
      <c r="ETS152" s="52"/>
      <c r="ETT152" s="53"/>
      <c r="ETU152" s="54"/>
      <c r="ETV152" s="52"/>
      <c r="ETW152" s="53"/>
      <c r="ETX152" s="54"/>
      <c r="ETY152" s="52"/>
      <c r="ETZ152" s="53"/>
      <c r="EUA152" s="8"/>
      <c r="EUB152" s="45"/>
      <c r="EUC152" s="45"/>
      <c r="EUD152" s="46"/>
      <c r="EUE152" s="44"/>
      <c r="EUF152" s="7"/>
      <c r="EUG152" s="51"/>
      <c r="EUH152" s="52"/>
      <c r="EUI152" s="53"/>
      <c r="EUJ152" s="54"/>
      <c r="EUK152" s="52"/>
      <c r="EUL152" s="53"/>
      <c r="EUM152" s="54"/>
      <c r="EUN152" s="52"/>
      <c r="EUO152" s="53"/>
      <c r="EUP152" s="8"/>
      <c r="EUQ152" s="45"/>
      <c r="EUR152" s="45"/>
      <c r="EUS152" s="46"/>
      <c r="EUT152" s="44"/>
      <c r="EUU152" s="7"/>
      <c r="EUV152" s="51"/>
      <c r="EUW152" s="52"/>
      <c r="EUX152" s="53"/>
      <c r="EUY152" s="54"/>
      <c r="EUZ152" s="52"/>
      <c r="EVA152" s="53"/>
      <c r="EVB152" s="54"/>
      <c r="EVC152" s="52"/>
      <c r="EVD152" s="53"/>
      <c r="EVE152" s="8"/>
      <c r="EVF152" s="45"/>
      <c r="EVG152" s="45"/>
      <c r="EVH152" s="46"/>
      <c r="EVI152" s="44"/>
      <c r="EVJ152" s="7"/>
      <c r="EVK152" s="51"/>
      <c r="EVL152" s="52"/>
      <c r="EVM152" s="53"/>
      <c r="EVN152" s="54"/>
      <c r="EVO152" s="52"/>
      <c r="EVP152" s="53"/>
      <c r="EVQ152" s="54"/>
      <c r="EVR152" s="52"/>
      <c r="EVS152" s="53"/>
      <c r="EVT152" s="8"/>
      <c r="EVU152" s="45"/>
      <c r="EVV152" s="45"/>
      <c r="EVW152" s="46"/>
      <c r="EVX152" s="44"/>
      <c r="EVY152" s="7"/>
      <c r="EVZ152" s="51"/>
      <c r="EWA152" s="52"/>
      <c r="EWB152" s="53"/>
      <c r="EWC152" s="54"/>
      <c r="EWD152" s="52"/>
      <c r="EWE152" s="53"/>
      <c r="EWF152" s="54"/>
      <c r="EWG152" s="52"/>
      <c r="EWH152" s="53"/>
      <c r="EWI152" s="8"/>
      <c r="EWJ152" s="45"/>
      <c r="EWK152" s="45"/>
      <c r="EWL152" s="46"/>
      <c r="EWM152" s="44"/>
      <c r="EWN152" s="7"/>
      <c r="EWO152" s="51"/>
      <c r="EWP152" s="52"/>
      <c r="EWQ152" s="53"/>
      <c r="EWR152" s="54"/>
      <c r="EWS152" s="52"/>
      <c r="EWT152" s="53"/>
      <c r="EWU152" s="54"/>
      <c r="EWV152" s="52"/>
      <c r="EWW152" s="53"/>
      <c r="EWX152" s="8"/>
      <c r="EWY152" s="45"/>
      <c r="EWZ152" s="45"/>
      <c r="EXA152" s="46"/>
      <c r="EXB152" s="44"/>
      <c r="EXC152" s="7"/>
      <c r="EXD152" s="51"/>
      <c r="EXE152" s="52"/>
      <c r="EXF152" s="53"/>
      <c r="EXG152" s="54"/>
      <c r="EXH152" s="52"/>
      <c r="EXI152" s="53"/>
      <c r="EXJ152" s="54"/>
      <c r="EXK152" s="52"/>
      <c r="EXL152" s="53"/>
      <c r="EXM152" s="8"/>
      <c r="EXN152" s="45"/>
      <c r="EXO152" s="45"/>
      <c r="EXP152" s="46"/>
      <c r="EXQ152" s="44"/>
      <c r="EXR152" s="7"/>
      <c r="EXS152" s="51"/>
      <c r="EXT152" s="52"/>
      <c r="EXU152" s="53"/>
      <c r="EXV152" s="54"/>
      <c r="EXW152" s="52"/>
      <c r="EXX152" s="53"/>
      <c r="EXY152" s="54"/>
      <c r="EXZ152" s="52"/>
      <c r="EYA152" s="53"/>
      <c r="EYB152" s="8"/>
      <c r="EYC152" s="45"/>
      <c r="EYD152" s="45"/>
      <c r="EYE152" s="46"/>
      <c r="EYF152" s="44"/>
      <c r="EYG152" s="7"/>
      <c r="EYH152" s="51"/>
      <c r="EYI152" s="52"/>
      <c r="EYJ152" s="53"/>
      <c r="EYK152" s="54"/>
      <c r="EYL152" s="52"/>
      <c r="EYM152" s="53"/>
      <c r="EYN152" s="54"/>
      <c r="EYO152" s="52"/>
      <c r="EYP152" s="53"/>
      <c r="EYQ152" s="8"/>
      <c r="EYR152" s="45"/>
      <c r="EYS152" s="45"/>
      <c r="EYT152" s="46"/>
      <c r="EYU152" s="44"/>
      <c r="EYV152" s="7"/>
      <c r="EYW152" s="51"/>
      <c r="EYX152" s="52"/>
      <c r="EYY152" s="53"/>
      <c r="EYZ152" s="54"/>
      <c r="EZA152" s="52"/>
      <c r="EZB152" s="53"/>
      <c r="EZC152" s="54"/>
      <c r="EZD152" s="52"/>
      <c r="EZE152" s="53"/>
      <c r="EZF152" s="8"/>
      <c r="EZG152" s="45"/>
      <c r="EZH152" s="45"/>
      <c r="EZI152" s="46"/>
      <c r="EZJ152" s="44"/>
      <c r="EZK152" s="7"/>
      <c r="EZL152" s="51"/>
      <c r="EZM152" s="52"/>
      <c r="EZN152" s="53"/>
      <c r="EZO152" s="54"/>
      <c r="EZP152" s="52"/>
      <c r="EZQ152" s="53"/>
      <c r="EZR152" s="54"/>
      <c r="EZS152" s="52"/>
      <c r="EZT152" s="53"/>
      <c r="EZU152" s="8"/>
      <c r="EZV152" s="45"/>
      <c r="EZW152" s="45"/>
      <c r="EZX152" s="46"/>
      <c r="EZY152" s="44"/>
      <c r="EZZ152" s="7"/>
      <c r="FAA152" s="51"/>
      <c r="FAB152" s="52"/>
      <c r="FAC152" s="53"/>
      <c r="FAD152" s="54"/>
      <c r="FAE152" s="52"/>
      <c r="FAF152" s="53"/>
      <c r="FAG152" s="54"/>
      <c r="FAH152" s="52"/>
      <c r="FAI152" s="53"/>
      <c r="FAJ152" s="8"/>
      <c r="FAK152" s="45"/>
      <c r="FAL152" s="45"/>
      <c r="FAM152" s="46"/>
      <c r="FAN152" s="44"/>
      <c r="FAO152" s="7"/>
      <c r="FAP152" s="51"/>
      <c r="FAQ152" s="52"/>
      <c r="FAR152" s="53"/>
      <c r="FAS152" s="54"/>
      <c r="FAT152" s="52"/>
      <c r="FAU152" s="53"/>
      <c r="FAV152" s="54"/>
      <c r="FAW152" s="52"/>
      <c r="FAX152" s="53"/>
      <c r="FAY152" s="8"/>
      <c r="FAZ152" s="45"/>
      <c r="FBA152" s="45"/>
      <c r="FBB152" s="46"/>
      <c r="FBC152" s="44"/>
      <c r="FBD152" s="7"/>
      <c r="FBE152" s="51"/>
      <c r="FBF152" s="52"/>
      <c r="FBG152" s="53"/>
      <c r="FBH152" s="54"/>
      <c r="FBI152" s="52"/>
      <c r="FBJ152" s="53"/>
      <c r="FBK152" s="54"/>
      <c r="FBL152" s="52"/>
      <c r="FBM152" s="53"/>
      <c r="FBN152" s="8"/>
      <c r="FBO152" s="45"/>
      <c r="FBP152" s="45"/>
      <c r="FBQ152" s="46"/>
      <c r="FBR152" s="44"/>
      <c r="FBS152" s="7"/>
      <c r="FBT152" s="51"/>
      <c r="FBU152" s="52"/>
      <c r="FBV152" s="53"/>
      <c r="FBW152" s="54"/>
      <c r="FBX152" s="52"/>
      <c r="FBY152" s="53"/>
      <c r="FBZ152" s="54"/>
      <c r="FCA152" s="52"/>
      <c r="FCB152" s="53"/>
      <c r="FCC152" s="8"/>
      <c r="FCD152" s="45"/>
      <c r="FCE152" s="45"/>
      <c r="FCF152" s="46"/>
      <c r="FCG152" s="44"/>
      <c r="FCH152" s="7"/>
      <c r="FCI152" s="51"/>
      <c r="FCJ152" s="52"/>
      <c r="FCK152" s="53"/>
      <c r="FCL152" s="54"/>
      <c r="FCM152" s="52"/>
      <c r="FCN152" s="53"/>
      <c r="FCO152" s="54"/>
      <c r="FCP152" s="52"/>
      <c r="FCQ152" s="53"/>
      <c r="FCR152" s="8"/>
      <c r="FCS152" s="45"/>
      <c r="FCT152" s="45"/>
      <c r="FCU152" s="46"/>
      <c r="FCV152" s="44"/>
      <c r="FCW152" s="7"/>
      <c r="FCX152" s="51"/>
      <c r="FCY152" s="52"/>
      <c r="FCZ152" s="53"/>
      <c r="FDA152" s="54"/>
      <c r="FDB152" s="52"/>
      <c r="FDC152" s="53"/>
      <c r="FDD152" s="54"/>
      <c r="FDE152" s="52"/>
      <c r="FDF152" s="53"/>
      <c r="FDG152" s="8"/>
      <c r="FDH152" s="45"/>
      <c r="FDI152" s="45"/>
      <c r="FDJ152" s="46"/>
      <c r="FDK152" s="44"/>
      <c r="FDL152" s="7"/>
      <c r="FDM152" s="51"/>
      <c r="FDN152" s="52"/>
      <c r="FDO152" s="53"/>
      <c r="FDP152" s="54"/>
      <c r="FDQ152" s="52"/>
      <c r="FDR152" s="53"/>
      <c r="FDS152" s="54"/>
      <c r="FDT152" s="52"/>
      <c r="FDU152" s="53"/>
      <c r="FDV152" s="8"/>
      <c r="FDW152" s="45"/>
      <c r="FDX152" s="45"/>
      <c r="FDY152" s="46"/>
      <c r="FDZ152" s="44"/>
      <c r="FEA152" s="7"/>
      <c r="FEB152" s="51"/>
      <c r="FEC152" s="52"/>
      <c r="FED152" s="53"/>
      <c r="FEE152" s="54"/>
      <c r="FEF152" s="52"/>
      <c r="FEG152" s="53"/>
      <c r="FEH152" s="54"/>
      <c r="FEI152" s="52"/>
      <c r="FEJ152" s="53"/>
      <c r="FEK152" s="8"/>
      <c r="FEL152" s="45"/>
      <c r="FEM152" s="45"/>
      <c r="FEN152" s="46"/>
      <c r="FEO152" s="44"/>
      <c r="FEP152" s="7"/>
      <c r="FEQ152" s="51"/>
      <c r="FER152" s="52"/>
      <c r="FES152" s="53"/>
      <c r="FET152" s="54"/>
      <c r="FEU152" s="52"/>
      <c r="FEV152" s="53"/>
      <c r="FEW152" s="54"/>
      <c r="FEX152" s="52"/>
      <c r="FEY152" s="53"/>
      <c r="FEZ152" s="8"/>
      <c r="FFA152" s="45"/>
      <c r="FFB152" s="45"/>
      <c r="FFC152" s="46"/>
      <c r="FFD152" s="44"/>
      <c r="FFE152" s="7"/>
      <c r="FFF152" s="51"/>
      <c r="FFG152" s="52"/>
      <c r="FFH152" s="53"/>
      <c r="FFI152" s="54"/>
      <c r="FFJ152" s="52"/>
      <c r="FFK152" s="53"/>
      <c r="FFL152" s="54"/>
      <c r="FFM152" s="52"/>
      <c r="FFN152" s="53"/>
      <c r="FFO152" s="8"/>
      <c r="FFP152" s="45"/>
      <c r="FFQ152" s="45"/>
      <c r="FFR152" s="46"/>
      <c r="FFS152" s="44"/>
      <c r="FFT152" s="7"/>
      <c r="FFU152" s="51"/>
      <c r="FFV152" s="52"/>
      <c r="FFW152" s="53"/>
      <c r="FFX152" s="54"/>
      <c r="FFY152" s="52"/>
      <c r="FFZ152" s="53"/>
      <c r="FGA152" s="54"/>
      <c r="FGB152" s="52"/>
      <c r="FGC152" s="53"/>
      <c r="FGD152" s="8"/>
      <c r="FGE152" s="45"/>
      <c r="FGF152" s="45"/>
      <c r="FGG152" s="46"/>
      <c r="FGH152" s="44"/>
      <c r="FGI152" s="7"/>
      <c r="FGJ152" s="51"/>
      <c r="FGK152" s="52"/>
      <c r="FGL152" s="53"/>
      <c r="FGM152" s="54"/>
      <c r="FGN152" s="52"/>
      <c r="FGO152" s="53"/>
      <c r="FGP152" s="54"/>
      <c r="FGQ152" s="52"/>
      <c r="FGR152" s="53"/>
      <c r="FGS152" s="8"/>
      <c r="FGT152" s="45"/>
      <c r="FGU152" s="45"/>
      <c r="FGV152" s="46"/>
      <c r="FGW152" s="44"/>
      <c r="FGX152" s="7"/>
      <c r="FGY152" s="51"/>
      <c r="FGZ152" s="52"/>
      <c r="FHA152" s="53"/>
      <c r="FHB152" s="54"/>
      <c r="FHC152" s="52"/>
      <c r="FHD152" s="53"/>
      <c r="FHE152" s="54"/>
      <c r="FHF152" s="52"/>
      <c r="FHG152" s="53"/>
      <c r="FHH152" s="8"/>
      <c r="FHI152" s="45"/>
      <c r="FHJ152" s="45"/>
      <c r="FHK152" s="46"/>
      <c r="FHL152" s="44"/>
      <c r="FHM152" s="7"/>
      <c r="FHN152" s="51"/>
      <c r="FHO152" s="52"/>
      <c r="FHP152" s="53"/>
      <c r="FHQ152" s="54"/>
      <c r="FHR152" s="52"/>
      <c r="FHS152" s="53"/>
      <c r="FHT152" s="54"/>
      <c r="FHU152" s="52"/>
      <c r="FHV152" s="53"/>
      <c r="FHW152" s="8"/>
      <c r="FHX152" s="45"/>
      <c r="FHY152" s="45"/>
      <c r="FHZ152" s="46"/>
      <c r="FIA152" s="44"/>
      <c r="FIB152" s="7"/>
      <c r="FIC152" s="51"/>
      <c r="FID152" s="52"/>
      <c r="FIE152" s="53"/>
      <c r="FIF152" s="54"/>
      <c r="FIG152" s="52"/>
      <c r="FIH152" s="53"/>
      <c r="FII152" s="54"/>
      <c r="FIJ152" s="52"/>
      <c r="FIK152" s="53"/>
      <c r="FIL152" s="8"/>
      <c r="FIM152" s="45"/>
      <c r="FIN152" s="45"/>
      <c r="FIO152" s="46"/>
      <c r="FIP152" s="44"/>
      <c r="FIQ152" s="7"/>
      <c r="FIR152" s="51"/>
      <c r="FIS152" s="52"/>
      <c r="FIT152" s="53"/>
      <c r="FIU152" s="54"/>
      <c r="FIV152" s="52"/>
      <c r="FIW152" s="53"/>
      <c r="FIX152" s="54"/>
      <c r="FIY152" s="52"/>
      <c r="FIZ152" s="53"/>
      <c r="FJA152" s="8"/>
      <c r="FJB152" s="45"/>
      <c r="FJC152" s="45"/>
      <c r="FJD152" s="46"/>
      <c r="FJE152" s="44"/>
      <c r="FJF152" s="7"/>
      <c r="FJG152" s="51"/>
      <c r="FJH152" s="52"/>
      <c r="FJI152" s="53"/>
      <c r="FJJ152" s="54"/>
      <c r="FJK152" s="52"/>
      <c r="FJL152" s="53"/>
      <c r="FJM152" s="54"/>
      <c r="FJN152" s="52"/>
      <c r="FJO152" s="53"/>
      <c r="FJP152" s="8"/>
      <c r="FJQ152" s="45"/>
      <c r="FJR152" s="45"/>
      <c r="FJS152" s="46"/>
      <c r="FJT152" s="44"/>
      <c r="FJU152" s="7"/>
      <c r="FJV152" s="51"/>
      <c r="FJW152" s="52"/>
      <c r="FJX152" s="53"/>
      <c r="FJY152" s="54"/>
      <c r="FJZ152" s="52"/>
      <c r="FKA152" s="53"/>
      <c r="FKB152" s="54"/>
      <c r="FKC152" s="52"/>
      <c r="FKD152" s="53"/>
      <c r="FKE152" s="8"/>
      <c r="FKF152" s="45"/>
      <c r="FKG152" s="45"/>
      <c r="FKH152" s="46"/>
      <c r="FKI152" s="44"/>
      <c r="FKJ152" s="7"/>
      <c r="FKK152" s="51"/>
      <c r="FKL152" s="52"/>
      <c r="FKM152" s="53"/>
      <c r="FKN152" s="54"/>
      <c r="FKO152" s="52"/>
      <c r="FKP152" s="53"/>
      <c r="FKQ152" s="54"/>
      <c r="FKR152" s="52"/>
      <c r="FKS152" s="53"/>
      <c r="FKT152" s="8"/>
      <c r="FKU152" s="45"/>
      <c r="FKV152" s="45"/>
      <c r="FKW152" s="46"/>
      <c r="FKX152" s="44"/>
      <c r="FKY152" s="7"/>
      <c r="FKZ152" s="51"/>
      <c r="FLA152" s="52"/>
      <c r="FLB152" s="53"/>
      <c r="FLC152" s="54"/>
      <c r="FLD152" s="52"/>
      <c r="FLE152" s="53"/>
      <c r="FLF152" s="54"/>
      <c r="FLG152" s="52"/>
      <c r="FLH152" s="53"/>
      <c r="FLI152" s="8"/>
      <c r="FLJ152" s="45"/>
      <c r="FLK152" s="45"/>
      <c r="FLL152" s="46"/>
      <c r="FLM152" s="44"/>
      <c r="FLN152" s="7"/>
      <c r="FLO152" s="51"/>
      <c r="FLP152" s="52"/>
      <c r="FLQ152" s="53"/>
      <c r="FLR152" s="54"/>
      <c r="FLS152" s="52"/>
      <c r="FLT152" s="53"/>
      <c r="FLU152" s="54"/>
      <c r="FLV152" s="52"/>
      <c r="FLW152" s="53"/>
      <c r="FLX152" s="8"/>
      <c r="FLY152" s="45"/>
      <c r="FLZ152" s="45"/>
      <c r="FMA152" s="46"/>
      <c r="FMB152" s="44"/>
      <c r="FMC152" s="7"/>
      <c r="FMD152" s="51"/>
      <c r="FME152" s="52"/>
      <c r="FMF152" s="53"/>
      <c r="FMG152" s="54"/>
      <c r="FMH152" s="52"/>
      <c r="FMI152" s="53"/>
      <c r="FMJ152" s="54"/>
      <c r="FMK152" s="52"/>
      <c r="FML152" s="53"/>
      <c r="FMM152" s="8"/>
      <c r="FMN152" s="45"/>
      <c r="FMO152" s="45"/>
      <c r="FMP152" s="46"/>
      <c r="FMQ152" s="44"/>
      <c r="FMR152" s="7"/>
      <c r="FMS152" s="51"/>
      <c r="FMT152" s="52"/>
      <c r="FMU152" s="53"/>
      <c r="FMV152" s="54"/>
      <c r="FMW152" s="52"/>
      <c r="FMX152" s="53"/>
      <c r="FMY152" s="54"/>
      <c r="FMZ152" s="52"/>
      <c r="FNA152" s="53"/>
      <c r="FNB152" s="8"/>
      <c r="FNC152" s="45"/>
      <c r="FND152" s="45"/>
      <c r="FNE152" s="46"/>
      <c r="FNF152" s="44"/>
      <c r="FNG152" s="7"/>
      <c r="FNH152" s="51"/>
      <c r="FNI152" s="52"/>
      <c r="FNJ152" s="53"/>
      <c r="FNK152" s="54"/>
      <c r="FNL152" s="52"/>
      <c r="FNM152" s="53"/>
      <c r="FNN152" s="54"/>
      <c r="FNO152" s="52"/>
      <c r="FNP152" s="53"/>
      <c r="FNQ152" s="8"/>
      <c r="FNR152" s="45"/>
      <c r="FNS152" s="45"/>
      <c r="FNT152" s="46"/>
      <c r="FNU152" s="44"/>
      <c r="FNV152" s="7"/>
      <c r="FNW152" s="51"/>
      <c r="FNX152" s="52"/>
      <c r="FNY152" s="53"/>
      <c r="FNZ152" s="54"/>
      <c r="FOA152" s="52"/>
      <c r="FOB152" s="53"/>
      <c r="FOC152" s="54"/>
      <c r="FOD152" s="52"/>
      <c r="FOE152" s="53"/>
      <c r="FOF152" s="8"/>
      <c r="FOG152" s="45"/>
      <c r="FOH152" s="45"/>
      <c r="FOI152" s="46"/>
      <c r="FOJ152" s="44"/>
      <c r="FOK152" s="7"/>
      <c r="FOL152" s="51"/>
      <c r="FOM152" s="52"/>
      <c r="FON152" s="53"/>
      <c r="FOO152" s="54"/>
      <c r="FOP152" s="52"/>
      <c r="FOQ152" s="53"/>
      <c r="FOR152" s="54"/>
      <c r="FOS152" s="52"/>
      <c r="FOT152" s="53"/>
      <c r="FOU152" s="8"/>
      <c r="FOV152" s="45"/>
      <c r="FOW152" s="45"/>
      <c r="FOX152" s="46"/>
      <c r="FOY152" s="44"/>
      <c r="FOZ152" s="7"/>
      <c r="FPA152" s="51"/>
      <c r="FPB152" s="52"/>
      <c r="FPC152" s="53"/>
      <c r="FPD152" s="54"/>
      <c r="FPE152" s="52"/>
      <c r="FPF152" s="53"/>
      <c r="FPG152" s="54"/>
      <c r="FPH152" s="52"/>
      <c r="FPI152" s="53"/>
      <c r="FPJ152" s="8"/>
      <c r="FPK152" s="45"/>
      <c r="FPL152" s="45"/>
      <c r="FPM152" s="46"/>
      <c r="FPN152" s="44"/>
      <c r="FPO152" s="7"/>
      <c r="FPP152" s="51"/>
      <c r="FPQ152" s="52"/>
      <c r="FPR152" s="53"/>
      <c r="FPS152" s="54"/>
      <c r="FPT152" s="52"/>
      <c r="FPU152" s="53"/>
      <c r="FPV152" s="54"/>
      <c r="FPW152" s="52"/>
      <c r="FPX152" s="53"/>
      <c r="FPY152" s="8"/>
      <c r="FPZ152" s="45"/>
      <c r="FQA152" s="45"/>
      <c r="FQB152" s="46"/>
      <c r="FQC152" s="44"/>
      <c r="FQD152" s="7"/>
      <c r="FQE152" s="51"/>
      <c r="FQF152" s="52"/>
      <c r="FQG152" s="53"/>
      <c r="FQH152" s="54"/>
      <c r="FQI152" s="52"/>
      <c r="FQJ152" s="53"/>
      <c r="FQK152" s="54"/>
      <c r="FQL152" s="52"/>
      <c r="FQM152" s="53"/>
      <c r="FQN152" s="8"/>
      <c r="FQO152" s="45"/>
      <c r="FQP152" s="45"/>
      <c r="FQQ152" s="46"/>
      <c r="FQR152" s="44"/>
      <c r="FQS152" s="7"/>
      <c r="FQT152" s="51"/>
      <c r="FQU152" s="52"/>
      <c r="FQV152" s="53"/>
      <c r="FQW152" s="54"/>
      <c r="FQX152" s="52"/>
      <c r="FQY152" s="53"/>
      <c r="FQZ152" s="54"/>
      <c r="FRA152" s="52"/>
      <c r="FRB152" s="53"/>
      <c r="FRC152" s="8"/>
      <c r="FRD152" s="45"/>
      <c r="FRE152" s="45"/>
      <c r="FRF152" s="46"/>
      <c r="FRG152" s="44"/>
      <c r="FRH152" s="7"/>
      <c r="FRI152" s="51"/>
      <c r="FRJ152" s="52"/>
      <c r="FRK152" s="53"/>
      <c r="FRL152" s="54"/>
      <c r="FRM152" s="52"/>
      <c r="FRN152" s="53"/>
      <c r="FRO152" s="54"/>
      <c r="FRP152" s="52"/>
      <c r="FRQ152" s="53"/>
      <c r="FRR152" s="8"/>
      <c r="FRS152" s="45"/>
      <c r="FRT152" s="45"/>
      <c r="FRU152" s="46"/>
      <c r="FRV152" s="44"/>
      <c r="FRW152" s="7"/>
      <c r="FRX152" s="51"/>
      <c r="FRY152" s="52"/>
      <c r="FRZ152" s="53"/>
      <c r="FSA152" s="54"/>
      <c r="FSB152" s="52"/>
      <c r="FSC152" s="53"/>
      <c r="FSD152" s="54"/>
      <c r="FSE152" s="52"/>
      <c r="FSF152" s="53"/>
      <c r="FSG152" s="8"/>
      <c r="FSH152" s="45"/>
      <c r="FSI152" s="45"/>
      <c r="FSJ152" s="46"/>
      <c r="FSK152" s="44"/>
      <c r="FSL152" s="7"/>
      <c r="FSM152" s="51"/>
      <c r="FSN152" s="52"/>
      <c r="FSO152" s="53"/>
      <c r="FSP152" s="54"/>
      <c r="FSQ152" s="52"/>
      <c r="FSR152" s="53"/>
      <c r="FSS152" s="54"/>
      <c r="FST152" s="52"/>
      <c r="FSU152" s="53"/>
      <c r="FSV152" s="8"/>
      <c r="FSW152" s="45"/>
      <c r="FSX152" s="45"/>
      <c r="FSY152" s="46"/>
      <c r="FSZ152" s="44"/>
      <c r="FTA152" s="7"/>
      <c r="FTB152" s="51"/>
      <c r="FTC152" s="52"/>
      <c r="FTD152" s="53"/>
      <c r="FTE152" s="54"/>
      <c r="FTF152" s="52"/>
      <c r="FTG152" s="53"/>
      <c r="FTH152" s="54"/>
      <c r="FTI152" s="52"/>
      <c r="FTJ152" s="53"/>
      <c r="FTK152" s="8"/>
      <c r="FTL152" s="45"/>
      <c r="FTM152" s="45"/>
      <c r="FTN152" s="46"/>
      <c r="FTO152" s="44"/>
      <c r="FTP152" s="7"/>
      <c r="FTQ152" s="51"/>
      <c r="FTR152" s="52"/>
      <c r="FTS152" s="53"/>
      <c r="FTT152" s="54"/>
      <c r="FTU152" s="52"/>
      <c r="FTV152" s="53"/>
      <c r="FTW152" s="54"/>
      <c r="FTX152" s="52"/>
      <c r="FTY152" s="53"/>
      <c r="FTZ152" s="8"/>
      <c r="FUA152" s="45"/>
      <c r="FUB152" s="45"/>
      <c r="FUC152" s="46"/>
      <c r="FUD152" s="44"/>
      <c r="FUE152" s="7"/>
      <c r="FUF152" s="51"/>
      <c r="FUG152" s="52"/>
      <c r="FUH152" s="53"/>
      <c r="FUI152" s="54"/>
      <c r="FUJ152" s="52"/>
      <c r="FUK152" s="53"/>
      <c r="FUL152" s="54"/>
      <c r="FUM152" s="52"/>
      <c r="FUN152" s="53"/>
      <c r="FUO152" s="8"/>
      <c r="FUP152" s="45"/>
      <c r="FUQ152" s="45"/>
      <c r="FUR152" s="46"/>
      <c r="FUS152" s="44"/>
      <c r="FUT152" s="7"/>
      <c r="FUU152" s="51"/>
      <c r="FUV152" s="52"/>
      <c r="FUW152" s="53"/>
      <c r="FUX152" s="54"/>
      <c r="FUY152" s="52"/>
      <c r="FUZ152" s="53"/>
      <c r="FVA152" s="54"/>
      <c r="FVB152" s="52"/>
      <c r="FVC152" s="53"/>
      <c r="FVD152" s="8"/>
      <c r="FVE152" s="45"/>
      <c r="FVF152" s="45"/>
      <c r="FVG152" s="46"/>
      <c r="FVH152" s="44"/>
      <c r="FVI152" s="7"/>
      <c r="FVJ152" s="51"/>
      <c r="FVK152" s="52"/>
      <c r="FVL152" s="53"/>
      <c r="FVM152" s="54"/>
      <c r="FVN152" s="52"/>
      <c r="FVO152" s="53"/>
      <c r="FVP152" s="54"/>
      <c r="FVQ152" s="52"/>
      <c r="FVR152" s="53"/>
      <c r="FVS152" s="8"/>
      <c r="FVT152" s="45"/>
      <c r="FVU152" s="45"/>
      <c r="FVV152" s="46"/>
      <c r="FVW152" s="44"/>
      <c r="FVX152" s="7"/>
      <c r="FVY152" s="51"/>
      <c r="FVZ152" s="52"/>
      <c r="FWA152" s="53"/>
      <c r="FWB152" s="54"/>
      <c r="FWC152" s="52"/>
      <c r="FWD152" s="53"/>
      <c r="FWE152" s="54"/>
      <c r="FWF152" s="52"/>
      <c r="FWG152" s="53"/>
      <c r="FWH152" s="8"/>
      <c r="FWI152" s="45"/>
      <c r="FWJ152" s="45"/>
      <c r="FWK152" s="46"/>
      <c r="FWL152" s="44"/>
      <c r="FWM152" s="7"/>
      <c r="FWN152" s="51"/>
      <c r="FWO152" s="52"/>
      <c r="FWP152" s="53"/>
      <c r="FWQ152" s="54"/>
      <c r="FWR152" s="52"/>
      <c r="FWS152" s="53"/>
      <c r="FWT152" s="54"/>
      <c r="FWU152" s="52"/>
      <c r="FWV152" s="53"/>
      <c r="FWW152" s="8"/>
      <c r="FWX152" s="45"/>
      <c r="FWY152" s="45"/>
      <c r="FWZ152" s="46"/>
      <c r="FXA152" s="44"/>
      <c r="FXB152" s="7"/>
      <c r="FXC152" s="51"/>
      <c r="FXD152" s="52"/>
      <c r="FXE152" s="53"/>
      <c r="FXF152" s="54"/>
      <c r="FXG152" s="52"/>
      <c r="FXH152" s="53"/>
      <c r="FXI152" s="54"/>
      <c r="FXJ152" s="52"/>
      <c r="FXK152" s="53"/>
      <c r="FXL152" s="8"/>
      <c r="FXM152" s="45"/>
      <c r="FXN152" s="45"/>
      <c r="FXO152" s="46"/>
      <c r="FXP152" s="44"/>
      <c r="FXQ152" s="7"/>
      <c r="FXR152" s="51"/>
      <c r="FXS152" s="52"/>
      <c r="FXT152" s="53"/>
      <c r="FXU152" s="54"/>
      <c r="FXV152" s="52"/>
      <c r="FXW152" s="53"/>
      <c r="FXX152" s="54"/>
      <c r="FXY152" s="52"/>
      <c r="FXZ152" s="53"/>
      <c r="FYA152" s="8"/>
      <c r="FYB152" s="45"/>
      <c r="FYC152" s="45"/>
      <c r="FYD152" s="46"/>
      <c r="FYE152" s="44"/>
      <c r="FYF152" s="7"/>
      <c r="FYG152" s="51"/>
      <c r="FYH152" s="52"/>
      <c r="FYI152" s="53"/>
      <c r="FYJ152" s="54"/>
      <c r="FYK152" s="52"/>
      <c r="FYL152" s="53"/>
      <c r="FYM152" s="54"/>
      <c r="FYN152" s="52"/>
      <c r="FYO152" s="53"/>
      <c r="FYP152" s="8"/>
      <c r="FYQ152" s="45"/>
      <c r="FYR152" s="45"/>
      <c r="FYS152" s="46"/>
      <c r="FYT152" s="44"/>
      <c r="FYU152" s="7"/>
      <c r="FYV152" s="51"/>
      <c r="FYW152" s="52"/>
      <c r="FYX152" s="53"/>
      <c r="FYY152" s="54"/>
      <c r="FYZ152" s="52"/>
      <c r="FZA152" s="53"/>
      <c r="FZB152" s="54"/>
      <c r="FZC152" s="52"/>
      <c r="FZD152" s="53"/>
      <c r="FZE152" s="8"/>
      <c r="FZF152" s="45"/>
      <c r="FZG152" s="45"/>
      <c r="FZH152" s="46"/>
      <c r="FZI152" s="44"/>
      <c r="FZJ152" s="7"/>
      <c r="FZK152" s="51"/>
      <c r="FZL152" s="52"/>
      <c r="FZM152" s="53"/>
      <c r="FZN152" s="54"/>
      <c r="FZO152" s="52"/>
      <c r="FZP152" s="53"/>
      <c r="FZQ152" s="54"/>
      <c r="FZR152" s="52"/>
      <c r="FZS152" s="53"/>
      <c r="FZT152" s="8"/>
      <c r="FZU152" s="45"/>
      <c r="FZV152" s="45"/>
      <c r="FZW152" s="46"/>
      <c r="FZX152" s="44"/>
      <c r="FZY152" s="7"/>
      <c r="FZZ152" s="51"/>
      <c r="GAA152" s="52"/>
      <c r="GAB152" s="53"/>
      <c r="GAC152" s="54"/>
      <c r="GAD152" s="52"/>
      <c r="GAE152" s="53"/>
      <c r="GAF152" s="54"/>
      <c r="GAG152" s="52"/>
      <c r="GAH152" s="53"/>
      <c r="GAI152" s="8"/>
      <c r="GAJ152" s="45"/>
      <c r="GAK152" s="45"/>
      <c r="GAL152" s="46"/>
      <c r="GAM152" s="44"/>
      <c r="GAN152" s="7"/>
      <c r="GAO152" s="51"/>
      <c r="GAP152" s="52"/>
      <c r="GAQ152" s="53"/>
      <c r="GAR152" s="54"/>
      <c r="GAS152" s="52"/>
      <c r="GAT152" s="53"/>
      <c r="GAU152" s="54"/>
      <c r="GAV152" s="52"/>
      <c r="GAW152" s="53"/>
      <c r="GAX152" s="8"/>
      <c r="GAY152" s="45"/>
      <c r="GAZ152" s="45"/>
      <c r="GBA152" s="46"/>
      <c r="GBB152" s="44"/>
      <c r="GBC152" s="7"/>
      <c r="GBD152" s="51"/>
      <c r="GBE152" s="52"/>
      <c r="GBF152" s="53"/>
      <c r="GBG152" s="54"/>
      <c r="GBH152" s="52"/>
      <c r="GBI152" s="53"/>
      <c r="GBJ152" s="54"/>
      <c r="GBK152" s="52"/>
      <c r="GBL152" s="53"/>
      <c r="GBM152" s="8"/>
      <c r="GBN152" s="45"/>
      <c r="GBO152" s="45"/>
      <c r="GBP152" s="46"/>
      <c r="GBQ152" s="44"/>
      <c r="GBR152" s="7"/>
      <c r="GBS152" s="51"/>
      <c r="GBT152" s="52"/>
      <c r="GBU152" s="53"/>
      <c r="GBV152" s="54"/>
      <c r="GBW152" s="52"/>
      <c r="GBX152" s="53"/>
      <c r="GBY152" s="54"/>
      <c r="GBZ152" s="52"/>
      <c r="GCA152" s="53"/>
      <c r="GCB152" s="8"/>
      <c r="GCC152" s="45"/>
      <c r="GCD152" s="45"/>
      <c r="GCE152" s="46"/>
      <c r="GCF152" s="44"/>
      <c r="GCG152" s="7"/>
      <c r="GCH152" s="51"/>
      <c r="GCI152" s="52"/>
      <c r="GCJ152" s="53"/>
      <c r="GCK152" s="54"/>
      <c r="GCL152" s="52"/>
      <c r="GCM152" s="53"/>
      <c r="GCN152" s="54"/>
      <c r="GCO152" s="52"/>
      <c r="GCP152" s="53"/>
      <c r="GCQ152" s="8"/>
      <c r="GCR152" s="45"/>
      <c r="GCS152" s="45"/>
      <c r="GCT152" s="46"/>
      <c r="GCU152" s="44"/>
      <c r="GCV152" s="7"/>
      <c r="GCW152" s="51"/>
      <c r="GCX152" s="52"/>
      <c r="GCY152" s="53"/>
      <c r="GCZ152" s="54"/>
      <c r="GDA152" s="52"/>
      <c r="GDB152" s="53"/>
      <c r="GDC152" s="54"/>
      <c r="GDD152" s="52"/>
      <c r="GDE152" s="53"/>
      <c r="GDF152" s="8"/>
      <c r="GDG152" s="45"/>
      <c r="GDH152" s="45"/>
      <c r="GDI152" s="46"/>
      <c r="GDJ152" s="44"/>
      <c r="GDK152" s="7"/>
      <c r="GDL152" s="51"/>
      <c r="GDM152" s="52"/>
      <c r="GDN152" s="53"/>
      <c r="GDO152" s="54"/>
      <c r="GDP152" s="52"/>
      <c r="GDQ152" s="53"/>
      <c r="GDR152" s="54"/>
      <c r="GDS152" s="52"/>
      <c r="GDT152" s="53"/>
      <c r="GDU152" s="8"/>
      <c r="GDV152" s="45"/>
      <c r="GDW152" s="45"/>
      <c r="GDX152" s="46"/>
      <c r="GDY152" s="44"/>
      <c r="GDZ152" s="7"/>
      <c r="GEA152" s="51"/>
      <c r="GEB152" s="52"/>
      <c r="GEC152" s="53"/>
      <c r="GED152" s="54"/>
      <c r="GEE152" s="52"/>
      <c r="GEF152" s="53"/>
      <c r="GEG152" s="54"/>
      <c r="GEH152" s="52"/>
      <c r="GEI152" s="53"/>
      <c r="GEJ152" s="8"/>
      <c r="GEK152" s="45"/>
      <c r="GEL152" s="45"/>
      <c r="GEM152" s="46"/>
      <c r="GEN152" s="44"/>
      <c r="GEO152" s="7"/>
      <c r="GEP152" s="51"/>
      <c r="GEQ152" s="52"/>
      <c r="GER152" s="53"/>
      <c r="GES152" s="54"/>
      <c r="GET152" s="52"/>
      <c r="GEU152" s="53"/>
      <c r="GEV152" s="54"/>
      <c r="GEW152" s="52"/>
      <c r="GEX152" s="53"/>
      <c r="GEY152" s="8"/>
      <c r="GEZ152" s="45"/>
      <c r="GFA152" s="45"/>
      <c r="GFB152" s="46"/>
      <c r="GFC152" s="44"/>
      <c r="GFD152" s="7"/>
      <c r="GFE152" s="51"/>
      <c r="GFF152" s="52"/>
      <c r="GFG152" s="53"/>
      <c r="GFH152" s="54"/>
      <c r="GFI152" s="52"/>
      <c r="GFJ152" s="53"/>
      <c r="GFK152" s="54"/>
      <c r="GFL152" s="52"/>
      <c r="GFM152" s="53"/>
      <c r="GFN152" s="8"/>
      <c r="GFO152" s="45"/>
      <c r="GFP152" s="45"/>
      <c r="GFQ152" s="46"/>
      <c r="GFR152" s="44"/>
      <c r="GFS152" s="7"/>
      <c r="GFT152" s="51"/>
      <c r="GFU152" s="52"/>
      <c r="GFV152" s="53"/>
      <c r="GFW152" s="54"/>
      <c r="GFX152" s="52"/>
      <c r="GFY152" s="53"/>
      <c r="GFZ152" s="54"/>
      <c r="GGA152" s="52"/>
      <c r="GGB152" s="53"/>
      <c r="GGC152" s="8"/>
      <c r="GGD152" s="45"/>
      <c r="GGE152" s="45"/>
      <c r="GGF152" s="46"/>
      <c r="GGG152" s="44"/>
      <c r="GGH152" s="7"/>
      <c r="GGI152" s="51"/>
      <c r="GGJ152" s="52"/>
      <c r="GGK152" s="53"/>
      <c r="GGL152" s="54"/>
      <c r="GGM152" s="52"/>
      <c r="GGN152" s="53"/>
      <c r="GGO152" s="54"/>
      <c r="GGP152" s="52"/>
      <c r="GGQ152" s="53"/>
      <c r="GGR152" s="8"/>
      <c r="GGS152" s="45"/>
      <c r="GGT152" s="45"/>
      <c r="GGU152" s="46"/>
      <c r="GGV152" s="44"/>
      <c r="GGW152" s="7"/>
      <c r="GGX152" s="51"/>
      <c r="GGY152" s="52"/>
      <c r="GGZ152" s="53"/>
      <c r="GHA152" s="54"/>
      <c r="GHB152" s="52"/>
      <c r="GHC152" s="53"/>
      <c r="GHD152" s="54"/>
      <c r="GHE152" s="52"/>
      <c r="GHF152" s="53"/>
      <c r="GHG152" s="8"/>
      <c r="GHH152" s="45"/>
      <c r="GHI152" s="45"/>
      <c r="GHJ152" s="46"/>
      <c r="GHK152" s="44"/>
      <c r="GHL152" s="7"/>
      <c r="GHM152" s="51"/>
      <c r="GHN152" s="52"/>
      <c r="GHO152" s="53"/>
      <c r="GHP152" s="54"/>
      <c r="GHQ152" s="52"/>
      <c r="GHR152" s="53"/>
      <c r="GHS152" s="54"/>
      <c r="GHT152" s="52"/>
      <c r="GHU152" s="53"/>
      <c r="GHV152" s="8"/>
      <c r="GHW152" s="45"/>
      <c r="GHX152" s="45"/>
      <c r="GHY152" s="46"/>
      <c r="GHZ152" s="44"/>
      <c r="GIA152" s="7"/>
      <c r="GIB152" s="51"/>
      <c r="GIC152" s="52"/>
      <c r="GID152" s="53"/>
      <c r="GIE152" s="54"/>
      <c r="GIF152" s="52"/>
      <c r="GIG152" s="53"/>
      <c r="GIH152" s="54"/>
      <c r="GII152" s="52"/>
      <c r="GIJ152" s="53"/>
      <c r="GIK152" s="8"/>
      <c r="GIL152" s="45"/>
      <c r="GIM152" s="45"/>
      <c r="GIN152" s="46"/>
      <c r="GIO152" s="44"/>
      <c r="GIP152" s="7"/>
      <c r="GIQ152" s="51"/>
      <c r="GIR152" s="52"/>
      <c r="GIS152" s="53"/>
      <c r="GIT152" s="54"/>
      <c r="GIU152" s="52"/>
      <c r="GIV152" s="53"/>
      <c r="GIW152" s="54"/>
      <c r="GIX152" s="52"/>
      <c r="GIY152" s="53"/>
      <c r="GIZ152" s="8"/>
      <c r="GJA152" s="45"/>
      <c r="GJB152" s="45"/>
      <c r="GJC152" s="46"/>
      <c r="GJD152" s="44"/>
      <c r="GJE152" s="7"/>
      <c r="GJF152" s="51"/>
      <c r="GJG152" s="52"/>
      <c r="GJH152" s="53"/>
      <c r="GJI152" s="54"/>
      <c r="GJJ152" s="52"/>
      <c r="GJK152" s="53"/>
      <c r="GJL152" s="54"/>
      <c r="GJM152" s="52"/>
      <c r="GJN152" s="53"/>
      <c r="GJO152" s="8"/>
      <c r="GJP152" s="45"/>
      <c r="GJQ152" s="45"/>
      <c r="GJR152" s="46"/>
      <c r="GJS152" s="44"/>
      <c r="GJT152" s="7"/>
      <c r="GJU152" s="51"/>
      <c r="GJV152" s="52"/>
      <c r="GJW152" s="53"/>
      <c r="GJX152" s="54"/>
      <c r="GJY152" s="52"/>
      <c r="GJZ152" s="53"/>
      <c r="GKA152" s="54"/>
      <c r="GKB152" s="52"/>
      <c r="GKC152" s="53"/>
      <c r="GKD152" s="8"/>
      <c r="GKE152" s="45"/>
      <c r="GKF152" s="45"/>
      <c r="GKG152" s="46"/>
      <c r="GKH152" s="44"/>
      <c r="GKI152" s="7"/>
      <c r="GKJ152" s="51"/>
      <c r="GKK152" s="52"/>
      <c r="GKL152" s="53"/>
      <c r="GKM152" s="54"/>
      <c r="GKN152" s="52"/>
      <c r="GKO152" s="53"/>
      <c r="GKP152" s="54"/>
      <c r="GKQ152" s="52"/>
      <c r="GKR152" s="53"/>
      <c r="GKS152" s="8"/>
      <c r="GKT152" s="45"/>
      <c r="GKU152" s="45"/>
      <c r="GKV152" s="46"/>
      <c r="GKW152" s="44"/>
      <c r="GKX152" s="7"/>
      <c r="GKY152" s="51"/>
      <c r="GKZ152" s="52"/>
      <c r="GLA152" s="53"/>
      <c r="GLB152" s="54"/>
      <c r="GLC152" s="52"/>
      <c r="GLD152" s="53"/>
      <c r="GLE152" s="54"/>
      <c r="GLF152" s="52"/>
      <c r="GLG152" s="53"/>
      <c r="GLH152" s="8"/>
      <c r="GLI152" s="45"/>
      <c r="GLJ152" s="45"/>
      <c r="GLK152" s="46"/>
      <c r="GLL152" s="44"/>
      <c r="GLM152" s="7"/>
      <c r="GLN152" s="51"/>
      <c r="GLO152" s="52"/>
      <c r="GLP152" s="53"/>
      <c r="GLQ152" s="54"/>
      <c r="GLR152" s="52"/>
      <c r="GLS152" s="53"/>
      <c r="GLT152" s="54"/>
      <c r="GLU152" s="52"/>
      <c r="GLV152" s="53"/>
      <c r="GLW152" s="8"/>
      <c r="GLX152" s="45"/>
      <c r="GLY152" s="45"/>
      <c r="GLZ152" s="46"/>
      <c r="GMA152" s="44"/>
      <c r="GMB152" s="7"/>
      <c r="GMC152" s="51"/>
      <c r="GMD152" s="52"/>
      <c r="GME152" s="53"/>
      <c r="GMF152" s="54"/>
      <c r="GMG152" s="52"/>
      <c r="GMH152" s="53"/>
      <c r="GMI152" s="54"/>
      <c r="GMJ152" s="52"/>
      <c r="GMK152" s="53"/>
      <c r="GML152" s="8"/>
      <c r="GMM152" s="45"/>
      <c r="GMN152" s="45"/>
      <c r="GMO152" s="46"/>
      <c r="GMP152" s="44"/>
      <c r="GMQ152" s="7"/>
      <c r="GMR152" s="51"/>
      <c r="GMS152" s="52"/>
      <c r="GMT152" s="53"/>
      <c r="GMU152" s="54"/>
      <c r="GMV152" s="52"/>
      <c r="GMW152" s="53"/>
      <c r="GMX152" s="54"/>
      <c r="GMY152" s="52"/>
      <c r="GMZ152" s="53"/>
      <c r="GNA152" s="8"/>
      <c r="GNB152" s="45"/>
      <c r="GNC152" s="45"/>
      <c r="GND152" s="46"/>
      <c r="GNE152" s="44"/>
      <c r="GNF152" s="7"/>
      <c r="GNG152" s="51"/>
      <c r="GNH152" s="52"/>
      <c r="GNI152" s="53"/>
      <c r="GNJ152" s="54"/>
      <c r="GNK152" s="52"/>
      <c r="GNL152" s="53"/>
      <c r="GNM152" s="54"/>
      <c r="GNN152" s="52"/>
      <c r="GNO152" s="53"/>
      <c r="GNP152" s="8"/>
      <c r="GNQ152" s="45"/>
      <c r="GNR152" s="45"/>
      <c r="GNS152" s="46"/>
      <c r="GNT152" s="44"/>
      <c r="GNU152" s="7"/>
      <c r="GNV152" s="51"/>
      <c r="GNW152" s="52"/>
      <c r="GNX152" s="53"/>
      <c r="GNY152" s="54"/>
      <c r="GNZ152" s="52"/>
      <c r="GOA152" s="53"/>
      <c r="GOB152" s="54"/>
      <c r="GOC152" s="52"/>
      <c r="GOD152" s="53"/>
      <c r="GOE152" s="8"/>
      <c r="GOF152" s="45"/>
      <c r="GOG152" s="45"/>
      <c r="GOH152" s="46"/>
      <c r="GOI152" s="44"/>
      <c r="GOJ152" s="7"/>
      <c r="GOK152" s="51"/>
      <c r="GOL152" s="52"/>
      <c r="GOM152" s="53"/>
      <c r="GON152" s="54"/>
      <c r="GOO152" s="52"/>
      <c r="GOP152" s="53"/>
      <c r="GOQ152" s="54"/>
      <c r="GOR152" s="52"/>
      <c r="GOS152" s="53"/>
      <c r="GOT152" s="8"/>
      <c r="GOU152" s="45"/>
      <c r="GOV152" s="45"/>
      <c r="GOW152" s="46"/>
      <c r="GOX152" s="44"/>
      <c r="GOY152" s="7"/>
      <c r="GOZ152" s="51"/>
      <c r="GPA152" s="52"/>
      <c r="GPB152" s="53"/>
      <c r="GPC152" s="54"/>
      <c r="GPD152" s="52"/>
      <c r="GPE152" s="53"/>
      <c r="GPF152" s="54"/>
      <c r="GPG152" s="52"/>
      <c r="GPH152" s="53"/>
      <c r="GPI152" s="8"/>
      <c r="GPJ152" s="45"/>
      <c r="GPK152" s="45"/>
      <c r="GPL152" s="46"/>
      <c r="GPM152" s="44"/>
      <c r="GPN152" s="7"/>
      <c r="GPO152" s="51"/>
      <c r="GPP152" s="52"/>
      <c r="GPQ152" s="53"/>
      <c r="GPR152" s="54"/>
      <c r="GPS152" s="52"/>
      <c r="GPT152" s="53"/>
      <c r="GPU152" s="54"/>
      <c r="GPV152" s="52"/>
      <c r="GPW152" s="53"/>
      <c r="GPX152" s="8"/>
      <c r="GPY152" s="45"/>
      <c r="GPZ152" s="45"/>
      <c r="GQA152" s="46"/>
      <c r="GQB152" s="44"/>
      <c r="GQC152" s="7"/>
      <c r="GQD152" s="51"/>
      <c r="GQE152" s="52"/>
      <c r="GQF152" s="53"/>
      <c r="GQG152" s="54"/>
      <c r="GQH152" s="52"/>
      <c r="GQI152" s="53"/>
      <c r="GQJ152" s="54"/>
      <c r="GQK152" s="52"/>
      <c r="GQL152" s="53"/>
      <c r="GQM152" s="8"/>
      <c r="GQN152" s="45"/>
      <c r="GQO152" s="45"/>
      <c r="GQP152" s="46"/>
      <c r="GQQ152" s="44"/>
      <c r="GQR152" s="7"/>
      <c r="GQS152" s="51"/>
      <c r="GQT152" s="52"/>
      <c r="GQU152" s="53"/>
      <c r="GQV152" s="54"/>
      <c r="GQW152" s="52"/>
      <c r="GQX152" s="53"/>
      <c r="GQY152" s="54"/>
      <c r="GQZ152" s="52"/>
      <c r="GRA152" s="53"/>
      <c r="GRB152" s="8"/>
      <c r="GRC152" s="45"/>
      <c r="GRD152" s="45"/>
      <c r="GRE152" s="46"/>
      <c r="GRF152" s="44"/>
      <c r="GRG152" s="7"/>
      <c r="GRH152" s="51"/>
      <c r="GRI152" s="52"/>
      <c r="GRJ152" s="53"/>
      <c r="GRK152" s="54"/>
      <c r="GRL152" s="52"/>
      <c r="GRM152" s="53"/>
      <c r="GRN152" s="54"/>
      <c r="GRO152" s="52"/>
      <c r="GRP152" s="53"/>
      <c r="GRQ152" s="8"/>
      <c r="GRR152" s="45"/>
      <c r="GRS152" s="45"/>
      <c r="GRT152" s="46"/>
      <c r="GRU152" s="44"/>
      <c r="GRV152" s="7"/>
      <c r="GRW152" s="51"/>
      <c r="GRX152" s="52"/>
      <c r="GRY152" s="53"/>
      <c r="GRZ152" s="54"/>
      <c r="GSA152" s="52"/>
      <c r="GSB152" s="53"/>
      <c r="GSC152" s="54"/>
      <c r="GSD152" s="52"/>
      <c r="GSE152" s="53"/>
      <c r="GSF152" s="8"/>
      <c r="GSG152" s="45"/>
      <c r="GSH152" s="45"/>
      <c r="GSI152" s="46"/>
      <c r="GSJ152" s="44"/>
      <c r="GSK152" s="7"/>
      <c r="GSL152" s="51"/>
      <c r="GSM152" s="52"/>
      <c r="GSN152" s="53"/>
      <c r="GSO152" s="54"/>
      <c r="GSP152" s="52"/>
      <c r="GSQ152" s="53"/>
      <c r="GSR152" s="54"/>
      <c r="GSS152" s="52"/>
      <c r="GST152" s="53"/>
      <c r="GSU152" s="8"/>
      <c r="GSV152" s="45"/>
      <c r="GSW152" s="45"/>
      <c r="GSX152" s="46"/>
      <c r="GSY152" s="44"/>
      <c r="GSZ152" s="7"/>
      <c r="GTA152" s="51"/>
      <c r="GTB152" s="52"/>
      <c r="GTC152" s="53"/>
      <c r="GTD152" s="54"/>
      <c r="GTE152" s="52"/>
      <c r="GTF152" s="53"/>
      <c r="GTG152" s="54"/>
      <c r="GTH152" s="52"/>
      <c r="GTI152" s="53"/>
      <c r="GTJ152" s="8"/>
      <c r="GTK152" s="45"/>
      <c r="GTL152" s="45"/>
      <c r="GTM152" s="46"/>
      <c r="GTN152" s="44"/>
      <c r="GTO152" s="7"/>
      <c r="GTP152" s="51"/>
      <c r="GTQ152" s="52"/>
      <c r="GTR152" s="53"/>
      <c r="GTS152" s="54"/>
      <c r="GTT152" s="52"/>
      <c r="GTU152" s="53"/>
      <c r="GTV152" s="54"/>
      <c r="GTW152" s="52"/>
      <c r="GTX152" s="53"/>
      <c r="GTY152" s="8"/>
      <c r="GTZ152" s="45"/>
      <c r="GUA152" s="45"/>
      <c r="GUB152" s="46"/>
      <c r="GUC152" s="44"/>
      <c r="GUD152" s="7"/>
      <c r="GUE152" s="51"/>
      <c r="GUF152" s="52"/>
      <c r="GUG152" s="53"/>
      <c r="GUH152" s="54"/>
      <c r="GUI152" s="52"/>
      <c r="GUJ152" s="53"/>
      <c r="GUK152" s="54"/>
      <c r="GUL152" s="52"/>
      <c r="GUM152" s="53"/>
      <c r="GUN152" s="8"/>
      <c r="GUO152" s="45"/>
      <c r="GUP152" s="45"/>
      <c r="GUQ152" s="46"/>
      <c r="GUR152" s="44"/>
      <c r="GUS152" s="7"/>
      <c r="GUT152" s="51"/>
      <c r="GUU152" s="52"/>
      <c r="GUV152" s="53"/>
      <c r="GUW152" s="54"/>
      <c r="GUX152" s="52"/>
      <c r="GUY152" s="53"/>
      <c r="GUZ152" s="54"/>
      <c r="GVA152" s="52"/>
      <c r="GVB152" s="53"/>
      <c r="GVC152" s="8"/>
      <c r="GVD152" s="45"/>
      <c r="GVE152" s="45"/>
      <c r="GVF152" s="46"/>
      <c r="GVG152" s="44"/>
      <c r="GVH152" s="7"/>
      <c r="GVI152" s="51"/>
      <c r="GVJ152" s="52"/>
      <c r="GVK152" s="53"/>
      <c r="GVL152" s="54"/>
      <c r="GVM152" s="52"/>
      <c r="GVN152" s="53"/>
      <c r="GVO152" s="54"/>
      <c r="GVP152" s="52"/>
      <c r="GVQ152" s="53"/>
      <c r="GVR152" s="8"/>
      <c r="GVS152" s="45"/>
      <c r="GVT152" s="45"/>
      <c r="GVU152" s="46"/>
      <c r="GVV152" s="44"/>
      <c r="GVW152" s="7"/>
      <c r="GVX152" s="51"/>
      <c r="GVY152" s="52"/>
      <c r="GVZ152" s="53"/>
      <c r="GWA152" s="54"/>
      <c r="GWB152" s="52"/>
      <c r="GWC152" s="53"/>
      <c r="GWD152" s="54"/>
      <c r="GWE152" s="52"/>
      <c r="GWF152" s="53"/>
      <c r="GWG152" s="8"/>
      <c r="GWH152" s="45"/>
      <c r="GWI152" s="45"/>
      <c r="GWJ152" s="46"/>
      <c r="GWK152" s="44"/>
      <c r="GWL152" s="7"/>
      <c r="GWM152" s="51"/>
      <c r="GWN152" s="52"/>
      <c r="GWO152" s="53"/>
      <c r="GWP152" s="54"/>
      <c r="GWQ152" s="52"/>
      <c r="GWR152" s="53"/>
      <c r="GWS152" s="54"/>
      <c r="GWT152" s="52"/>
      <c r="GWU152" s="53"/>
      <c r="GWV152" s="8"/>
      <c r="GWW152" s="45"/>
      <c r="GWX152" s="45"/>
      <c r="GWY152" s="46"/>
      <c r="GWZ152" s="44"/>
      <c r="GXA152" s="7"/>
      <c r="GXB152" s="51"/>
      <c r="GXC152" s="52"/>
      <c r="GXD152" s="53"/>
      <c r="GXE152" s="54"/>
      <c r="GXF152" s="52"/>
      <c r="GXG152" s="53"/>
      <c r="GXH152" s="54"/>
      <c r="GXI152" s="52"/>
      <c r="GXJ152" s="53"/>
      <c r="GXK152" s="8"/>
      <c r="GXL152" s="45"/>
      <c r="GXM152" s="45"/>
      <c r="GXN152" s="46"/>
      <c r="GXO152" s="44"/>
      <c r="GXP152" s="7"/>
      <c r="GXQ152" s="51"/>
      <c r="GXR152" s="52"/>
      <c r="GXS152" s="53"/>
      <c r="GXT152" s="54"/>
      <c r="GXU152" s="52"/>
      <c r="GXV152" s="53"/>
      <c r="GXW152" s="54"/>
      <c r="GXX152" s="52"/>
      <c r="GXY152" s="53"/>
      <c r="GXZ152" s="8"/>
      <c r="GYA152" s="45"/>
      <c r="GYB152" s="45"/>
      <c r="GYC152" s="46"/>
      <c r="GYD152" s="44"/>
      <c r="GYE152" s="7"/>
      <c r="GYF152" s="51"/>
      <c r="GYG152" s="52"/>
      <c r="GYH152" s="53"/>
      <c r="GYI152" s="54"/>
      <c r="GYJ152" s="52"/>
      <c r="GYK152" s="53"/>
      <c r="GYL152" s="54"/>
      <c r="GYM152" s="52"/>
      <c r="GYN152" s="53"/>
      <c r="GYO152" s="8"/>
      <c r="GYP152" s="45"/>
      <c r="GYQ152" s="45"/>
      <c r="GYR152" s="46"/>
      <c r="GYS152" s="44"/>
      <c r="GYT152" s="7"/>
      <c r="GYU152" s="51"/>
      <c r="GYV152" s="52"/>
      <c r="GYW152" s="53"/>
      <c r="GYX152" s="54"/>
      <c r="GYY152" s="52"/>
      <c r="GYZ152" s="53"/>
      <c r="GZA152" s="54"/>
      <c r="GZB152" s="52"/>
      <c r="GZC152" s="53"/>
      <c r="GZD152" s="8"/>
      <c r="GZE152" s="45"/>
      <c r="GZF152" s="45"/>
      <c r="GZG152" s="46"/>
      <c r="GZH152" s="44"/>
      <c r="GZI152" s="7"/>
      <c r="GZJ152" s="51"/>
      <c r="GZK152" s="52"/>
      <c r="GZL152" s="53"/>
      <c r="GZM152" s="54"/>
      <c r="GZN152" s="52"/>
      <c r="GZO152" s="53"/>
      <c r="GZP152" s="54"/>
      <c r="GZQ152" s="52"/>
      <c r="GZR152" s="53"/>
      <c r="GZS152" s="8"/>
      <c r="GZT152" s="45"/>
      <c r="GZU152" s="45"/>
      <c r="GZV152" s="46"/>
      <c r="GZW152" s="44"/>
      <c r="GZX152" s="7"/>
      <c r="GZY152" s="51"/>
      <c r="GZZ152" s="52"/>
      <c r="HAA152" s="53"/>
      <c r="HAB152" s="54"/>
      <c r="HAC152" s="52"/>
      <c r="HAD152" s="53"/>
      <c r="HAE152" s="54"/>
      <c r="HAF152" s="52"/>
      <c r="HAG152" s="53"/>
      <c r="HAH152" s="8"/>
      <c r="HAI152" s="45"/>
      <c r="HAJ152" s="45"/>
      <c r="HAK152" s="46"/>
      <c r="HAL152" s="44"/>
      <c r="HAM152" s="7"/>
      <c r="HAN152" s="51"/>
      <c r="HAO152" s="52"/>
      <c r="HAP152" s="53"/>
      <c r="HAQ152" s="54"/>
      <c r="HAR152" s="52"/>
      <c r="HAS152" s="53"/>
      <c r="HAT152" s="54"/>
      <c r="HAU152" s="52"/>
      <c r="HAV152" s="53"/>
      <c r="HAW152" s="8"/>
      <c r="HAX152" s="45"/>
      <c r="HAY152" s="45"/>
      <c r="HAZ152" s="46"/>
      <c r="HBA152" s="44"/>
      <c r="HBB152" s="7"/>
      <c r="HBC152" s="51"/>
      <c r="HBD152" s="52"/>
      <c r="HBE152" s="53"/>
      <c r="HBF152" s="54"/>
      <c r="HBG152" s="52"/>
      <c r="HBH152" s="53"/>
      <c r="HBI152" s="54"/>
      <c r="HBJ152" s="52"/>
      <c r="HBK152" s="53"/>
      <c r="HBL152" s="8"/>
      <c r="HBM152" s="45"/>
      <c r="HBN152" s="45"/>
      <c r="HBO152" s="46"/>
      <c r="HBP152" s="44"/>
      <c r="HBQ152" s="7"/>
      <c r="HBR152" s="51"/>
      <c r="HBS152" s="52"/>
      <c r="HBT152" s="53"/>
      <c r="HBU152" s="54"/>
      <c r="HBV152" s="52"/>
      <c r="HBW152" s="53"/>
      <c r="HBX152" s="54"/>
      <c r="HBY152" s="52"/>
      <c r="HBZ152" s="53"/>
      <c r="HCA152" s="8"/>
      <c r="HCB152" s="45"/>
      <c r="HCC152" s="45"/>
      <c r="HCD152" s="46"/>
      <c r="HCE152" s="44"/>
      <c r="HCF152" s="7"/>
      <c r="HCG152" s="51"/>
      <c r="HCH152" s="52"/>
      <c r="HCI152" s="53"/>
      <c r="HCJ152" s="54"/>
      <c r="HCK152" s="52"/>
      <c r="HCL152" s="53"/>
      <c r="HCM152" s="54"/>
      <c r="HCN152" s="52"/>
      <c r="HCO152" s="53"/>
      <c r="HCP152" s="8"/>
      <c r="HCQ152" s="45"/>
      <c r="HCR152" s="45"/>
      <c r="HCS152" s="46"/>
      <c r="HCT152" s="44"/>
      <c r="HCU152" s="7"/>
      <c r="HCV152" s="51"/>
      <c r="HCW152" s="52"/>
      <c r="HCX152" s="53"/>
      <c r="HCY152" s="54"/>
      <c r="HCZ152" s="52"/>
      <c r="HDA152" s="53"/>
      <c r="HDB152" s="54"/>
      <c r="HDC152" s="52"/>
      <c r="HDD152" s="53"/>
      <c r="HDE152" s="8"/>
      <c r="HDF152" s="45"/>
      <c r="HDG152" s="45"/>
      <c r="HDH152" s="46"/>
      <c r="HDI152" s="44"/>
      <c r="HDJ152" s="7"/>
      <c r="HDK152" s="51"/>
      <c r="HDL152" s="52"/>
      <c r="HDM152" s="53"/>
      <c r="HDN152" s="54"/>
      <c r="HDO152" s="52"/>
      <c r="HDP152" s="53"/>
      <c r="HDQ152" s="54"/>
      <c r="HDR152" s="52"/>
      <c r="HDS152" s="53"/>
      <c r="HDT152" s="8"/>
      <c r="HDU152" s="45"/>
      <c r="HDV152" s="45"/>
      <c r="HDW152" s="46"/>
      <c r="HDX152" s="44"/>
      <c r="HDY152" s="7"/>
      <c r="HDZ152" s="51"/>
      <c r="HEA152" s="52"/>
      <c r="HEB152" s="53"/>
      <c r="HEC152" s="54"/>
      <c r="HED152" s="52"/>
      <c r="HEE152" s="53"/>
      <c r="HEF152" s="54"/>
      <c r="HEG152" s="52"/>
      <c r="HEH152" s="53"/>
      <c r="HEI152" s="8"/>
      <c r="HEJ152" s="45"/>
      <c r="HEK152" s="45"/>
      <c r="HEL152" s="46"/>
      <c r="HEM152" s="44"/>
      <c r="HEN152" s="7"/>
      <c r="HEO152" s="51"/>
      <c r="HEP152" s="52"/>
      <c r="HEQ152" s="53"/>
      <c r="HER152" s="54"/>
      <c r="HES152" s="52"/>
      <c r="HET152" s="53"/>
      <c r="HEU152" s="54"/>
      <c r="HEV152" s="52"/>
      <c r="HEW152" s="53"/>
      <c r="HEX152" s="8"/>
      <c r="HEY152" s="45"/>
      <c r="HEZ152" s="45"/>
      <c r="HFA152" s="46"/>
      <c r="HFB152" s="44"/>
      <c r="HFC152" s="7"/>
      <c r="HFD152" s="51"/>
      <c r="HFE152" s="52"/>
      <c r="HFF152" s="53"/>
      <c r="HFG152" s="54"/>
      <c r="HFH152" s="52"/>
      <c r="HFI152" s="53"/>
      <c r="HFJ152" s="54"/>
      <c r="HFK152" s="52"/>
      <c r="HFL152" s="53"/>
      <c r="HFM152" s="8"/>
      <c r="HFN152" s="45"/>
      <c r="HFO152" s="45"/>
      <c r="HFP152" s="46"/>
      <c r="HFQ152" s="44"/>
      <c r="HFR152" s="7"/>
      <c r="HFS152" s="51"/>
      <c r="HFT152" s="52"/>
      <c r="HFU152" s="53"/>
      <c r="HFV152" s="54"/>
      <c r="HFW152" s="52"/>
      <c r="HFX152" s="53"/>
      <c r="HFY152" s="54"/>
      <c r="HFZ152" s="52"/>
      <c r="HGA152" s="53"/>
      <c r="HGB152" s="8"/>
      <c r="HGC152" s="45"/>
      <c r="HGD152" s="45"/>
      <c r="HGE152" s="46"/>
      <c r="HGF152" s="44"/>
      <c r="HGG152" s="7"/>
      <c r="HGH152" s="51"/>
      <c r="HGI152" s="52"/>
      <c r="HGJ152" s="53"/>
      <c r="HGK152" s="54"/>
      <c r="HGL152" s="52"/>
      <c r="HGM152" s="53"/>
      <c r="HGN152" s="54"/>
      <c r="HGO152" s="52"/>
      <c r="HGP152" s="53"/>
      <c r="HGQ152" s="8"/>
      <c r="HGR152" s="45"/>
      <c r="HGS152" s="45"/>
      <c r="HGT152" s="46"/>
      <c r="HGU152" s="44"/>
      <c r="HGV152" s="7"/>
      <c r="HGW152" s="51"/>
      <c r="HGX152" s="52"/>
      <c r="HGY152" s="53"/>
      <c r="HGZ152" s="54"/>
      <c r="HHA152" s="52"/>
      <c r="HHB152" s="53"/>
      <c r="HHC152" s="54"/>
      <c r="HHD152" s="52"/>
      <c r="HHE152" s="53"/>
      <c r="HHF152" s="8"/>
      <c r="HHG152" s="45"/>
      <c r="HHH152" s="45"/>
      <c r="HHI152" s="46"/>
      <c r="HHJ152" s="44"/>
      <c r="HHK152" s="7"/>
      <c r="HHL152" s="51"/>
      <c r="HHM152" s="52"/>
      <c r="HHN152" s="53"/>
      <c r="HHO152" s="54"/>
      <c r="HHP152" s="52"/>
      <c r="HHQ152" s="53"/>
      <c r="HHR152" s="54"/>
      <c r="HHS152" s="52"/>
      <c r="HHT152" s="53"/>
      <c r="HHU152" s="8"/>
      <c r="HHV152" s="45"/>
      <c r="HHW152" s="45"/>
      <c r="HHX152" s="46"/>
      <c r="HHY152" s="44"/>
      <c r="HHZ152" s="7"/>
      <c r="HIA152" s="51"/>
      <c r="HIB152" s="52"/>
      <c r="HIC152" s="53"/>
      <c r="HID152" s="54"/>
      <c r="HIE152" s="52"/>
      <c r="HIF152" s="53"/>
      <c r="HIG152" s="54"/>
      <c r="HIH152" s="52"/>
      <c r="HII152" s="53"/>
      <c r="HIJ152" s="8"/>
      <c r="HIK152" s="45"/>
      <c r="HIL152" s="45"/>
      <c r="HIM152" s="46"/>
      <c r="HIN152" s="44"/>
      <c r="HIO152" s="7"/>
      <c r="HIP152" s="51"/>
      <c r="HIQ152" s="52"/>
      <c r="HIR152" s="53"/>
      <c r="HIS152" s="54"/>
      <c r="HIT152" s="52"/>
      <c r="HIU152" s="53"/>
      <c r="HIV152" s="54"/>
      <c r="HIW152" s="52"/>
      <c r="HIX152" s="53"/>
      <c r="HIY152" s="8"/>
      <c r="HIZ152" s="45"/>
      <c r="HJA152" s="45"/>
      <c r="HJB152" s="46"/>
      <c r="HJC152" s="44"/>
      <c r="HJD152" s="7"/>
      <c r="HJE152" s="51"/>
      <c r="HJF152" s="52"/>
      <c r="HJG152" s="53"/>
      <c r="HJH152" s="54"/>
      <c r="HJI152" s="52"/>
      <c r="HJJ152" s="53"/>
      <c r="HJK152" s="54"/>
      <c r="HJL152" s="52"/>
      <c r="HJM152" s="53"/>
      <c r="HJN152" s="8"/>
      <c r="HJO152" s="45"/>
      <c r="HJP152" s="45"/>
      <c r="HJQ152" s="46"/>
      <c r="HJR152" s="44"/>
      <c r="HJS152" s="7"/>
      <c r="HJT152" s="51"/>
      <c r="HJU152" s="52"/>
      <c r="HJV152" s="53"/>
      <c r="HJW152" s="54"/>
      <c r="HJX152" s="52"/>
      <c r="HJY152" s="53"/>
      <c r="HJZ152" s="54"/>
      <c r="HKA152" s="52"/>
      <c r="HKB152" s="53"/>
      <c r="HKC152" s="8"/>
      <c r="HKD152" s="45"/>
      <c r="HKE152" s="45"/>
      <c r="HKF152" s="46"/>
      <c r="HKG152" s="44"/>
      <c r="HKH152" s="7"/>
      <c r="HKI152" s="51"/>
      <c r="HKJ152" s="52"/>
      <c r="HKK152" s="53"/>
      <c r="HKL152" s="54"/>
      <c r="HKM152" s="52"/>
      <c r="HKN152" s="53"/>
      <c r="HKO152" s="54"/>
      <c r="HKP152" s="52"/>
      <c r="HKQ152" s="53"/>
      <c r="HKR152" s="8"/>
      <c r="HKS152" s="45"/>
      <c r="HKT152" s="45"/>
      <c r="HKU152" s="46"/>
      <c r="HKV152" s="44"/>
      <c r="HKW152" s="7"/>
      <c r="HKX152" s="51"/>
      <c r="HKY152" s="52"/>
      <c r="HKZ152" s="53"/>
      <c r="HLA152" s="54"/>
      <c r="HLB152" s="52"/>
      <c r="HLC152" s="53"/>
      <c r="HLD152" s="54"/>
      <c r="HLE152" s="52"/>
      <c r="HLF152" s="53"/>
      <c r="HLG152" s="8"/>
      <c r="HLH152" s="45"/>
      <c r="HLI152" s="45"/>
      <c r="HLJ152" s="46"/>
      <c r="HLK152" s="44"/>
      <c r="HLL152" s="7"/>
      <c r="HLM152" s="51"/>
      <c r="HLN152" s="52"/>
      <c r="HLO152" s="53"/>
      <c r="HLP152" s="54"/>
      <c r="HLQ152" s="52"/>
      <c r="HLR152" s="53"/>
      <c r="HLS152" s="54"/>
      <c r="HLT152" s="52"/>
      <c r="HLU152" s="53"/>
      <c r="HLV152" s="8"/>
      <c r="HLW152" s="45"/>
      <c r="HLX152" s="45"/>
      <c r="HLY152" s="46"/>
      <c r="HLZ152" s="44"/>
      <c r="HMA152" s="7"/>
      <c r="HMB152" s="51"/>
      <c r="HMC152" s="52"/>
      <c r="HMD152" s="53"/>
      <c r="HME152" s="54"/>
      <c r="HMF152" s="52"/>
      <c r="HMG152" s="53"/>
      <c r="HMH152" s="54"/>
      <c r="HMI152" s="52"/>
      <c r="HMJ152" s="53"/>
      <c r="HMK152" s="8"/>
      <c r="HML152" s="45"/>
      <c r="HMM152" s="45"/>
      <c r="HMN152" s="46"/>
      <c r="HMO152" s="44"/>
      <c r="HMP152" s="7"/>
      <c r="HMQ152" s="51"/>
      <c r="HMR152" s="52"/>
      <c r="HMS152" s="53"/>
      <c r="HMT152" s="54"/>
      <c r="HMU152" s="52"/>
      <c r="HMV152" s="53"/>
      <c r="HMW152" s="54"/>
      <c r="HMX152" s="52"/>
      <c r="HMY152" s="53"/>
      <c r="HMZ152" s="8"/>
      <c r="HNA152" s="45"/>
      <c r="HNB152" s="45"/>
      <c r="HNC152" s="46"/>
      <c r="HND152" s="44"/>
      <c r="HNE152" s="7"/>
      <c r="HNF152" s="51"/>
      <c r="HNG152" s="52"/>
      <c r="HNH152" s="53"/>
      <c r="HNI152" s="54"/>
      <c r="HNJ152" s="52"/>
      <c r="HNK152" s="53"/>
      <c r="HNL152" s="54"/>
      <c r="HNM152" s="52"/>
      <c r="HNN152" s="53"/>
      <c r="HNO152" s="8"/>
      <c r="HNP152" s="45"/>
      <c r="HNQ152" s="45"/>
      <c r="HNR152" s="46"/>
      <c r="HNS152" s="44"/>
      <c r="HNT152" s="7"/>
      <c r="HNU152" s="51"/>
      <c r="HNV152" s="52"/>
      <c r="HNW152" s="53"/>
      <c r="HNX152" s="54"/>
      <c r="HNY152" s="52"/>
      <c r="HNZ152" s="53"/>
      <c r="HOA152" s="54"/>
      <c r="HOB152" s="52"/>
      <c r="HOC152" s="53"/>
      <c r="HOD152" s="8"/>
      <c r="HOE152" s="45"/>
      <c r="HOF152" s="45"/>
      <c r="HOG152" s="46"/>
      <c r="HOH152" s="44"/>
      <c r="HOI152" s="7"/>
      <c r="HOJ152" s="51"/>
      <c r="HOK152" s="52"/>
      <c r="HOL152" s="53"/>
      <c r="HOM152" s="54"/>
      <c r="HON152" s="52"/>
      <c r="HOO152" s="53"/>
      <c r="HOP152" s="54"/>
      <c r="HOQ152" s="52"/>
      <c r="HOR152" s="53"/>
      <c r="HOS152" s="8"/>
      <c r="HOT152" s="45"/>
      <c r="HOU152" s="45"/>
      <c r="HOV152" s="46"/>
      <c r="HOW152" s="44"/>
      <c r="HOX152" s="7"/>
      <c r="HOY152" s="51"/>
      <c r="HOZ152" s="52"/>
      <c r="HPA152" s="53"/>
      <c r="HPB152" s="54"/>
      <c r="HPC152" s="52"/>
      <c r="HPD152" s="53"/>
      <c r="HPE152" s="54"/>
      <c r="HPF152" s="52"/>
      <c r="HPG152" s="53"/>
      <c r="HPH152" s="8"/>
      <c r="HPI152" s="45"/>
      <c r="HPJ152" s="45"/>
      <c r="HPK152" s="46"/>
      <c r="HPL152" s="44"/>
      <c r="HPM152" s="7"/>
      <c r="HPN152" s="51"/>
      <c r="HPO152" s="52"/>
      <c r="HPP152" s="53"/>
      <c r="HPQ152" s="54"/>
      <c r="HPR152" s="52"/>
      <c r="HPS152" s="53"/>
      <c r="HPT152" s="54"/>
      <c r="HPU152" s="52"/>
      <c r="HPV152" s="53"/>
      <c r="HPW152" s="8"/>
      <c r="HPX152" s="45"/>
      <c r="HPY152" s="45"/>
      <c r="HPZ152" s="46"/>
      <c r="HQA152" s="44"/>
      <c r="HQB152" s="7"/>
      <c r="HQC152" s="51"/>
      <c r="HQD152" s="52"/>
      <c r="HQE152" s="53"/>
      <c r="HQF152" s="54"/>
      <c r="HQG152" s="52"/>
      <c r="HQH152" s="53"/>
      <c r="HQI152" s="54"/>
      <c r="HQJ152" s="52"/>
      <c r="HQK152" s="53"/>
      <c r="HQL152" s="8"/>
      <c r="HQM152" s="45"/>
      <c r="HQN152" s="45"/>
      <c r="HQO152" s="46"/>
      <c r="HQP152" s="44"/>
      <c r="HQQ152" s="7"/>
      <c r="HQR152" s="51"/>
      <c r="HQS152" s="52"/>
      <c r="HQT152" s="53"/>
      <c r="HQU152" s="54"/>
      <c r="HQV152" s="52"/>
      <c r="HQW152" s="53"/>
      <c r="HQX152" s="54"/>
      <c r="HQY152" s="52"/>
      <c r="HQZ152" s="53"/>
      <c r="HRA152" s="8"/>
      <c r="HRB152" s="45"/>
      <c r="HRC152" s="45"/>
      <c r="HRD152" s="46"/>
      <c r="HRE152" s="44"/>
      <c r="HRF152" s="7"/>
      <c r="HRG152" s="51"/>
      <c r="HRH152" s="52"/>
      <c r="HRI152" s="53"/>
      <c r="HRJ152" s="54"/>
      <c r="HRK152" s="52"/>
      <c r="HRL152" s="53"/>
      <c r="HRM152" s="54"/>
      <c r="HRN152" s="52"/>
      <c r="HRO152" s="53"/>
      <c r="HRP152" s="8"/>
      <c r="HRQ152" s="45"/>
      <c r="HRR152" s="45"/>
      <c r="HRS152" s="46"/>
      <c r="HRT152" s="44"/>
      <c r="HRU152" s="7"/>
      <c r="HRV152" s="51"/>
      <c r="HRW152" s="52"/>
      <c r="HRX152" s="53"/>
      <c r="HRY152" s="54"/>
      <c r="HRZ152" s="52"/>
      <c r="HSA152" s="53"/>
      <c r="HSB152" s="54"/>
      <c r="HSC152" s="52"/>
      <c r="HSD152" s="53"/>
      <c r="HSE152" s="8"/>
      <c r="HSF152" s="45"/>
      <c r="HSG152" s="45"/>
      <c r="HSH152" s="46"/>
      <c r="HSI152" s="44"/>
      <c r="HSJ152" s="7"/>
      <c r="HSK152" s="51"/>
      <c r="HSL152" s="52"/>
      <c r="HSM152" s="53"/>
      <c r="HSN152" s="54"/>
      <c r="HSO152" s="52"/>
      <c r="HSP152" s="53"/>
      <c r="HSQ152" s="54"/>
      <c r="HSR152" s="52"/>
      <c r="HSS152" s="53"/>
      <c r="HST152" s="8"/>
      <c r="HSU152" s="45"/>
      <c r="HSV152" s="45"/>
      <c r="HSW152" s="46"/>
      <c r="HSX152" s="44"/>
      <c r="HSY152" s="7"/>
      <c r="HSZ152" s="51"/>
      <c r="HTA152" s="52"/>
      <c r="HTB152" s="53"/>
      <c r="HTC152" s="54"/>
      <c r="HTD152" s="52"/>
      <c r="HTE152" s="53"/>
      <c r="HTF152" s="54"/>
      <c r="HTG152" s="52"/>
      <c r="HTH152" s="53"/>
      <c r="HTI152" s="8"/>
      <c r="HTJ152" s="45"/>
      <c r="HTK152" s="45"/>
      <c r="HTL152" s="46"/>
      <c r="HTM152" s="44"/>
      <c r="HTN152" s="7"/>
      <c r="HTO152" s="51"/>
      <c r="HTP152" s="52"/>
      <c r="HTQ152" s="53"/>
      <c r="HTR152" s="54"/>
      <c r="HTS152" s="52"/>
      <c r="HTT152" s="53"/>
      <c r="HTU152" s="54"/>
      <c r="HTV152" s="52"/>
      <c r="HTW152" s="53"/>
      <c r="HTX152" s="8"/>
      <c r="HTY152" s="45"/>
      <c r="HTZ152" s="45"/>
      <c r="HUA152" s="46"/>
      <c r="HUB152" s="44"/>
      <c r="HUC152" s="7"/>
      <c r="HUD152" s="51"/>
      <c r="HUE152" s="52"/>
      <c r="HUF152" s="53"/>
      <c r="HUG152" s="54"/>
      <c r="HUH152" s="52"/>
      <c r="HUI152" s="53"/>
      <c r="HUJ152" s="54"/>
      <c r="HUK152" s="52"/>
      <c r="HUL152" s="53"/>
      <c r="HUM152" s="8"/>
      <c r="HUN152" s="45"/>
      <c r="HUO152" s="45"/>
      <c r="HUP152" s="46"/>
      <c r="HUQ152" s="44"/>
      <c r="HUR152" s="7"/>
      <c r="HUS152" s="51"/>
      <c r="HUT152" s="52"/>
      <c r="HUU152" s="53"/>
      <c r="HUV152" s="54"/>
      <c r="HUW152" s="52"/>
      <c r="HUX152" s="53"/>
      <c r="HUY152" s="54"/>
      <c r="HUZ152" s="52"/>
      <c r="HVA152" s="53"/>
      <c r="HVB152" s="8"/>
      <c r="HVC152" s="45"/>
      <c r="HVD152" s="45"/>
      <c r="HVE152" s="46"/>
      <c r="HVF152" s="44"/>
      <c r="HVG152" s="7"/>
      <c r="HVH152" s="51"/>
      <c r="HVI152" s="52"/>
      <c r="HVJ152" s="53"/>
      <c r="HVK152" s="54"/>
      <c r="HVL152" s="52"/>
      <c r="HVM152" s="53"/>
      <c r="HVN152" s="54"/>
      <c r="HVO152" s="52"/>
      <c r="HVP152" s="53"/>
      <c r="HVQ152" s="8"/>
      <c r="HVR152" s="45"/>
      <c r="HVS152" s="45"/>
      <c r="HVT152" s="46"/>
      <c r="HVU152" s="44"/>
      <c r="HVV152" s="7"/>
      <c r="HVW152" s="51"/>
      <c r="HVX152" s="52"/>
      <c r="HVY152" s="53"/>
      <c r="HVZ152" s="54"/>
      <c r="HWA152" s="52"/>
      <c r="HWB152" s="53"/>
      <c r="HWC152" s="54"/>
      <c r="HWD152" s="52"/>
      <c r="HWE152" s="53"/>
      <c r="HWF152" s="8"/>
      <c r="HWG152" s="45"/>
      <c r="HWH152" s="45"/>
      <c r="HWI152" s="46"/>
      <c r="HWJ152" s="44"/>
      <c r="HWK152" s="7"/>
      <c r="HWL152" s="51"/>
      <c r="HWM152" s="52"/>
      <c r="HWN152" s="53"/>
      <c r="HWO152" s="54"/>
      <c r="HWP152" s="52"/>
      <c r="HWQ152" s="53"/>
      <c r="HWR152" s="54"/>
      <c r="HWS152" s="52"/>
      <c r="HWT152" s="53"/>
      <c r="HWU152" s="8"/>
      <c r="HWV152" s="45"/>
      <c r="HWW152" s="45"/>
      <c r="HWX152" s="46"/>
      <c r="HWY152" s="44"/>
      <c r="HWZ152" s="7"/>
      <c r="HXA152" s="51"/>
      <c r="HXB152" s="52"/>
      <c r="HXC152" s="53"/>
      <c r="HXD152" s="54"/>
      <c r="HXE152" s="52"/>
      <c r="HXF152" s="53"/>
      <c r="HXG152" s="54"/>
      <c r="HXH152" s="52"/>
      <c r="HXI152" s="53"/>
      <c r="HXJ152" s="8"/>
      <c r="HXK152" s="45"/>
      <c r="HXL152" s="45"/>
      <c r="HXM152" s="46"/>
      <c r="HXN152" s="44"/>
      <c r="HXO152" s="7"/>
      <c r="HXP152" s="51"/>
      <c r="HXQ152" s="52"/>
      <c r="HXR152" s="53"/>
      <c r="HXS152" s="54"/>
      <c r="HXT152" s="52"/>
      <c r="HXU152" s="53"/>
      <c r="HXV152" s="54"/>
      <c r="HXW152" s="52"/>
      <c r="HXX152" s="53"/>
      <c r="HXY152" s="8"/>
      <c r="HXZ152" s="45"/>
      <c r="HYA152" s="45"/>
      <c r="HYB152" s="46"/>
      <c r="HYC152" s="44"/>
      <c r="HYD152" s="7"/>
      <c r="HYE152" s="51"/>
      <c r="HYF152" s="52"/>
      <c r="HYG152" s="53"/>
      <c r="HYH152" s="54"/>
      <c r="HYI152" s="52"/>
      <c r="HYJ152" s="53"/>
      <c r="HYK152" s="54"/>
      <c r="HYL152" s="52"/>
      <c r="HYM152" s="53"/>
      <c r="HYN152" s="8"/>
      <c r="HYO152" s="45"/>
      <c r="HYP152" s="45"/>
      <c r="HYQ152" s="46"/>
      <c r="HYR152" s="44"/>
      <c r="HYS152" s="7"/>
      <c r="HYT152" s="51"/>
      <c r="HYU152" s="52"/>
      <c r="HYV152" s="53"/>
      <c r="HYW152" s="54"/>
      <c r="HYX152" s="52"/>
      <c r="HYY152" s="53"/>
      <c r="HYZ152" s="54"/>
      <c r="HZA152" s="52"/>
      <c r="HZB152" s="53"/>
      <c r="HZC152" s="8"/>
      <c r="HZD152" s="45"/>
      <c r="HZE152" s="45"/>
      <c r="HZF152" s="46"/>
      <c r="HZG152" s="44"/>
      <c r="HZH152" s="7"/>
      <c r="HZI152" s="51"/>
      <c r="HZJ152" s="52"/>
      <c r="HZK152" s="53"/>
      <c r="HZL152" s="54"/>
      <c r="HZM152" s="52"/>
      <c r="HZN152" s="53"/>
      <c r="HZO152" s="54"/>
      <c r="HZP152" s="52"/>
      <c r="HZQ152" s="53"/>
      <c r="HZR152" s="8"/>
      <c r="HZS152" s="45"/>
      <c r="HZT152" s="45"/>
      <c r="HZU152" s="46"/>
      <c r="HZV152" s="44"/>
      <c r="HZW152" s="7"/>
      <c r="HZX152" s="51"/>
      <c r="HZY152" s="52"/>
      <c r="HZZ152" s="53"/>
      <c r="IAA152" s="54"/>
      <c r="IAB152" s="52"/>
      <c r="IAC152" s="53"/>
      <c r="IAD152" s="54"/>
      <c r="IAE152" s="52"/>
      <c r="IAF152" s="53"/>
      <c r="IAG152" s="8"/>
      <c r="IAH152" s="45"/>
      <c r="IAI152" s="45"/>
      <c r="IAJ152" s="46"/>
      <c r="IAK152" s="44"/>
      <c r="IAL152" s="7"/>
      <c r="IAM152" s="51"/>
      <c r="IAN152" s="52"/>
      <c r="IAO152" s="53"/>
      <c r="IAP152" s="54"/>
      <c r="IAQ152" s="52"/>
      <c r="IAR152" s="53"/>
      <c r="IAS152" s="54"/>
      <c r="IAT152" s="52"/>
      <c r="IAU152" s="53"/>
      <c r="IAV152" s="8"/>
      <c r="IAW152" s="45"/>
      <c r="IAX152" s="45"/>
      <c r="IAY152" s="46"/>
      <c r="IAZ152" s="44"/>
      <c r="IBA152" s="7"/>
      <c r="IBB152" s="51"/>
      <c r="IBC152" s="52"/>
      <c r="IBD152" s="53"/>
      <c r="IBE152" s="54"/>
      <c r="IBF152" s="52"/>
      <c r="IBG152" s="53"/>
      <c r="IBH152" s="54"/>
      <c r="IBI152" s="52"/>
      <c r="IBJ152" s="53"/>
      <c r="IBK152" s="8"/>
      <c r="IBL152" s="45"/>
      <c r="IBM152" s="45"/>
      <c r="IBN152" s="46"/>
      <c r="IBO152" s="44"/>
      <c r="IBP152" s="7"/>
      <c r="IBQ152" s="51"/>
      <c r="IBR152" s="52"/>
      <c r="IBS152" s="53"/>
      <c r="IBT152" s="54"/>
      <c r="IBU152" s="52"/>
      <c r="IBV152" s="53"/>
      <c r="IBW152" s="54"/>
      <c r="IBX152" s="52"/>
      <c r="IBY152" s="53"/>
      <c r="IBZ152" s="8"/>
      <c r="ICA152" s="45"/>
      <c r="ICB152" s="45"/>
      <c r="ICC152" s="46"/>
      <c r="ICD152" s="44"/>
      <c r="ICE152" s="7"/>
      <c r="ICF152" s="51"/>
      <c r="ICG152" s="52"/>
      <c r="ICH152" s="53"/>
      <c r="ICI152" s="54"/>
      <c r="ICJ152" s="52"/>
      <c r="ICK152" s="53"/>
      <c r="ICL152" s="54"/>
      <c r="ICM152" s="52"/>
      <c r="ICN152" s="53"/>
      <c r="ICO152" s="8"/>
      <c r="ICP152" s="45"/>
      <c r="ICQ152" s="45"/>
      <c r="ICR152" s="46"/>
      <c r="ICS152" s="44"/>
      <c r="ICT152" s="7"/>
      <c r="ICU152" s="51"/>
      <c r="ICV152" s="52"/>
      <c r="ICW152" s="53"/>
      <c r="ICX152" s="54"/>
      <c r="ICY152" s="52"/>
      <c r="ICZ152" s="53"/>
      <c r="IDA152" s="54"/>
      <c r="IDB152" s="52"/>
      <c r="IDC152" s="53"/>
      <c r="IDD152" s="8"/>
      <c r="IDE152" s="45"/>
      <c r="IDF152" s="45"/>
      <c r="IDG152" s="46"/>
      <c r="IDH152" s="44"/>
      <c r="IDI152" s="7"/>
      <c r="IDJ152" s="51"/>
      <c r="IDK152" s="52"/>
      <c r="IDL152" s="53"/>
      <c r="IDM152" s="54"/>
      <c r="IDN152" s="52"/>
      <c r="IDO152" s="53"/>
      <c r="IDP152" s="54"/>
      <c r="IDQ152" s="52"/>
      <c r="IDR152" s="53"/>
      <c r="IDS152" s="8"/>
      <c r="IDT152" s="45"/>
      <c r="IDU152" s="45"/>
      <c r="IDV152" s="46"/>
      <c r="IDW152" s="44"/>
      <c r="IDX152" s="7"/>
      <c r="IDY152" s="51"/>
      <c r="IDZ152" s="52"/>
      <c r="IEA152" s="53"/>
      <c r="IEB152" s="54"/>
      <c r="IEC152" s="52"/>
      <c r="IED152" s="53"/>
      <c r="IEE152" s="54"/>
      <c r="IEF152" s="52"/>
      <c r="IEG152" s="53"/>
      <c r="IEH152" s="8"/>
      <c r="IEI152" s="45"/>
      <c r="IEJ152" s="45"/>
      <c r="IEK152" s="46"/>
      <c r="IEL152" s="44"/>
      <c r="IEM152" s="7"/>
      <c r="IEN152" s="51"/>
      <c r="IEO152" s="52"/>
      <c r="IEP152" s="53"/>
      <c r="IEQ152" s="54"/>
      <c r="IER152" s="52"/>
      <c r="IES152" s="53"/>
      <c r="IET152" s="54"/>
      <c r="IEU152" s="52"/>
      <c r="IEV152" s="53"/>
      <c r="IEW152" s="8"/>
      <c r="IEX152" s="45"/>
      <c r="IEY152" s="45"/>
      <c r="IEZ152" s="46"/>
      <c r="IFA152" s="44"/>
      <c r="IFB152" s="7"/>
      <c r="IFC152" s="51"/>
      <c r="IFD152" s="52"/>
      <c r="IFE152" s="53"/>
      <c r="IFF152" s="54"/>
      <c r="IFG152" s="52"/>
      <c r="IFH152" s="53"/>
      <c r="IFI152" s="54"/>
      <c r="IFJ152" s="52"/>
      <c r="IFK152" s="53"/>
      <c r="IFL152" s="8"/>
      <c r="IFM152" s="45"/>
      <c r="IFN152" s="45"/>
      <c r="IFO152" s="46"/>
      <c r="IFP152" s="44"/>
      <c r="IFQ152" s="7"/>
      <c r="IFR152" s="51"/>
      <c r="IFS152" s="52"/>
      <c r="IFT152" s="53"/>
      <c r="IFU152" s="54"/>
      <c r="IFV152" s="52"/>
      <c r="IFW152" s="53"/>
      <c r="IFX152" s="54"/>
      <c r="IFY152" s="52"/>
      <c r="IFZ152" s="53"/>
      <c r="IGA152" s="8"/>
      <c r="IGB152" s="45"/>
      <c r="IGC152" s="45"/>
      <c r="IGD152" s="46"/>
      <c r="IGE152" s="44"/>
      <c r="IGF152" s="7"/>
      <c r="IGG152" s="51"/>
      <c r="IGH152" s="52"/>
      <c r="IGI152" s="53"/>
      <c r="IGJ152" s="54"/>
      <c r="IGK152" s="52"/>
      <c r="IGL152" s="53"/>
      <c r="IGM152" s="54"/>
      <c r="IGN152" s="52"/>
      <c r="IGO152" s="53"/>
      <c r="IGP152" s="8"/>
      <c r="IGQ152" s="45"/>
      <c r="IGR152" s="45"/>
      <c r="IGS152" s="46"/>
      <c r="IGT152" s="44"/>
      <c r="IGU152" s="7"/>
      <c r="IGV152" s="51"/>
      <c r="IGW152" s="52"/>
      <c r="IGX152" s="53"/>
      <c r="IGY152" s="54"/>
      <c r="IGZ152" s="52"/>
      <c r="IHA152" s="53"/>
      <c r="IHB152" s="54"/>
      <c r="IHC152" s="52"/>
      <c r="IHD152" s="53"/>
      <c r="IHE152" s="8"/>
      <c r="IHF152" s="45"/>
      <c r="IHG152" s="45"/>
      <c r="IHH152" s="46"/>
      <c r="IHI152" s="44"/>
      <c r="IHJ152" s="7"/>
      <c r="IHK152" s="51"/>
      <c r="IHL152" s="52"/>
      <c r="IHM152" s="53"/>
      <c r="IHN152" s="54"/>
      <c r="IHO152" s="52"/>
      <c r="IHP152" s="53"/>
      <c r="IHQ152" s="54"/>
      <c r="IHR152" s="52"/>
      <c r="IHS152" s="53"/>
      <c r="IHT152" s="8"/>
      <c r="IHU152" s="45"/>
      <c r="IHV152" s="45"/>
      <c r="IHW152" s="46"/>
      <c r="IHX152" s="44"/>
      <c r="IHY152" s="7"/>
      <c r="IHZ152" s="51"/>
      <c r="IIA152" s="52"/>
      <c r="IIB152" s="53"/>
      <c r="IIC152" s="54"/>
      <c r="IID152" s="52"/>
      <c r="IIE152" s="53"/>
      <c r="IIF152" s="54"/>
      <c r="IIG152" s="52"/>
      <c r="IIH152" s="53"/>
      <c r="III152" s="8"/>
      <c r="IIJ152" s="45"/>
      <c r="IIK152" s="45"/>
      <c r="IIL152" s="46"/>
      <c r="IIM152" s="44"/>
      <c r="IIN152" s="7"/>
      <c r="IIO152" s="51"/>
      <c r="IIP152" s="52"/>
      <c r="IIQ152" s="53"/>
      <c r="IIR152" s="54"/>
      <c r="IIS152" s="52"/>
      <c r="IIT152" s="53"/>
      <c r="IIU152" s="54"/>
      <c r="IIV152" s="52"/>
      <c r="IIW152" s="53"/>
      <c r="IIX152" s="8"/>
      <c r="IIY152" s="45"/>
      <c r="IIZ152" s="45"/>
      <c r="IJA152" s="46"/>
      <c r="IJB152" s="44"/>
      <c r="IJC152" s="7"/>
      <c r="IJD152" s="51"/>
      <c r="IJE152" s="52"/>
      <c r="IJF152" s="53"/>
      <c r="IJG152" s="54"/>
      <c r="IJH152" s="52"/>
      <c r="IJI152" s="53"/>
      <c r="IJJ152" s="54"/>
      <c r="IJK152" s="52"/>
      <c r="IJL152" s="53"/>
      <c r="IJM152" s="8"/>
      <c r="IJN152" s="45"/>
      <c r="IJO152" s="45"/>
      <c r="IJP152" s="46"/>
      <c r="IJQ152" s="44"/>
      <c r="IJR152" s="7"/>
      <c r="IJS152" s="51"/>
      <c r="IJT152" s="52"/>
      <c r="IJU152" s="53"/>
      <c r="IJV152" s="54"/>
      <c r="IJW152" s="52"/>
      <c r="IJX152" s="53"/>
      <c r="IJY152" s="54"/>
      <c r="IJZ152" s="52"/>
      <c r="IKA152" s="53"/>
      <c r="IKB152" s="8"/>
      <c r="IKC152" s="45"/>
      <c r="IKD152" s="45"/>
      <c r="IKE152" s="46"/>
      <c r="IKF152" s="44"/>
      <c r="IKG152" s="7"/>
      <c r="IKH152" s="51"/>
      <c r="IKI152" s="52"/>
      <c r="IKJ152" s="53"/>
      <c r="IKK152" s="54"/>
      <c r="IKL152" s="52"/>
      <c r="IKM152" s="53"/>
      <c r="IKN152" s="54"/>
      <c r="IKO152" s="52"/>
      <c r="IKP152" s="53"/>
      <c r="IKQ152" s="8"/>
      <c r="IKR152" s="45"/>
      <c r="IKS152" s="45"/>
      <c r="IKT152" s="46"/>
      <c r="IKU152" s="44"/>
      <c r="IKV152" s="7"/>
      <c r="IKW152" s="51"/>
      <c r="IKX152" s="52"/>
      <c r="IKY152" s="53"/>
      <c r="IKZ152" s="54"/>
      <c r="ILA152" s="52"/>
      <c r="ILB152" s="53"/>
      <c r="ILC152" s="54"/>
      <c r="ILD152" s="52"/>
      <c r="ILE152" s="53"/>
      <c r="ILF152" s="8"/>
      <c r="ILG152" s="45"/>
      <c r="ILH152" s="45"/>
      <c r="ILI152" s="46"/>
      <c r="ILJ152" s="44"/>
      <c r="ILK152" s="7"/>
      <c r="ILL152" s="51"/>
      <c r="ILM152" s="52"/>
      <c r="ILN152" s="53"/>
      <c r="ILO152" s="54"/>
      <c r="ILP152" s="52"/>
      <c r="ILQ152" s="53"/>
      <c r="ILR152" s="54"/>
      <c r="ILS152" s="52"/>
      <c r="ILT152" s="53"/>
      <c r="ILU152" s="8"/>
      <c r="ILV152" s="45"/>
      <c r="ILW152" s="45"/>
      <c r="ILX152" s="46"/>
      <c r="ILY152" s="44"/>
      <c r="ILZ152" s="7"/>
      <c r="IMA152" s="51"/>
      <c r="IMB152" s="52"/>
      <c r="IMC152" s="53"/>
      <c r="IMD152" s="54"/>
      <c r="IME152" s="52"/>
      <c r="IMF152" s="53"/>
      <c r="IMG152" s="54"/>
      <c r="IMH152" s="52"/>
      <c r="IMI152" s="53"/>
      <c r="IMJ152" s="8"/>
      <c r="IMK152" s="45"/>
      <c r="IML152" s="45"/>
      <c r="IMM152" s="46"/>
      <c r="IMN152" s="44"/>
      <c r="IMO152" s="7"/>
      <c r="IMP152" s="51"/>
      <c r="IMQ152" s="52"/>
      <c r="IMR152" s="53"/>
      <c r="IMS152" s="54"/>
      <c r="IMT152" s="52"/>
      <c r="IMU152" s="53"/>
      <c r="IMV152" s="54"/>
      <c r="IMW152" s="52"/>
      <c r="IMX152" s="53"/>
      <c r="IMY152" s="8"/>
      <c r="IMZ152" s="45"/>
      <c r="INA152" s="45"/>
      <c r="INB152" s="46"/>
      <c r="INC152" s="44"/>
      <c r="IND152" s="7"/>
      <c r="INE152" s="51"/>
      <c r="INF152" s="52"/>
      <c r="ING152" s="53"/>
      <c r="INH152" s="54"/>
      <c r="INI152" s="52"/>
      <c r="INJ152" s="53"/>
      <c r="INK152" s="54"/>
      <c r="INL152" s="52"/>
      <c r="INM152" s="53"/>
      <c r="INN152" s="8"/>
      <c r="INO152" s="45"/>
      <c r="INP152" s="45"/>
      <c r="INQ152" s="46"/>
      <c r="INR152" s="44"/>
      <c r="INS152" s="7"/>
      <c r="INT152" s="51"/>
      <c r="INU152" s="52"/>
      <c r="INV152" s="53"/>
      <c r="INW152" s="54"/>
      <c r="INX152" s="52"/>
      <c r="INY152" s="53"/>
      <c r="INZ152" s="54"/>
      <c r="IOA152" s="52"/>
      <c r="IOB152" s="53"/>
      <c r="IOC152" s="8"/>
      <c r="IOD152" s="45"/>
      <c r="IOE152" s="45"/>
      <c r="IOF152" s="46"/>
      <c r="IOG152" s="44"/>
      <c r="IOH152" s="7"/>
      <c r="IOI152" s="51"/>
      <c r="IOJ152" s="52"/>
      <c r="IOK152" s="53"/>
      <c r="IOL152" s="54"/>
      <c r="IOM152" s="52"/>
      <c r="ION152" s="53"/>
      <c r="IOO152" s="54"/>
      <c r="IOP152" s="52"/>
      <c r="IOQ152" s="53"/>
      <c r="IOR152" s="8"/>
      <c r="IOS152" s="45"/>
      <c r="IOT152" s="45"/>
      <c r="IOU152" s="46"/>
      <c r="IOV152" s="44"/>
      <c r="IOW152" s="7"/>
      <c r="IOX152" s="51"/>
      <c r="IOY152" s="52"/>
      <c r="IOZ152" s="53"/>
      <c r="IPA152" s="54"/>
      <c r="IPB152" s="52"/>
      <c r="IPC152" s="53"/>
      <c r="IPD152" s="54"/>
      <c r="IPE152" s="52"/>
      <c r="IPF152" s="53"/>
      <c r="IPG152" s="8"/>
      <c r="IPH152" s="45"/>
      <c r="IPI152" s="45"/>
      <c r="IPJ152" s="46"/>
      <c r="IPK152" s="44"/>
      <c r="IPL152" s="7"/>
      <c r="IPM152" s="51"/>
      <c r="IPN152" s="52"/>
      <c r="IPO152" s="53"/>
      <c r="IPP152" s="54"/>
      <c r="IPQ152" s="52"/>
      <c r="IPR152" s="53"/>
      <c r="IPS152" s="54"/>
      <c r="IPT152" s="52"/>
      <c r="IPU152" s="53"/>
      <c r="IPV152" s="8"/>
      <c r="IPW152" s="45"/>
      <c r="IPX152" s="45"/>
      <c r="IPY152" s="46"/>
      <c r="IPZ152" s="44"/>
      <c r="IQA152" s="7"/>
      <c r="IQB152" s="51"/>
      <c r="IQC152" s="52"/>
      <c r="IQD152" s="53"/>
      <c r="IQE152" s="54"/>
      <c r="IQF152" s="52"/>
      <c r="IQG152" s="53"/>
      <c r="IQH152" s="54"/>
      <c r="IQI152" s="52"/>
      <c r="IQJ152" s="53"/>
      <c r="IQK152" s="8"/>
      <c r="IQL152" s="45"/>
      <c r="IQM152" s="45"/>
      <c r="IQN152" s="46"/>
      <c r="IQO152" s="44"/>
      <c r="IQP152" s="7"/>
      <c r="IQQ152" s="51"/>
      <c r="IQR152" s="52"/>
      <c r="IQS152" s="53"/>
      <c r="IQT152" s="54"/>
      <c r="IQU152" s="52"/>
      <c r="IQV152" s="53"/>
      <c r="IQW152" s="54"/>
      <c r="IQX152" s="52"/>
      <c r="IQY152" s="53"/>
      <c r="IQZ152" s="8"/>
      <c r="IRA152" s="45"/>
      <c r="IRB152" s="45"/>
      <c r="IRC152" s="46"/>
      <c r="IRD152" s="44"/>
      <c r="IRE152" s="7"/>
      <c r="IRF152" s="51"/>
      <c r="IRG152" s="52"/>
      <c r="IRH152" s="53"/>
      <c r="IRI152" s="54"/>
      <c r="IRJ152" s="52"/>
      <c r="IRK152" s="53"/>
      <c r="IRL152" s="54"/>
      <c r="IRM152" s="52"/>
      <c r="IRN152" s="53"/>
      <c r="IRO152" s="8"/>
      <c r="IRP152" s="45"/>
      <c r="IRQ152" s="45"/>
      <c r="IRR152" s="46"/>
      <c r="IRS152" s="44"/>
      <c r="IRT152" s="7"/>
      <c r="IRU152" s="51"/>
      <c r="IRV152" s="52"/>
      <c r="IRW152" s="53"/>
      <c r="IRX152" s="54"/>
      <c r="IRY152" s="52"/>
      <c r="IRZ152" s="53"/>
      <c r="ISA152" s="54"/>
      <c r="ISB152" s="52"/>
      <c r="ISC152" s="53"/>
      <c r="ISD152" s="8"/>
      <c r="ISE152" s="45"/>
      <c r="ISF152" s="45"/>
      <c r="ISG152" s="46"/>
      <c r="ISH152" s="44"/>
      <c r="ISI152" s="7"/>
      <c r="ISJ152" s="51"/>
      <c r="ISK152" s="52"/>
      <c r="ISL152" s="53"/>
      <c r="ISM152" s="54"/>
      <c r="ISN152" s="52"/>
      <c r="ISO152" s="53"/>
      <c r="ISP152" s="54"/>
      <c r="ISQ152" s="52"/>
      <c r="ISR152" s="53"/>
      <c r="ISS152" s="8"/>
      <c r="IST152" s="45"/>
      <c r="ISU152" s="45"/>
      <c r="ISV152" s="46"/>
      <c r="ISW152" s="44"/>
      <c r="ISX152" s="7"/>
      <c r="ISY152" s="51"/>
      <c r="ISZ152" s="52"/>
      <c r="ITA152" s="53"/>
      <c r="ITB152" s="54"/>
      <c r="ITC152" s="52"/>
      <c r="ITD152" s="53"/>
      <c r="ITE152" s="54"/>
      <c r="ITF152" s="52"/>
      <c r="ITG152" s="53"/>
      <c r="ITH152" s="8"/>
      <c r="ITI152" s="45"/>
      <c r="ITJ152" s="45"/>
      <c r="ITK152" s="46"/>
      <c r="ITL152" s="44"/>
      <c r="ITM152" s="7"/>
      <c r="ITN152" s="51"/>
      <c r="ITO152" s="52"/>
      <c r="ITP152" s="53"/>
      <c r="ITQ152" s="54"/>
      <c r="ITR152" s="52"/>
      <c r="ITS152" s="53"/>
      <c r="ITT152" s="54"/>
      <c r="ITU152" s="52"/>
      <c r="ITV152" s="53"/>
      <c r="ITW152" s="8"/>
      <c r="ITX152" s="45"/>
      <c r="ITY152" s="45"/>
      <c r="ITZ152" s="46"/>
      <c r="IUA152" s="44"/>
      <c r="IUB152" s="7"/>
      <c r="IUC152" s="51"/>
      <c r="IUD152" s="52"/>
      <c r="IUE152" s="53"/>
      <c r="IUF152" s="54"/>
      <c r="IUG152" s="52"/>
      <c r="IUH152" s="53"/>
      <c r="IUI152" s="54"/>
      <c r="IUJ152" s="52"/>
      <c r="IUK152" s="53"/>
      <c r="IUL152" s="8"/>
      <c r="IUM152" s="45"/>
      <c r="IUN152" s="45"/>
      <c r="IUO152" s="46"/>
      <c r="IUP152" s="44"/>
      <c r="IUQ152" s="7"/>
      <c r="IUR152" s="51"/>
      <c r="IUS152" s="52"/>
      <c r="IUT152" s="53"/>
      <c r="IUU152" s="54"/>
      <c r="IUV152" s="52"/>
      <c r="IUW152" s="53"/>
      <c r="IUX152" s="54"/>
      <c r="IUY152" s="52"/>
      <c r="IUZ152" s="53"/>
      <c r="IVA152" s="8"/>
      <c r="IVB152" s="45"/>
      <c r="IVC152" s="45"/>
      <c r="IVD152" s="46"/>
      <c r="IVE152" s="44"/>
      <c r="IVF152" s="7"/>
      <c r="IVG152" s="51"/>
      <c r="IVH152" s="52"/>
      <c r="IVI152" s="53"/>
      <c r="IVJ152" s="54"/>
      <c r="IVK152" s="52"/>
      <c r="IVL152" s="53"/>
      <c r="IVM152" s="54"/>
      <c r="IVN152" s="52"/>
      <c r="IVO152" s="53"/>
      <c r="IVP152" s="8"/>
      <c r="IVQ152" s="45"/>
      <c r="IVR152" s="45"/>
      <c r="IVS152" s="46"/>
      <c r="IVT152" s="44"/>
      <c r="IVU152" s="7"/>
      <c r="IVV152" s="51"/>
      <c r="IVW152" s="52"/>
      <c r="IVX152" s="53"/>
      <c r="IVY152" s="54"/>
      <c r="IVZ152" s="52"/>
      <c r="IWA152" s="53"/>
      <c r="IWB152" s="54"/>
      <c r="IWC152" s="52"/>
      <c r="IWD152" s="53"/>
      <c r="IWE152" s="8"/>
      <c r="IWF152" s="45"/>
      <c r="IWG152" s="45"/>
      <c r="IWH152" s="46"/>
      <c r="IWI152" s="44"/>
      <c r="IWJ152" s="7"/>
      <c r="IWK152" s="51"/>
      <c r="IWL152" s="52"/>
      <c r="IWM152" s="53"/>
      <c r="IWN152" s="54"/>
      <c r="IWO152" s="52"/>
      <c r="IWP152" s="53"/>
      <c r="IWQ152" s="54"/>
      <c r="IWR152" s="52"/>
      <c r="IWS152" s="53"/>
      <c r="IWT152" s="8"/>
      <c r="IWU152" s="45"/>
      <c r="IWV152" s="45"/>
      <c r="IWW152" s="46"/>
      <c r="IWX152" s="44"/>
      <c r="IWY152" s="7"/>
      <c r="IWZ152" s="51"/>
      <c r="IXA152" s="52"/>
      <c r="IXB152" s="53"/>
      <c r="IXC152" s="54"/>
      <c r="IXD152" s="52"/>
      <c r="IXE152" s="53"/>
      <c r="IXF152" s="54"/>
      <c r="IXG152" s="52"/>
      <c r="IXH152" s="53"/>
      <c r="IXI152" s="8"/>
      <c r="IXJ152" s="45"/>
      <c r="IXK152" s="45"/>
      <c r="IXL152" s="46"/>
      <c r="IXM152" s="44"/>
      <c r="IXN152" s="7"/>
      <c r="IXO152" s="51"/>
      <c r="IXP152" s="52"/>
      <c r="IXQ152" s="53"/>
      <c r="IXR152" s="54"/>
      <c r="IXS152" s="52"/>
      <c r="IXT152" s="53"/>
      <c r="IXU152" s="54"/>
      <c r="IXV152" s="52"/>
      <c r="IXW152" s="53"/>
      <c r="IXX152" s="8"/>
      <c r="IXY152" s="45"/>
      <c r="IXZ152" s="45"/>
      <c r="IYA152" s="46"/>
      <c r="IYB152" s="44"/>
      <c r="IYC152" s="7"/>
      <c r="IYD152" s="51"/>
      <c r="IYE152" s="52"/>
      <c r="IYF152" s="53"/>
      <c r="IYG152" s="54"/>
      <c r="IYH152" s="52"/>
      <c r="IYI152" s="53"/>
      <c r="IYJ152" s="54"/>
      <c r="IYK152" s="52"/>
      <c r="IYL152" s="53"/>
      <c r="IYM152" s="8"/>
      <c r="IYN152" s="45"/>
      <c r="IYO152" s="45"/>
      <c r="IYP152" s="46"/>
      <c r="IYQ152" s="44"/>
      <c r="IYR152" s="7"/>
      <c r="IYS152" s="51"/>
      <c r="IYT152" s="52"/>
      <c r="IYU152" s="53"/>
      <c r="IYV152" s="54"/>
      <c r="IYW152" s="52"/>
      <c r="IYX152" s="53"/>
      <c r="IYY152" s="54"/>
      <c r="IYZ152" s="52"/>
      <c r="IZA152" s="53"/>
      <c r="IZB152" s="8"/>
      <c r="IZC152" s="45"/>
      <c r="IZD152" s="45"/>
      <c r="IZE152" s="46"/>
      <c r="IZF152" s="44"/>
      <c r="IZG152" s="7"/>
      <c r="IZH152" s="51"/>
      <c r="IZI152" s="52"/>
      <c r="IZJ152" s="53"/>
      <c r="IZK152" s="54"/>
      <c r="IZL152" s="52"/>
      <c r="IZM152" s="53"/>
      <c r="IZN152" s="54"/>
      <c r="IZO152" s="52"/>
      <c r="IZP152" s="53"/>
      <c r="IZQ152" s="8"/>
      <c r="IZR152" s="45"/>
      <c r="IZS152" s="45"/>
      <c r="IZT152" s="46"/>
      <c r="IZU152" s="44"/>
      <c r="IZV152" s="7"/>
      <c r="IZW152" s="51"/>
      <c r="IZX152" s="52"/>
      <c r="IZY152" s="53"/>
      <c r="IZZ152" s="54"/>
      <c r="JAA152" s="52"/>
      <c r="JAB152" s="53"/>
      <c r="JAC152" s="54"/>
      <c r="JAD152" s="52"/>
      <c r="JAE152" s="53"/>
      <c r="JAF152" s="8"/>
      <c r="JAG152" s="45"/>
      <c r="JAH152" s="45"/>
      <c r="JAI152" s="46"/>
      <c r="JAJ152" s="44"/>
      <c r="JAK152" s="7"/>
      <c r="JAL152" s="51"/>
      <c r="JAM152" s="52"/>
      <c r="JAN152" s="53"/>
      <c r="JAO152" s="54"/>
      <c r="JAP152" s="52"/>
      <c r="JAQ152" s="53"/>
      <c r="JAR152" s="54"/>
      <c r="JAS152" s="52"/>
      <c r="JAT152" s="53"/>
      <c r="JAU152" s="8"/>
      <c r="JAV152" s="45"/>
      <c r="JAW152" s="45"/>
      <c r="JAX152" s="46"/>
      <c r="JAY152" s="44"/>
      <c r="JAZ152" s="7"/>
      <c r="JBA152" s="51"/>
      <c r="JBB152" s="52"/>
      <c r="JBC152" s="53"/>
      <c r="JBD152" s="54"/>
      <c r="JBE152" s="52"/>
      <c r="JBF152" s="53"/>
      <c r="JBG152" s="54"/>
      <c r="JBH152" s="52"/>
      <c r="JBI152" s="53"/>
      <c r="JBJ152" s="8"/>
      <c r="JBK152" s="45"/>
      <c r="JBL152" s="45"/>
      <c r="JBM152" s="46"/>
      <c r="JBN152" s="44"/>
      <c r="JBO152" s="7"/>
      <c r="JBP152" s="51"/>
      <c r="JBQ152" s="52"/>
      <c r="JBR152" s="53"/>
      <c r="JBS152" s="54"/>
      <c r="JBT152" s="52"/>
      <c r="JBU152" s="53"/>
      <c r="JBV152" s="54"/>
      <c r="JBW152" s="52"/>
      <c r="JBX152" s="53"/>
      <c r="JBY152" s="8"/>
      <c r="JBZ152" s="45"/>
      <c r="JCA152" s="45"/>
      <c r="JCB152" s="46"/>
      <c r="JCC152" s="44"/>
      <c r="JCD152" s="7"/>
      <c r="JCE152" s="51"/>
      <c r="JCF152" s="52"/>
      <c r="JCG152" s="53"/>
      <c r="JCH152" s="54"/>
      <c r="JCI152" s="52"/>
      <c r="JCJ152" s="53"/>
      <c r="JCK152" s="54"/>
      <c r="JCL152" s="52"/>
      <c r="JCM152" s="53"/>
      <c r="JCN152" s="8"/>
      <c r="JCO152" s="45"/>
      <c r="JCP152" s="45"/>
      <c r="JCQ152" s="46"/>
      <c r="JCR152" s="44"/>
      <c r="JCS152" s="7"/>
      <c r="JCT152" s="51"/>
      <c r="JCU152" s="52"/>
      <c r="JCV152" s="53"/>
      <c r="JCW152" s="54"/>
      <c r="JCX152" s="52"/>
      <c r="JCY152" s="53"/>
      <c r="JCZ152" s="54"/>
      <c r="JDA152" s="52"/>
      <c r="JDB152" s="53"/>
      <c r="JDC152" s="8"/>
      <c r="JDD152" s="45"/>
      <c r="JDE152" s="45"/>
      <c r="JDF152" s="46"/>
      <c r="JDG152" s="44"/>
      <c r="JDH152" s="7"/>
      <c r="JDI152" s="51"/>
      <c r="JDJ152" s="52"/>
      <c r="JDK152" s="53"/>
      <c r="JDL152" s="54"/>
      <c r="JDM152" s="52"/>
      <c r="JDN152" s="53"/>
      <c r="JDO152" s="54"/>
      <c r="JDP152" s="52"/>
      <c r="JDQ152" s="53"/>
      <c r="JDR152" s="8"/>
      <c r="JDS152" s="45"/>
      <c r="JDT152" s="45"/>
      <c r="JDU152" s="46"/>
      <c r="JDV152" s="44"/>
      <c r="JDW152" s="7"/>
      <c r="JDX152" s="51"/>
      <c r="JDY152" s="52"/>
      <c r="JDZ152" s="53"/>
      <c r="JEA152" s="54"/>
      <c r="JEB152" s="52"/>
      <c r="JEC152" s="53"/>
      <c r="JED152" s="54"/>
      <c r="JEE152" s="52"/>
      <c r="JEF152" s="53"/>
      <c r="JEG152" s="8"/>
      <c r="JEH152" s="45"/>
      <c r="JEI152" s="45"/>
      <c r="JEJ152" s="46"/>
      <c r="JEK152" s="44"/>
      <c r="JEL152" s="7"/>
      <c r="JEM152" s="51"/>
      <c r="JEN152" s="52"/>
      <c r="JEO152" s="53"/>
      <c r="JEP152" s="54"/>
      <c r="JEQ152" s="52"/>
      <c r="JER152" s="53"/>
      <c r="JES152" s="54"/>
      <c r="JET152" s="52"/>
      <c r="JEU152" s="53"/>
      <c r="JEV152" s="8"/>
      <c r="JEW152" s="45"/>
      <c r="JEX152" s="45"/>
      <c r="JEY152" s="46"/>
      <c r="JEZ152" s="44"/>
      <c r="JFA152" s="7"/>
      <c r="JFB152" s="51"/>
      <c r="JFC152" s="52"/>
      <c r="JFD152" s="53"/>
      <c r="JFE152" s="54"/>
      <c r="JFF152" s="52"/>
      <c r="JFG152" s="53"/>
      <c r="JFH152" s="54"/>
      <c r="JFI152" s="52"/>
      <c r="JFJ152" s="53"/>
      <c r="JFK152" s="8"/>
      <c r="JFL152" s="45"/>
      <c r="JFM152" s="45"/>
      <c r="JFN152" s="46"/>
      <c r="JFO152" s="44"/>
      <c r="JFP152" s="7"/>
      <c r="JFQ152" s="51"/>
      <c r="JFR152" s="52"/>
      <c r="JFS152" s="53"/>
      <c r="JFT152" s="54"/>
      <c r="JFU152" s="52"/>
      <c r="JFV152" s="53"/>
      <c r="JFW152" s="54"/>
      <c r="JFX152" s="52"/>
      <c r="JFY152" s="53"/>
      <c r="JFZ152" s="8"/>
      <c r="JGA152" s="45"/>
      <c r="JGB152" s="45"/>
      <c r="JGC152" s="46"/>
      <c r="JGD152" s="44"/>
      <c r="JGE152" s="7"/>
      <c r="JGF152" s="51"/>
      <c r="JGG152" s="52"/>
      <c r="JGH152" s="53"/>
      <c r="JGI152" s="54"/>
      <c r="JGJ152" s="52"/>
      <c r="JGK152" s="53"/>
      <c r="JGL152" s="54"/>
      <c r="JGM152" s="52"/>
      <c r="JGN152" s="53"/>
      <c r="JGO152" s="8"/>
      <c r="JGP152" s="45"/>
      <c r="JGQ152" s="45"/>
      <c r="JGR152" s="46"/>
      <c r="JGS152" s="44"/>
      <c r="JGT152" s="7"/>
      <c r="JGU152" s="51"/>
      <c r="JGV152" s="52"/>
      <c r="JGW152" s="53"/>
      <c r="JGX152" s="54"/>
      <c r="JGY152" s="52"/>
      <c r="JGZ152" s="53"/>
      <c r="JHA152" s="54"/>
      <c r="JHB152" s="52"/>
      <c r="JHC152" s="53"/>
      <c r="JHD152" s="8"/>
      <c r="JHE152" s="45"/>
      <c r="JHF152" s="45"/>
      <c r="JHG152" s="46"/>
      <c r="JHH152" s="44"/>
      <c r="JHI152" s="7"/>
      <c r="JHJ152" s="51"/>
      <c r="JHK152" s="52"/>
      <c r="JHL152" s="53"/>
      <c r="JHM152" s="54"/>
      <c r="JHN152" s="52"/>
      <c r="JHO152" s="53"/>
      <c r="JHP152" s="54"/>
      <c r="JHQ152" s="52"/>
      <c r="JHR152" s="53"/>
      <c r="JHS152" s="8"/>
      <c r="JHT152" s="45"/>
      <c r="JHU152" s="45"/>
      <c r="JHV152" s="46"/>
      <c r="JHW152" s="44"/>
      <c r="JHX152" s="7"/>
      <c r="JHY152" s="51"/>
      <c r="JHZ152" s="52"/>
      <c r="JIA152" s="53"/>
      <c r="JIB152" s="54"/>
      <c r="JIC152" s="52"/>
      <c r="JID152" s="53"/>
      <c r="JIE152" s="54"/>
      <c r="JIF152" s="52"/>
      <c r="JIG152" s="53"/>
      <c r="JIH152" s="8"/>
      <c r="JII152" s="45"/>
      <c r="JIJ152" s="45"/>
      <c r="JIK152" s="46"/>
      <c r="JIL152" s="44"/>
      <c r="JIM152" s="7"/>
      <c r="JIN152" s="51"/>
      <c r="JIO152" s="52"/>
      <c r="JIP152" s="53"/>
      <c r="JIQ152" s="54"/>
      <c r="JIR152" s="52"/>
      <c r="JIS152" s="53"/>
      <c r="JIT152" s="54"/>
      <c r="JIU152" s="52"/>
      <c r="JIV152" s="53"/>
      <c r="JIW152" s="8"/>
      <c r="JIX152" s="45"/>
      <c r="JIY152" s="45"/>
      <c r="JIZ152" s="46"/>
      <c r="JJA152" s="44"/>
      <c r="JJB152" s="7"/>
      <c r="JJC152" s="51"/>
      <c r="JJD152" s="52"/>
      <c r="JJE152" s="53"/>
      <c r="JJF152" s="54"/>
      <c r="JJG152" s="52"/>
      <c r="JJH152" s="53"/>
      <c r="JJI152" s="54"/>
      <c r="JJJ152" s="52"/>
      <c r="JJK152" s="53"/>
      <c r="JJL152" s="8"/>
      <c r="JJM152" s="45"/>
      <c r="JJN152" s="45"/>
      <c r="JJO152" s="46"/>
      <c r="JJP152" s="44"/>
      <c r="JJQ152" s="7"/>
      <c r="JJR152" s="51"/>
      <c r="JJS152" s="52"/>
      <c r="JJT152" s="53"/>
      <c r="JJU152" s="54"/>
      <c r="JJV152" s="52"/>
      <c r="JJW152" s="53"/>
      <c r="JJX152" s="54"/>
      <c r="JJY152" s="52"/>
      <c r="JJZ152" s="53"/>
      <c r="JKA152" s="8"/>
      <c r="JKB152" s="45"/>
      <c r="JKC152" s="45"/>
      <c r="JKD152" s="46"/>
      <c r="JKE152" s="44"/>
      <c r="JKF152" s="7"/>
      <c r="JKG152" s="51"/>
      <c r="JKH152" s="52"/>
      <c r="JKI152" s="53"/>
      <c r="JKJ152" s="54"/>
      <c r="JKK152" s="52"/>
      <c r="JKL152" s="53"/>
      <c r="JKM152" s="54"/>
      <c r="JKN152" s="52"/>
      <c r="JKO152" s="53"/>
      <c r="JKP152" s="8"/>
      <c r="JKQ152" s="45"/>
      <c r="JKR152" s="45"/>
      <c r="JKS152" s="46"/>
      <c r="JKT152" s="44"/>
      <c r="JKU152" s="7"/>
      <c r="JKV152" s="51"/>
      <c r="JKW152" s="52"/>
      <c r="JKX152" s="53"/>
      <c r="JKY152" s="54"/>
      <c r="JKZ152" s="52"/>
      <c r="JLA152" s="53"/>
      <c r="JLB152" s="54"/>
      <c r="JLC152" s="52"/>
      <c r="JLD152" s="53"/>
      <c r="JLE152" s="8"/>
      <c r="JLF152" s="45"/>
      <c r="JLG152" s="45"/>
      <c r="JLH152" s="46"/>
      <c r="JLI152" s="44"/>
      <c r="JLJ152" s="7"/>
      <c r="JLK152" s="51"/>
      <c r="JLL152" s="52"/>
      <c r="JLM152" s="53"/>
      <c r="JLN152" s="54"/>
      <c r="JLO152" s="52"/>
      <c r="JLP152" s="53"/>
      <c r="JLQ152" s="54"/>
      <c r="JLR152" s="52"/>
      <c r="JLS152" s="53"/>
      <c r="JLT152" s="8"/>
      <c r="JLU152" s="45"/>
      <c r="JLV152" s="45"/>
      <c r="JLW152" s="46"/>
      <c r="JLX152" s="44"/>
      <c r="JLY152" s="7"/>
      <c r="JLZ152" s="51"/>
      <c r="JMA152" s="52"/>
      <c r="JMB152" s="53"/>
      <c r="JMC152" s="54"/>
      <c r="JMD152" s="52"/>
      <c r="JME152" s="53"/>
      <c r="JMF152" s="54"/>
      <c r="JMG152" s="52"/>
      <c r="JMH152" s="53"/>
      <c r="JMI152" s="8"/>
      <c r="JMJ152" s="45"/>
      <c r="JMK152" s="45"/>
      <c r="JML152" s="46"/>
      <c r="JMM152" s="44"/>
      <c r="JMN152" s="7"/>
      <c r="JMO152" s="51"/>
      <c r="JMP152" s="52"/>
      <c r="JMQ152" s="53"/>
      <c r="JMR152" s="54"/>
      <c r="JMS152" s="52"/>
      <c r="JMT152" s="53"/>
      <c r="JMU152" s="54"/>
      <c r="JMV152" s="52"/>
      <c r="JMW152" s="53"/>
      <c r="JMX152" s="8"/>
      <c r="JMY152" s="45"/>
      <c r="JMZ152" s="45"/>
      <c r="JNA152" s="46"/>
      <c r="JNB152" s="44"/>
      <c r="JNC152" s="7"/>
      <c r="JND152" s="51"/>
      <c r="JNE152" s="52"/>
      <c r="JNF152" s="53"/>
      <c r="JNG152" s="54"/>
      <c r="JNH152" s="52"/>
      <c r="JNI152" s="53"/>
      <c r="JNJ152" s="54"/>
      <c r="JNK152" s="52"/>
      <c r="JNL152" s="53"/>
      <c r="JNM152" s="8"/>
      <c r="JNN152" s="45"/>
      <c r="JNO152" s="45"/>
      <c r="JNP152" s="46"/>
      <c r="JNQ152" s="44"/>
      <c r="JNR152" s="7"/>
      <c r="JNS152" s="51"/>
      <c r="JNT152" s="52"/>
      <c r="JNU152" s="53"/>
      <c r="JNV152" s="54"/>
      <c r="JNW152" s="52"/>
      <c r="JNX152" s="53"/>
      <c r="JNY152" s="54"/>
      <c r="JNZ152" s="52"/>
      <c r="JOA152" s="53"/>
      <c r="JOB152" s="8"/>
      <c r="JOC152" s="45"/>
      <c r="JOD152" s="45"/>
      <c r="JOE152" s="46"/>
      <c r="JOF152" s="44"/>
      <c r="JOG152" s="7"/>
      <c r="JOH152" s="51"/>
      <c r="JOI152" s="52"/>
      <c r="JOJ152" s="53"/>
      <c r="JOK152" s="54"/>
      <c r="JOL152" s="52"/>
      <c r="JOM152" s="53"/>
      <c r="JON152" s="54"/>
      <c r="JOO152" s="52"/>
      <c r="JOP152" s="53"/>
      <c r="JOQ152" s="8"/>
      <c r="JOR152" s="45"/>
      <c r="JOS152" s="45"/>
      <c r="JOT152" s="46"/>
      <c r="JOU152" s="44"/>
      <c r="JOV152" s="7"/>
      <c r="JOW152" s="51"/>
      <c r="JOX152" s="52"/>
      <c r="JOY152" s="53"/>
      <c r="JOZ152" s="54"/>
      <c r="JPA152" s="52"/>
      <c r="JPB152" s="53"/>
      <c r="JPC152" s="54"/>
      <c r="JPD152" s="52"/>
      <c r="JPE152" s="53"/>
      <c r="JPF152" s="8"/>
      <c r="JPG152" s="45"/>
      <c r="JPH152" s="45"/>
      <c r="JPI152" s="46"/>
      <c r="JPJ152" s="44"/>
      <c r="JPK152" s="7"/>
      <c r="JPL152" s="51"/>
      <c r="JPM152" s="52"/>
      <c r="JPN152" s="53"/>
      <c r="JPO152" s="54"/>
      <c r="JPP152" s="52"/>
      <c r="JPQ152" s="53"/>
      <c r="JPR152" s="54"/>
      <c r="JPS152" s="52"/>
      <c r="JPT152" s="53"/>
      <c r="JPU152" s="8"/>
      <c r="JPV152" s="45"/>
      <c r="JPW152" s="45"/>
      <c r="JPX152" s="46"/>
      <c r="JPY152" s="44"/>
      <c r="JPZ152" s="7"/>
      <c r="JQA152" s="51"/>
      <c r="JQB152" s="52"/>
      <c r="JQC152" s="53"/>
      <c r="JQD152" s="54"/>
      <c r="JQE152" s="52"/>
      <c r="JQF152" s="53"/>
      <c r="JQG152" s="54"/>
      <c r="JQH152" s="52"/>
      <c r="JQI152" s="53"/>
      <c r="JQJ152" s="8"/>
      <c r="JQK152" s="45"/>
      <c r="JQL152" s="45"/>
      <c r="JQM152" s="46"/>
      <c r="JQN152" s="44"/>
      <c r="JQO152" s="7"/>
      <c r="JQP152" s="51"/>
      <c r="JQQ152" s="52"/>
      <c r="JQR152" s="53"/>
      <c r="JQS152" s="54"/>
      <c r="JQT152" s="52"/>
      <c r="JQU152" s="53"/>
      <c r="JQV152" s="54"/>
      <c r="JQW152" s="52"/>
      <c r="JQX152" s="53"/>
      <c r="JQY152" s="8"/>
      <c r="JQZ152" s="45"/>
      <c r="JRA152" s="45"/>
      <c r="JRB152" s="46"/>
      <c r="JRC152" s="44"/>
      <c r="JRD152" s="7"/>
      <c r="JRE152" s="51"/>
      <c r="JRF152" s="52"/>
      <c r="JRG152" s="53"/>
      <c r="JRH152" s="54"/>
      <c r="JRI152" s="52"/>
      <c r="JRJ152" s="53"/>
      <c r="JRK152" s="54"/>
      <c r="JRL152" s="52"/>
      <c r="JRM152" s="53"/>
      <c r="JRN152" s="8"/>
      <c r="JRO152" s="45"/>
      <c r="JRP152" s="45"/>
      <c r="JRQ152" s="46"/>
      <c r="JRR152" s="44"/>
      <c r="JRS152" s="7"/>
      <c r="JRT152" s="51"/>
      <c r="JRU152" s="52"/>
      <c r="JRV152" s="53"/>
      <c r="JRW152" s="54"/>
      <c r="JRX152" s="52"/>
      <c r="JRY152" s="53"/>
      <c r="JRZ152" s="54"/>
      <c r="JSA152" s="52"/>
      <c r="JSB152" s="53"/>
      <c r="JSC152" s="8"/>
      <c r="JSD152" s="45"/>
      <c r="JSE152" s="45"/>
      <c r="JSF152" s="46"/>
      <c r="JSG152" s="44"/>
      <c r="JSH152" s="7"/>
      <c r="JSI152" s="51"/>
      <c r="JSJ152" s="52"/>
      <c r="JSK152" s="53"/>
      <c r="JSL152" s="54"/>
      <c r="JSM152" s="52"/>
      <c r="JSN152" s="53"/>
      <c r="JSO152" s="54"/>
      <c r="JSP152" s="52"/>
      <c r="JSQ152" s="53"/>
      <c r="JSR152" s="8"/>
      <c r="JSS152" s="45"/>
      <c r="JST152" s="45"/>
      <c r="JSU152" s="46"/>
      <c r="JSV152" s="44"/>
      <c r="JSW152" s="7"/>
      <c r="JSX152" s="51"/>
      <c r="JSY152" s="52"/>
      <c r="JSZ152" s="53"/>
      <c r="JTA152" s="54"/>
      <c r="JTB152" s="52"/>
      <c r="JTC152" s="53"/>
      <c r="JTD152" s="54"/>
      <c r="JTE152" s="52"/>
      <c r="JTF152" s="53"/>
      <c r="JTG152" s="8"/>
      <c r="JTH152" s="45"/>
      <c r="JTI152" s="45"/>
      <c r="JTJ152" s="46"/>
      <c r="JTK152" s="44"/>
      <c r="JTL152" s="7"/>
      <c r="JTM152" s="51"/>
      <c r="JTN152" s="52"/>
      <c r="JTO152" s="53"/>
      <c r="JTP152" s="54"/>
      <c r="JTQ152" s="52"/>
      <c r="JTR152" s="53"/>
      <c r="JTS152" s="54"/>
      <c r="JTT152" s="52"/>
      <c r="JTU152" s="53"/>
      <c r="JTV152" s="8"/>
      <c r="JTW152" s="45"/>
      <c r="JTX152" s="45"/>
      <c r="JTY152" s="46"/>
      <c r="JTZ152" s="44"/>
      <c r="JUA152" s="7"/>
      <c r="JUB152" s="51"/>
      <c r="JUC152" s="52"/>
      <c r="JUD152" s="53"/>
      <c r="JUE152" s="54"/>
      <c r="JUF152" s="52"/>
      <c r="JUG152" s="53"/>
      <c r="JUH152" s="54"/>
      <c r="JUI152" s="52"/>
      <c r="JUJ152" s="53"/>
      <c r="JUK152" s="8"/>
      <c r="JUL152" s="45"/>
      <c r="JUM152" s="45"/>
      <c r="JUN152" s="46"/>
      <c r="JUO152" s="44"/>
      <c r="JUP152" s="7"/>
      <c r="JUQ152" s="51"/>
      <c r="JUR152" s="52"/>
      <c r="JUS152" s="53"/>
      <c r="JUT152" s="54"/>
      <c r="JUU152" s="52"/>
      <c r="JUV152" s="53"/>
      <c r="JUW152" s="54"/>
      <c r="JUX152" s="52"/>
      <c r="JUY152" s="53"/>
      <c r="JUZ152" s="8"/>
      <c r="JVA152" s="45"/>
      <c r="JVB152" s="45"/>
      <c r="JVC152" s="46"/>
      <c r="JVD152" s="44"/>
      <c r="JVE152" s="7"/>
      <c r="JVF152" s="51"/>
      <c r="JVG152" s="52"/>
      <c r="JVH152" s="53"/>
      <c r="JVI152" s="54"/>
      <c r="JVJ152" s="52"/>
      <c r="JVK152" s="53"/>
      <c r="JVL152" s="54"/>
      <c r="JVM152" s="52"/>
      <c r="JVN152" s="53"/>
      <c r="JVO152" s="8"/>
      <c r="JVP152" s="45"/>
      <c r="JVQ152" s="45"/>
      <c r="JVR152" s="46"/>
      <c r="JVS152" s="44"/>
      <c r="JVT152" s="7"/>
      <c r="JVU152" s="51"/>
      <c r="JVV152" s="52"/>
      <c r="JVW152" s="53"/>
      <c r="JVX152" s="54"/>
      <c r="JVY152" s="52"/>
      <c r="JVZ152" s="53"/>
      <c r="JWA152" s="54"/>
      <c r="JWB152" s="52"/>
      <c r="JWC152" s="53"/>
      <c r="JWD152" s="8"/>
      <c r="JWE152" s="45"/>
      <c r="JWF152" s="45"/>
      <c r="JWG152" s="46"/>
      <c r="JWH152" s="44"/>
      <c r="JWI152" s="7"/>
      <c r="JWJ152" s="51"/>
      <c r="JWK152" s="52"/>
      <c r="JWL152" s="53"/>
      <c r="JWM152" s="54"/>
      <c r="JWN152" s="52"/>
      <c r="JWO152" s="53"/>
      <c r="JWP152" s="54"/>
      <c r="JWQ152" s="52"/>
      <c r="JWR152" s="53"/>
      <c r="JWS152" s="8"/>
      <c r="JWT152" s="45"/>
      <c r="JWU152" s="45"/>
      <c r="JWV152" s="46"/>
      <c r="JWW152" s="44"/>
      <c r="JWX152" s="7"/>
      <c r="JWY152" s="51"/>
      <c r="JWZ152" s="52"/>
      <c r="JXA152" s="53"/>
      <c r="JXB152" s="54"/>
      <c r="JXC152" s="52"/>
      <c r="JXD152" s="53"/>
      <c r="JXE152" s="54"/>
      <c r="JXF152" s="52"/>
      <c r="JXG152" s="53"/>
      <c r="JXH152" s="8"/>
      <c r="JXI152" s="45"/>
      <c r="JXJ152" s="45"/>
      <c r="JXK152" s="46"/>
      <c r="JXL152" s="44"/>
      <c r="JXM152" s="7"/>
      <c r="JXN152" s="51"/>
      <c r="JXO152" s="52"/>
      <c r="JXP152" s="53"/>
      <c r="JXQ152" s="54"/>
      <c r="JXR152" s="52"/>
      <c r="JXS152" s="53"/>
      <c r="JXT152" s="54"/>
      <c r="JXU152" s="52"/>
      <c r="JXV152" s="53"/>
      <c r="JXW152" s="8"/>
      <c r="JXX152" s="45"/>
      <c r="JXY152" s="45"/>
      <c r="JXZ152" s="46"/>
      <c r="JYA152" s="44"/>
      <c r="JYB152" s="7"/>
      <c r="JYC152" s="51"/>
      <c r="JYD152" s="52"/>
      <c r="JYE152" s="53"/>
      <c r="JYF152" s="54"/>
      <c r="JYG152" s="52"/>
      <c r="JYH152" s="53"/>
      <c r="JYI152" s="54"/>
      <c r="JYJ152" s="52"/>
      <c r="JYK152" s="53"/>
      <c r="JYL152" s="8"/>
      <c r="JYM152" s="45"/>
      <c r="JYN152" s="45"/>
      <c r="JYO152" s="46"/>
      <c r="JYP152" s="44"/>
      <c r="JYQ152" s="7"/>
      <c r="JYR152" s="51"/>
      <c r="JYS152" s="52"/>
      <c r="JYT152" s="53"/>
      <c r="JYU152" s="54"/>
      <c r="JYV152" s="52"/>
      <c r="JYW152" s="53"/>
      <c r="JYX152" s="54"/>
      <c r="JYY152" s="52"/>
      <c r="JYZ152" s="53"/>
      <c r="JZA152" s="8"/>
      <c r="JZB152" s="45"/>
      <c r="JZC152" s="45"/>
      <c r="JZD152" s="46"/>
      <c r="JZE152" s="44"/>
      <c r="JZF152" s="7"/>
      <c r="JZG152" s="51"/>
      <c r="JZH152" s="52"/>
      <c r="JZI152" s="53"/>
      <c r="JZJ152" s="54"/>
      <c r="JZK152" s="52"/>
      <c r="JZL152" s="53"/>
      <c r="JZM152" s="54"/>
      <c r="JZN152" s="52"/>
      <c r="JZO152" s="53"/>
      <c r="JZP152" s="8"/>
      <c r="JZQ152" s="45"/>
      <c r="JZR152" s="45"/>
      <c r="JZS152" s="46"/>
      <c r="JZT152" s="44"/>
      <c r="JZU152" s="7"/>
      <c r="JZV152" s="51"/>
      <c r="JZW152" s="52"/>
      <c r="JZX152" s="53"/>
      <c r="JZY152" s="54"/>
      <c r="JZZ152" s="52"/>
      <c r="KAA152" s="53"/>
      <c r="KAB152" s="54"/>
      <c r="KAC152" s="52"/>
      <c r="KAD152" s="53"/>
      <c r="KAE152" s="8"/>
      <c r="KAF152" s="45"/>
      <c r="KAG152" s="45"/>
      <c r="KAH152" s="46"/>
      <c r="KAI152" s="44"/>
      <c r="KAJ152" s="7"/>
      <c r="KAK152" s="51"/>
      <c r="KAL152" s="52"/>
      <c r="KAM152" s="53"/>
      <c r="KAN152" s="54"/>
      <c r="KAO152" s="52"/>
      <c r="KAP152" s="53"/>
      <c r="KAQ152" s="54"/>
      <c r="KAR152" s="52"/>
      <c r="KAS152" s="53"/>
      <c r="KAT152" s="8"/>
      <c r="KAU152" s="45"/>
      <c r="KAV152" s="45"/>
      <c r="KAW152" s="46"/>
      <c r="KAX152" s="44"/>
      <c r="KAY152" s="7"/>
      <c r="KAZ152" s="51"/>
      <c r="KBA152" s="52"/>
      <c r="KBB152" s="53"/>
      <c r="KBC152" s="54"/>
      <c r="KBD152" s="52"/>
      <c r="KBE152" s="53"/>
      <c r="KBF152" s="54"/>
      <c r="KBG152" s="52"/>
      <c r="KBH152" s="53"/>
      <c r="KBI152" s="8"/>
      <c r="KBJ152" s="45"/>
      <c r="KBK152" s="45"/>
      <c r="KBL152" s="46"/>
      <c r="KBM152" s="44"/>
      <c r="KBN152" s="7"/>
      <c r="KBO152" s="51"/>
      <c r="KBP152" s="52"/>
      <c r="KBQ152" s="53"/>
      <c r="KBR152" s="54"/>
      <c r="KBS152" s="52"/>
      <c r="KBT152" s="53"/>
      <c r="KBU152" s="54"/>
      <c r="KBV152" s="52"/>
      <c r="KBW152" s="53"/>
      <c r="KBX152" s="8"/>
      <c r="KBY152" s="45"/>
      <c r="KBZ152" s="45"/>
      <c r="KCA152" s="46"/>
      <c r="KCB152" s="44"/>
      <c r="KCC152" s="7"/>
      <c r="KCD152" s="51"/>
      <c r="KCE152" s="52"/>
      <c r="KCF152" s="53"/>
      <c r="KCG152" s="54"/>
      <c r="KCH152" s="52"/>
      <c r="KCI152" s="53"/>
      <c r="KCJ152" s="54"/>
      <c r="KCK152" s="52"/>
      <c r="KCL152" s="53"/>
      <c r="KCM152" s="8"/>
      <c r="KCN152" s="45"/>
      <c r="KCO152" s="45"/>
      <c r="KCP152" s="46"/>
      <c r="KCQ152" s="44"/>
      <c r="KCR152" s="7"/>
      <c r="KCS152" s="51"/>
      <c r="KCT152" s="52"/>
      <c r="KCU152" s="53"/>
      <c r="KCV152" s="54"/>
      <c r="KCW152" s="52"/>
      <c r="KCX152" s="53"/>
      <c r="KCY152" s="54"/>
      <c r="KCZ152" s="52"/>
      <c r="KDA152" s="53"/>
      <c r="KDB152" s="8"/>
      <c r="KDC152" s="45"/>
      <c r="KDD152" s="45"/>
      <c r="KDE152" s="46"/>
      <c r="KDF152" s="44"/>
      <c r="KDG152" s="7"/>
      <c r="KDH152" s="51"/>
      <c r="KDI152" s="52"/>
      <c r="KDJ152" s="53"/>
      <c r="KDK152" s="54"/>
      <c r="KDL152" s="52"/>
      <c r="KDM152" s="53"/>
      <c r="KDN152" s="54"/>
      <c r="KDO152" s="52"/>
      <c r="KDP152" s="53"/>
      <c r="KDQ152" s="8"/>
      <c r="KDR152" s="45"/>
      <c r="KDS152" s="45"/>
      <c r="KDT152" s="46"/>
      <c r="KDU152" s="44"/>
      <c r="KDV152" s="7"/>
      <c r="KDW152" s="51"/>
      <c r="KDX152" s="52"/>
      <c r="KDY152" s="53"/>
      <c r="KDZ152" s="54"/>
      <c r="KEA152" s="52"/>
      <c r="KEB152" s="53"/>
      <c r="KEC152" s="54"/>
      <c r="KED152" s="52"/>
      <c r="KEE152" s="53"/>
      <c r="KEF152" s="8"/>
      <c r="KEG152" s="45"/>
      <c r="KEH152" s="45"/>
      <c r="KEI152" s="46"/>
      <c r="KEJ152" s="44"/>
      <c r="KEK152" s="7"/>
      <c r="KEL152" s="51"/>
      <c r="KEM152" s="52"/>
      <c r="KEN152" s="53"/>
      <c r="KEO152" s="54"/>
      <c r="KEP152" s="52"/>
      <c r="KEQ152" s="53"/>
      <c r="KER152" s="54"/>
      <c r="KES152" s="52"/>
      <c r="KET152" s="53"/>
      <c r="KEU152" s="8"/>
      <c r="KEV152" s="45"/>
      <c r="KEW152" s="45"/>
      <c r="KEX152" s="46"/>
      <c r="KEY152" s="44"/>
      <c r="KEZ152" s="7"/>
      <c r="KFA152" s="51"/>
      <c r="KFB152" s="52"/>
      <c r="KFC152" s="53"/>
      <c r="KFD152" s="54"/>
      <c r="KFE152" s="52"/>
      <c r="KFF152" s="53"/>
      <c r="KFG152" s="54"/>
      <c r="KFH152" s="52"/>
      <c r="KFI152" s="53"/>
      <c r="KFJ152" s="8"/>
      <c r="KFK152" s="45"/>
      <c r="KFL152" s="45"/>
      <c r="KFM152" s="46"/>
      <c r="KFN152" s="44"/>
      <c r="KFO152" s="7"/>
      <c r="KFP152" s="51"/>
      <c r="KFQ152" s="52"/>
      <c r="KFR152" s="53"/>
      <c r="KFS152" s="54"/>
      <c r="KFT152" s="52"/>
      <c r="KFU152" s="53"/>
      <c r="KFV152" s="54"/>
      <c r="KFW152" s="52"/>
      <c r="KFX152" s="53"/>
      <c r="KFY152" s="8"/>
      <c r="KFZ152" s="45"/>
      <c r="KGA152" s="45"/>
      <c r="KGB152" s="46"/>
      <c r="KGC152" s="44"/>
      <c r="KGD152" s="7"/>
      <c r="KGE152" s="51"/>
      <c r="KGF152" s="52"/>
      <c r="KGG152" s="53"/>
      <c r="KGH152" s="54"/>
      <c r="KGI152" s="52"/>
      <c r="KGJ152" s="53"/>
      <c r="KGK152" s="54"/>
      <c r="KGL152" s="52"/>
      <c r="KGM152" s="53"/>
      <c r="KGN152" s="8"/>
      <c r="KGO152" s="45"/>
      <c r="KGP152" s="45"/>
      <c r="KGQ152" s="46"/>
      <c r="KGR152" s="44"/>
      <c r="KGS152" s="7"/>
      <c r="KGT152" s="51"/>
      <c r="KGU152" s="52"/>
      <c r="KGV152" s="53"/>
      <c r="KGW152" s="54"/>
      <c r="KGX152" s="52"/>
      <c r="KGY152" s="53"/>
      <c r="KGZ152" s="54"/>
      <c r="KHA152" s="52"/>
      <c r="KHB152" s="53"/>
      <c r="KHC152" s="8"/>
      <c r="KHD152" s="45"/>
      <c r="KHE152" s="45"/>
      <c r="KHF152" s="46"/>
      <c r="KHG152" s="44"/>
      <c r="KHH152" s="7"/>
      <c r="KHI152" s="51"/>
      <c r="KHJ152" s="52"/>
      <c r="KHK152" s="53"/>
      <c r="KHL152" s="54"/>
      <c r="KHM152" s="52"/>
      <c r="KHN152" s="53"/>
      <c r="KHO152" s="54"/>
      <c r="KHP152" s="52"/>
      <c r="KHQ152" s="53"/>
      <c r="KHR152" s="8"/>
      <c r="KHS152" s="45"/>
      <c r="KHT152" s="45"/>
      <c r="KHU152" s="46"/>
      <c r="KHV152" s="44"/>
      <c r="KHW152" s="7"/>
      <c r="KHX152" s="51"/>
      <c r="KHY152" s="52"/>
      <c r="KHZ152" s="53"/>
      <c r="KIA152" s="54"/>
      <c r="KIB152" s="52"/>
      <c r="KIC152" s="53"/>
      <c r="KID152" s="54"/>
      <c r="KIE152" s="52"/>
      <c r="KIF152" s="53"/>
      <c r="KIG152" s="8"/>
      <c r="KIH152" s="45"/>
      <c r="KII152" s="45"/>
      <c r="KIJ152" s="46"/>
      <c r="KIK152" s="44"/>
      <c r="KIL152" s="7"/>
      <c r="KIM152" s="51"/>
      <c r="KIN152" s="52"/>
      <c r="KIO152" s="53"/>
      <c r="KIP152" s="54"/>
      <c r="KIQ152" s="52"/>
      <c r="KIR152" s="53"/>
      <c r="KIS152" s="54"/>
      <c r="KIT152" s="52"/>
      <c r="KIU152" s="53"/>
      <c r="KIV152" s="8"/>
      <c r="KIW152" s="45"/>
      <c r="KIX152" s="45"/>
      <c r="KIY152" s="46"/>
      <c r="KIZ152" s="44"/>
      <c r="KJA152" s="7"/>
      <c r="KJB152" s="51"/>
      <c r="KJC152" s="52"/>
      <c r="KJD152" s="53"/>
      <c r="KJE152" s="54"/>
      <c r="KJF152" s="52"/>
      <c r="KJG152" s="53"/>
      <c r="KJH152" s="54"/>
      <c r="KJI152" s="52"/>
      <c r="KJJ152" s="53"/>
      <c r="KJK152" s="8"/>
      <c r="KJL152" s="45"/>
      <c r="KJM152" s="45"/>
      <c r="KJN152" s="46"/>
      <c r="KJO152" s="44"/>
      <c r="KJP152" s="7"/>
      <c r="KJQ152" s="51"/>
      <c r="KJR152" s="52"/>
      <c r="KJS152" s="53"/>
      <c r="KJT152" s="54"/>
      <c r="KJU152" s="52"/>
      <c r="KJV152" s="53"/>
      <c r="KJW152" s="54"/>
      <c r="KJX152" s="52"/>
      <c r="KJY152" s="53"/>
      <c r="KJZ152" s="8"/>
      <c r="KKA152" s="45"/>
      <c r="KKB152" s="45"/>
      <c r="KKC152" s="46"/>
      <c r="KKD152" s="44"/>
      <c r="KKE152" s="7"/>
      <c r="KKF152" s="51"/>
      <c r="KKG152" s="52"/>
      <c r="KKH152" s="53"/>
      <c r="KKI152" s="54"/>
      <c r="KKJ152" s="52"/>
      <c r="KKK152" s="53"/>
      <c r="KKL152" s="54"/>
      <c r="KKM152" s="52"/>
      <c r="KKN152" s="53"/>
      <c r="KKO152" s="8"/>
      <c r="KKP152" s="45"/>
      <c r="KKQ152" s="45"/>
      <c r="KKR152" s="46"/>
      <c r="KKS152" s="44"/>
      <c r="KKT152" s="7"/>
      <c r="KKU152" s="51"/>
      <c r="KKV152" s="52"/>
      <c r="KKW152" s="53"/>
      <c r="KKX152" s="54"/>
      <c r="KKY152" s="52"/>
      <c r="KKZ152" s="53"/>
      <c r="KLA152" s="54"/>
      <c r="KLB152" s="52"/>
      <c r="KLC152" s="53"/>
      <c r="KLD152" s="8"/>
      <c r="KLE152" s="45"/>
      <c r="KLF152" s="45"/>
      <c r="KLG152" s="46"/>
      <c r="KLH152" s="44"/>
      <c r="KLI152" s="7"/>
      <c r="KLJ152" s="51"/>
      <c r="KLK152" s="52"/>
      <c r="KLL152" s="53"/>
      <c r="KLM152" s="54"/>
      <c r="KLN152" s="52"/>
      <c r="KLO152" s="53"/>
      <c r="KLP152" s="54"/>
      <c r="KLQ152" s="52"/>
      <c r="KLR152" s="53"/>
      <c r="KLS152" s="8"/>
      <c r="KLT152" s="45"/>
      <c r="KLU152" s="45"/>
      <c r="KLV152" s="46"/>
      <c r="KLW152" s="44"/>
      <c r="KLX152" s="7"/>
      <c r="KLY152" s="51"/>
      <c r="KLZ152" s="52"/>
      <c r="KMA152" s="53"/>
      <c r="KMB152" s="54"/>
      <c r="KMC152" s="52"/>
      <c r="KMD152" s="53"/>
      <c r="KME152" s="54"/>
      <c r="KMF152" s="52"/>
      <c r="KMG152" s="53"/>
      <c r="KMH152" s="8"/>
      <c r="KMI152" s="45"/>
      <c r="KMJ152" s="45"/>
      <c r="KMK152" s="46"/>
      <c r="KML152" s="44"/>
      <c r="KMM152" s="7"/>
      <c r="KMN152" s="51"/>
      <c r="KMO152" s="52"/>
      <c r="KMP152" s="53"/>
      <c r="KMQ152" s="54"/>
      <c r="KMR152" s="52"/>
      <c r="KMS152" s="53"/>
      <c r="KMT152" s="54"/>
      <c r="KMU152" s="52"/>
      <c r="KMV152" s="53"/>
      <c r="KMW152" s="8"/>
      <c r="KMX152" s="45"/>
      <c r="KMY152" s="45"/>
      <c r="KMZ152" s="46"/>
      <c r="KNA152" s="44"/>
      <c r="KNB152" s="7"/>
      <c r="KNC152" s="51"/>
      <c r="KND152" s="52"/>
      <c r="KNE152" s="53"/>
      <c r="KNF152" s="54"/>
      <c r="KNG152" s="52"/>
      <c r="KNH152" s="53"/>
      <c r="KNI152" s="54"/>
      <c r="KNJ152" s="52"/>
      <c r="KNK152" s="53"/>
      <c r="KNL152" s="8"/>
      <c r="KNM152" s="45"/>
      <c r="KNN152" s="45"/>
      <c r="KNO152" s="46"/>
      <c r="KNP152" s="44"/>
      <c r="KNQ152" s="7"/>
      <c r="KNR152" s="51"/>
      <c r="KNS152" s="52"/>
      <c r="KNT152" s="53"/>
      <c r="KNU152" s="54"/>
      <c r="KNV152" s="52"/>
      <c r="KNW152" s="53"/>
      <c r="KNX152" s="54"/>
      <c r="KNY152" s="52"/>
      <c r="KNZ152" s="53"/>
      <c r="KOA152" s="8"/>
      <c r="KOB152" s="45"/>
      <c r="KOC152" s="45"/>
      <c r="KOD152" s="46"/>
      <c r="KOE152" s="44"/>
      <c r="KOF152" s="7"/>
      <c r="KOG152" s="51"/>
      <c r="KOH152" s="52"/>
      <c r="KOI152" s="53"/>
      <c r="KOJ152" s="54"/>
      <c r="KOK152" s="52"/>
      <c r="KOL152" s="53"/>
      <c r="KOM152" s="54"/>
      <c r="KON152" s="52"/>
      <c r="KOO152" s="53"/>
      <c r="KOP152" s="8"/>
      <c r="KOQ152" s="45"/>
      <c r="KOR152" s="45"/>
      <c r="KOS152" s="46"/>
      <c r="KOT152" s="44"/>
      <c r="KOU152" s="7"/>
      <c r="KOV152" s="51"/>
      <c r="KOW152" s="52"/>
      <c r="KOX152" s="53"/>
      <c r="KOY152" s="54"/>
      <c r="KOZ152" s="52"/>
      <c r="KPA152" s="53"/>
      <c r="KPB152" s="54"/>
      <c r="KPC152" s="52"/>
      <c r="KPD152" s="53"/>
      <c r="KPE152" s="8"/>
      <c r="KPF152" s="45"/>
      <c r="KPG152" s="45"/>
      <c r="KPH152" s="46"/>
      <c r="KPI152" s="44"/>
      <c r="KPJ152" s="7"/>
      <c r="KPK152" s="51"/>
      <c r="KPL152" s="52"/>
      <c r="KPM152" s="53"/>
      <c r="KPN152" s="54"/>
      <c r="KPO152" s="52"/>
      <c r="KPP152" s="53"/>
      <c r="KPQ152" s="54"/>
      <c r="KPR152" s="52"/>
      <c r="KPS152" s="53"/>
      <c r="KPT152" s="8"/>
      <c r="KPU152" s="45"/>
      <c r="KPV152" s="45"/>
      <c r="KPW152" s="46"/>
      <c r="KPX152" s="44"/>
      <c r="KPY152" s="7"/>
      <c r="KPZ152" s="51"/>
      <c r="KQA152" s="52"/>
      <c r="KQB152" s="53"/>
      <c r="KQC152" s="54"/>
      <c r="KQD152" s="52"/>
      <c r="KQE152" s="53"/>
      <c r="KQF152" s="54"/>
      <c r="KQG152" s="52"/>
      <c r="KQH152" s="53"/>
      <c r="KQI152" s="8"/>
      <c r="KQJ152" s="45"/>
      <c r="KQK152" s="45"/>
      <c r="KQL152" s="46"/>
      <c r="KQM152" s="44"/>
      <c r="KQN152" s="7"/>
      <c r="KQO152" s="51"/>
      <c r="KQP152" s="52"/>
      <c r="KQQ152" s="53"/>
      <c r="KQR152" s="54"/>
      <c r="KQS152" s="52"/>
      <c r="KQT152" s="53"/>
      <c r="KQU152" s="54"/>
      <c r="KQV152" s="52"/>
      <c r="KQW152" s="53"/>
      <c r="KQX152" s="8"/>
      <c r="KQY152" s="45"/>
      <c r="KQZ152" s="45"/>
      <c r="KRA152" s="46"/>
      <c r="KRB152" s="44"/>
      <c r="KRC152" s="7"/>
      <c r="KRD152" s="51"/>
      <c r="KRE152" s="52"/>
      <c r="KRF152" s="53"/>
      <c r="KRG152" s="54"/>
      <c r="KRH152" s="52"/>
      <c r="KRI152" s="53"/>
      <c r="KRJ152" s="54"/>
      <c r="KRK152" s="52"/>
      <c r="KRL152" s="53"/>
      <c r="KRM152" s="8"/>
      <c r="KRN152" s="45"/>
      <c r="KRO152" s="45"/>
      <c r="KRP152" s="46"/>
      <c r="KRQ152" s="44"/>
      <c r="KRR152" s="7"/>
      <c r="KRS152" s="51"/>
      <c r="KRT152" s="52"/>
      <c r="KRU152" s="53"/>
      <c r="KRV152" s="54"/>
      <c r="KRW152" s="52"/>
      <c r="KRX152" s="53"/>
      <c r="KRY152" s="54"/>
      <c r="KRZ152" s="52"/>
      <c r="KSA152" s="53"/>
      <c r="KSB152" s="8"/>
      <c r="KSC152" s="45"/>
      <c r="KSD152" s="45"/>
      <c r="KSE152" s="46"/>
      <c r="KSF152" s="44"/>
      <c r="KSG152" s="7"/>
      <c r="KSH152" s="51"/>
      <c r="KSI152" s="52"/>
      <c r="KSJ152" s="53"/>
      <c r="KSK152" s="54"/>
      <c r="KSL152" s="52"/>
      <c r="KSM152" s="53"/>
      <c r="KSN152" s="54"/>
      <c r="KSO152" s="52"/>
      <c r="KSP152" s="53"/>
      <c r="KSQ152" s="8"/>
      <c r="KSR152" s="45"/>
      <c r="KSS152" s="45"/>
      <c r="KST152" s="46"/>
      <c r="KSU152" s="44"/>
      <c r="KSV152" s="7"/>
      <c r="KSW152" s="51"/>
      <c r="KSX152" s="52"/>
      <c r="KSY152" s="53"/>
      <c r="KSZ152" s="54"/>
      <c r="KTA152" s="52"/>
      <c r="KTB152" s="53"/>
      <c r="KTC152" s="54"/>
      <c r="KTD152" s="52"/>
      <c r="KTE152" s="53"/>
      <c r="KTF152" s="8"/>
      <c r="KTG152" s="45"/>
      <c r="KTH152" s="45"/>
      <c r="KTI152" s="46"/>
      <c r="KTJ152" s="44"/>
      <c r="KTK152" s="7"/>
      <c r="KTL152" s="51"/>
      <c r="KTM152" s="52"/>
      <c r="KTN152" s="53"/>
      <c r="KTO152" s="54"/>
      <c r="KTP152" s="52"/>
      <c r="KTQ152" s="53"/>
      <c r="KTR152" s="54"/>
      <c r="KTS152" s="52"/>
      <c r="KTT152" s="53"/>
      <c r="KTU152" s="8"/>
      <c r="KTV152" s="45"/>
      <c r="KTW152" s="45"/>
      <c r="KTX152" s="46"/>
      <c r="KTY152" s="44"/>
      <c r="KTZ152" s="7"/>
      <c r="KUA152" s="51"/>
      <c r="KUB152" s="52"/>
      <c r="KUC152" s="53"/>
      <c r="KUD152" s="54"/>
      <c r="KUE152" s="52"/>
      <c r="KUF152" s="53"/>
      <c r="KUG152" s="54"/>
      <c r="KUH152" s="52"/>
      <c r="KUI152" s="53"/>
      <c r="KUJ152" s="8"/>
      <c r="KUK152" s="45"/>
      <c r="KUL152" s="45"/>
      <c r="KUM152" s="46"/>
      <c r="KUN152" s="44"/>
      <c r="KUO152" s="7"/>
      <c r="KUP152" s="51"/>
      <c r="KUQ152" s="52"/>
      <c r="KUR152" s="53"/>
      <c r="KUS152" s="54"/>
      <c r="KUT152" s="52"/>
      <c r="KUU152" s="53"/>
      <c r="KUV152" s="54"/>
      <c r="KUW152" s="52"/>
      <c r="KUX152" s="53"/>
      <c r="KUY152" s="8"/>
      <c r="KUZ152" s="45"/>
      <c r="KVA152" s="45"/>
      <c r="KVB152" s="46"/>
      <c r="KVC152" s="44"/>
      <c r="KVD152" s="7"/>
      <c r="KVE152" s="51"/>
      <c r="KVF152" s="52"/>
      <c r="KVG152" s="53"/>
      <c r="KVH152" s="54"/>
      <c r="KVI152" s="52"/>
      <c r="KVJ152" s="53"/>
      <c r="KVK152" s="54"/>
      <c r="KVL152" s="52"/>
      <c r="KVM152" s="53"/>
      <c r="KVN152" s="8"/>
      <c r="KVO152" s="45"/>
      <c r="KVP152" s="45"/>
      <c r="KVQ152" s="46"/>
      <c r="KVR152" s="44"/>
      <c r="KVS152" s="7"/>
      <c r="KVT152" s="51"/>
      <c r="KVU152" s="52"/>
      <c r="KVV152" s="53"/>
      <c r="KVW152" s="54"/>
      <c r="KVX152" s="52"/>
      <c r="KVY152" s="53"/>
      <c r="KVZ152" s="54"/>
      <c r="KWA152" s="52"/>
      <c r="KWB152" s="53"/>
      <c r="KWC152" s="8"/>
      <c r="KWD152" s="45"/>
      <c r="KWE152" s="45"/>
      <c r="KWF152" s="46"/>
      <c r="KWG152" s="44"/>
      <c r="KWH152" s="7"/>
      <c r="KWI152" s="51"/>
      <c r="KWJ152" s="52"/>
      <c r="KWK152" s="53"/>
      <c r="KWL152" s="54"/>
      <c r="KWM152" s="52"/>
      <c r="KWN152" s="53"/>
      <c r="KWO152" s="54"/>
      <c r="KWP152" s="52"/>
      <c r="KWQ152" s="53"/>
      <c r="KWR152" s="8"/>
      <c r="KWS152" s="45"/>
      <c r="KWT152" s="45"/>
      <c r="KWU152" s="46"/>
      <c r="KWV152" s="44"/>
      <c r="KWW152" s="7"/>
      <c r="KWX152" s="51"/>
      <c r="KWY152" s="52"/>
      <c r="KWZ152" s="53"/>
      <c r="KXA152" s="54"/>
      <c r="KXB152" s="52"/>
      <c r="KXC152" s="53"/>
      <c r="KXD152" s="54"/>
      <c r="KXE152" s="52"/>
      <c r="KXF152" s="53"/>
      <c r="KXG152" s="8"/>
      <c r="KXH152" s="45"/>
      <c r="KXI152" s="45"/>
      <c r="KXJ152" s="46"/>
      <c r="KXK152" s="44"/>
      <c r="KXL152" s="7"/>
      <c r="KXM152" s="51"/>
      <c r="KXN152" s="52"/>
      <c r="KXO152" s="53"/>
      <c r="KXP152" s="54"/>
      <c r="KXQ152" s="52"/>
      <c r="KXR152" s="53"/>
      <c r="KXS152" s="54"/>
      <c r="KXT152" s="52"/>
      <c r="KXU152" s="53"/>
      <c r="KXV152" s="8"/>
      <c r="KXW152" s="45"/>
      <c r="KXX152" s="45"/>
      <c r="KXY152" s="46"/>
      <c r="KXZ152" s="44"/>
      <c r="KYA152" s="7"/>
      <c r="KYB152" s="51"/>
      <c r="KYC152" s="52"/>
      <c r="KYD152" s="53"/>
      <c r="KYE152" s="54"/>
      <c r="KYF152" s="52"/>
      <c r="KYG152" s="53"/>
      <c r="KYH152" s="54"/>
      <c r="KYI152" s="52"/>
      <c r="KYJ152" s="53"/>
      <c r="KYK152" s="8"/>
      <c r="KYL152" s="45"/>
      <c r="KYM152" s="45"/>
      <c r="KYN152" s="46"/>
      <c r="KYO152" s="44"/>
      <c r="KYP152" s="7"/>
      <c r="KYQ152" s="51"/>
      <c r="KYR152" s="52"/>
      <c r="KYS152" s="53"/>
      <c r="KYT152" s="54"/>
      <c r="KYU152" s="52"/>
      <c r="KYV152" s="53"/>
      <c r="KYW152" s="54"/>
      <c r="KYX152" s="52"/>
      <c r="KYY152" s="53"/>
      <c r="KYZ152" s="8"/>
      <c r="KZA152" s="45"/>
      <c r="KZB152" s="45"/>
      <c r="KZC152" s="46"/>
      <c r="KZD152" s="44"/>
      <c r="KZE152" s="7"/>
      <c r="KZF152" s="51"/>
      <c r="KZG152" s="52"/>
      <c r="KZH152" s="53"/>
      <c r="KZI152" s="54"/>
      <c r="KZJ152" s="52"/>
      <c r="KZK152" s="53"/>
      <c r="KZL152" s="54"/>
      <c r="KZM152" s="52"/>
      <c r="KZN152" s="53"/>
      <c r="KZO152" s="8"/>
      <c r="KZP152" s="45"/>
      <c r="KZQ152" s="45"/>
      <c r="KZR152" s="46"/>
      <c r="KZS152" s="44"/>
      <c r="KZT152" s="7"/>
      <c r="KZU152" s="51"/>
      <c r="KZV152" s="52"/>
      <c r="KZW152" s="53"/>
      <c r="KZX152" s="54"/>
      <c r="KZY152" s="52"/>
      <c r="KZZ152" s="53"/>
      <c r="LAA152" s="54"/>
      <c r="LAB152" s="52"/>
      <c r="LAC152" s="53"/>
      <c r="LAD152" s="8"/>
      <c r="LAE152" s="45"/>
      <c r="LAF152" s="45"/>
      <c r="LAG152" s="46"/>
      <c r="LAH152" s="44"/>
      <c r="LAI152" s="7"/>
      <c r="LAJ152" s="51"/>
      <c r="LAK152" s="52"/>
      <c r="LAL152" s="53"/>
      <c r="LAM152" s="54"/>
      <c r="LAN152" s="52"/>
      <c r="LAO152" s="53"/>
      <c r="LAP152" s="54"/>
      <c r="LAQ152" s="52"/>
      <c r="LAR152" s="53"/>
      <c r="LAS152" s="8"/>
      <c r="LAT152" s="45"/>
      <c r="LAU152" s="45"/>
      <c r="LAV152" s="46"/>
      <c r="LAW152" s="44"/>
      <c r="LAX152" s="7"/>
      <c r="LAY152" s="51"/>
      <c r="LAZ152" s="52"/>
      <c r="LBA152" s="53"/>
      <c r="LBB152" s="54"/>
      <c r="LBC152" s="52"/>
      <c r="LBD152" s="53"/>
      <c r="LBE152" s="54"/>
      <c r="LBF152" s="52"/>
      <c r="LBG152" s="53"/>
      <c r="LBH152" s="8"/>
      <c r="LBI152" s="45"/>
      <c r="LBJ152" s="45"/>
      <c r="LBK152" s="46"/>
      <c r="LBL152" s="44"/>
      <c r="LBM152" s="7"/>
      <c r="LBN152" s="51"/>
      <c r="LBO152" s="52"/>
      <c r="LBP152" s="53"/>
      <c r="LBQ152" s="54"/>
      <c r="LBR152" s="52"/>
      <c r="LBS152" s="53"/>
      <c r="LBT152" s="54"/>
      <c r="LBU152" s="52"/>
      <c r="LBV152" s="53"/>
      <c r="LBW152" s="8"/>
      <c r="LBX152" s="45"/>
      <c r="LBY152" s="45"/>
      <c r="LBZ152" s="46"/>
      <c r="LCA152" s="44"/>
      <c r="LCB152" s="7"/>
      <c r="LCC152" s="51"/>
      <c r="LCD152" s="52"/>
      <c r="LCE152" s="53"/>
      <c r="LCF152" s="54"/>
      <c r="LCG152" s="52"/>
      <c r="LCH152" s="53"/>
      <c r="LCI152" s="54"/>
      <c r="LCJ152" s="52"/>
      <c r="LCK152" s="53"/>
      <c r="LCL152" s="8"/>
      <c r="LCM152" s="45"/>
      <c r="LCN152" s="45"/>
      <c r="LCO152" s="46"/>
      <c r="LCP152" s="44"/>
      <c r="LCQ152" s="7"/>
      <c r="LCR152" s="51"/>
      <c r="LCS152" s="52"/>
      <c r="LCT152" s="53"/>
      <c r="LCU152" s="54"/>
      <c r="LCV152" s="52"/>
      <c r="LCW152" s="53"/>
      <c r="LCX152" s="54"/>
      <c r="LCY152" s="52"/>
      <c r="LCZ152" s="53"/>
      <c r="LDA152" s="8"/>
      <c r="LDB152" s="45"/>
      <c r="LDC152" s="45"/>
      <c r="LDD152" s="46"/>
      <c r="LDE152" s="44"/>
      <c r="LDF152" s="7"/>
      <c r="LDG152" s="51"/>
      <c r="LDH152" s="52"/>
      <c r="LDI152" s="53"/>
      <c r="LDJ152" s="54"/>
      <c r="LDK152" s="52"/>
      <c r="LDL152" s="53"/>
      <c r="LDM152" s="54"/>
      <c r="LDN152" s="52"/>
      <c r="LDO152" s="53"/>
      <c r="LDP152" s="8"/>
      <c r="LDQ152" s="45"/>
      <c r="LDR152" s="45"/>
      <c r="LDS152" s="46"/>
      <c r="LDT152" s="44"/>
      <c r="LDU152" s="7"/>
      <c r="LDV152" s="51"/>
      <c r="LDW152" s="52"/>
      <c r="LDX152" s="53"/>
      <c r="LDY152" s="54"/>
      <c r="LDZ152" s="52"/>
      <c r="LEA152" s="53"/>
      <c r="LEB152" s="54"/>
      <c r="LEC152" s="52"/>
      <c r="LED152" s="53"/>
      <c r="LEE152" s="8"/>
      <c r="LEF152" s="45"/>
      <c r="LEG152" s="45"/>
      <c r="LEH152" s="46"/>
      <c r="LEI152" s="44"/>
      <c r="LEJ152" s="7"/>
      <c r="LEK152" s="51"/>
      <c r="LEL152" s="52"/>
      <c r="LEM152" s="53"/>
      <c r="LEN152" s="54"/>
      <c r="LEO152" s="52"/>
      <c r="LEP152" s="53"/>
      <c r="LEQ152" s="54"/>
      <c r="LER152" s="52"/>
      <c r="LES152" s="53"/>
      <c r="LET152" s="8"/>
      <c r="LEU152" s="45"/>
      <c r="LEV152" s="45"/>
      <c r="LEW152" s="46"/>
      <c r="LEX152" s="44"/>
      <c r="LEY152" s="7"/>
      <c r="LEZ152" s="51"/>
      <c r="LFA152" s="52"/>
      <c r="LFB152" s="53"/>
      <c r="LFC152" s="54"/>
      <c r="LFD152" s="52"/>
      <c r="LFE152" s="53"/>
      <c r="LFF152" s="54"/>
      <c r="LFG152" s="52"/>
      <c r="LFH152" s="53"/>
      <c r="LFI152" s="8"/>
      <c r="LFJ152" s="45"/>
      <c r="LFK152" s="45"/>
      <c r="LFL152" s="46"/>
      <c r="LFM152" s="44"/>
      <c r="LFN152" s="7"/>
      <c r="LFO152" s="51"/>
      <c r="LFP152" s="52"/>
      <c r="LFQ152" s="53"/>
      <c r="LFR152" s="54"/>
      <c r="LFS152" s="52"/>
      <c r="LFT152" s="53"/>
      <c r="LFU152" s="54"/>
      <c r="LFV152" s="52"/>
      <c r="LFW152" s="53"/>
      <c r="LFX152" s="8"/>
      <c r="LFY152" s="45"/>
      <c r="LFZ152" s="45"/>
      <c r="LGA152" s="46"/>
      <c r="LGB152" s="44"/>
      <c r="LGC152" s="7"/>
      <c r="LGD152" s="51"/>
      <c r="LGE152" s="52"/>
      <c r="LGF152" s="53"/>
      <c r="LGG152" s="54"/>
      <c r="LGH152" s="52"/>
      <c r="LGI152" s="53"/>
      <c r="LGJ152" s="54"/>
      <c r="LGK152" s="52"/>
      <c r="LGL152" s="53"/>
      <c r="LGM152" s="8"/>
      <c r="LGN152" s="45"/>
      <c r="LGO152" s="45"/>
      <c r="LGP152" s="46"/>
      <c r="LGQ152" s="44"/>
      <c r="LGR152" s="7"/>
      <c r="LGS152" s="51"/>
      <c r="LGT152" s="52"/>
      <c r="LGU152" s="53"/>
      <c r="LGV152" s="54"/>
      <c r="LGW152" s="52"/>
      <c r="LGX152" s="53"/>
      <c r="LGY152" s="54"/>
      <c r="LGZ152" s="52"/>
      <c r="LHA152" s="53"/>
      <c r="LHB152" s="8"/>
      <c r="LHC152" s="45"/>
      <c r="LHD152" s="45"/>
      <c r="LHE152" s="46"/>
      <c r="LHF152" s="44"/>
      <c r="LHG152" s="7"/>
      <c r="LHH152" s="51"/>
      <c r="LHI152" s="52"/>
      <c r="LHJ152" s="53"/>
      <c r="LHK152" s="54"/>
      <c r="LHL152" s="52"/>
      <c r="LHM152" s="53"/>
      <c r="LHN152" s="54"/>
      <c r="LHO152" s="52"/>
      <c r="LHP152" s="53"/>
      <c r="LHQ152" s="8"/>
      <c r="LHR152" s="45"/>
      <c r="LHS152" s="45"/>
      <c r="LHT152" s="46"/>
      <c r="LHU152" s="44"/>
      <c r="LHV152" s="7"/>
      <c r="LHW152" s="51"/>
      <c r="LHX152" s="52"/>
      <c r="LHY152" s="53"/>
      <c r="LHZ152" s="54"/>
      <c r="LIA152" s="52"/>
      <c r="LIB152" s="53"/>
      <c r="LIC152" s="54"/>
      <c r="LID152" s="52"/>
      <c r="LIE152" s="53"/>
      <c r="LIF152" s="8"/>
      <c r="LIG152" s="45"/>
      <c r="LIH152" s="45"/>
      <c r="LII152" s="46"/>
      <c r="LIJ152" s="44"/>
      <c r="LIK152" s="7"/>
      <c r="LIL152" s="51"/>
      <c r="LIM152" s="52"/>
      <c r="LIN152" s="53"/>
      <c r="LIO152" s="54"/>
      <c r="LIP152" s="52"/>
      <c r="LIQ152" s="53"/>
      <c r="LIR152" s="54"/>
      <c r="LIS152" s="52"/>
      <c r="LIT152" s="53"/>
      <c r="LIU152" s="8"/>
      <c r="LIV152" s="45"/>
      <c r="LIW152" s="45"/>
      <c r="LIX152" s="46"/>
      <c r="LIY152" s="44"/>
      <c r="LIZ152" s="7"/>
      <c r="LJA152" s="51"/>
      <c r="LJB152" s="52"/>
      <c r="LJC152" s="53"/>
      <c r="LJD152" s="54"/>
      <c r="LJE152" s="52"/>
      <c r="LJF152" s="53"/>
      <c r="LJG152" s="54"/>
      <c r="LJH152" s="52"/>
      <c r="LJI152" s="53"/>
      <c r="LJJ152" s="8"/>
      <c r="LJK152" s="45"/>
      <c r="LJL152" s="45"/>
      <c r="LJM152" s="46"/>
      <c r="LJN152" s="44"/>
      <c r="LJO152" s="7"/>
      <c r="LJP152" s="51"/>
      <c r="LJQ152" s="52"/>
      <c r="LJR152" s="53"/>
      <c r="LJS152" s="54"/>
      <c r="LJT152" s="52"/>
      <c r="LJU152" s="53"/>
      <c r="LJV152" s="54"/>
      <c r="LJW152" s="52"/>
      <c r="LJX152" s="53"/>
      <c r="LJY152" s="8"/>
      <c r="LJZ152" s="45"/>
      <c r="LKA152" s="45"/>
      <c r="LKB152" s="46"/>
      <c r="LKC152" s="44"/>
      <c r="LKD152" s="7"/>
      <c r="LKE152" s="51"/>
      <c r="LKF152" s="52"/>
      <c r="LKG152" s="53"/>
      <c r="LKH152" s="54"/>
      <c r="LKI152" s="52"/>
      <c r="LKJ152" s="53"/>
      <c r="LKK152" s="54"/>
      <c r="LKL152" s="52"/>
      <c r="LKM152" s="53"/>
      <c r="LKN152" s="8"/>
      <c r="LKO152" s="45"/>
      <c r="LKP152" s="45"/>
      <c r="LKQ152" s="46"/>
      <c r="LKR152" s="44"/>
      <c r="LKS152" s="7"/>
      <c r="LKT152" s="51"/>
      <c r="LKU152" s="52"/>
      <c r="LKV152" s="53"/>
      <c r="LKW152" s="54"/>
      <c r="LKX152" s="52"/>
      <c r="LKY152" s="53"/>
      <c r="LKZ152" s="54"/>
      <c r="LLA152" s="52"/>
      <c r="LLB152" s="53"/>
      <c r="LLC152" s="8"/>
      <c r="LLD152" s="45"/>
      <c r="LLE152" s="45"/>
      <c r="LLF152" s="46"/>
      <c r="LLG152" s="44"/>
      <c r="LLH152" s="7"/>
      <c r="LLI152" s="51"/>
      <c r="LLJ152" s="52"/>
      <c r="LLK152" s="53"/>
      <c r="LLL152" s="54"/>
      <c r="LLM152" s="52"/>
      <c r="LLN152" s="53"/>
      <c r="LLO152" s="54"/>
      <c r="LLP152" s="52"/>
      <c r="LLQ152" s="53"/>
      <c r="LLR152" s="8"/>
      <c r="LLS152" s="45"/>
      <c r="LLT152" s="45"/>
      <c r="LLU152" s="46"/>
      <c r="LLV152" s="44"/>
      <c r="LLW152" s="7"/>
      <c r="LLX152" s="51"/>
      <c r="LLY152" s="52"/>
      <c r="LLZ152" s="53"/>
      <c r="LMA152" s="54"/>
      <c r="LMB152" s="52"/>
      <c r="LMC152" s="53"/>
      <c r="LMD152" s="54"/>
      <c r="LME152" s="52"/>
      <c r="LMF152" s="53"/>
      <c r="LMG152" s="8"/>
      <c r="LMH152" s="45"/>
      <c r="LMI152" s="45"/>
      <c r="LMJ152" s="46"/>
      <c r="LMK152" s="44"/>
      <c r="LML152" s="7"/>
      <c r="LMM152" s="51"/>
      <c r="LMN152" s="52"/>
      <c r="LMO152" s="53"/>
      <c r="LMP152" s="54"/>
      <c r="LMQ152" s="52"/>
      <c r="LMR152" s="53"/>
      <c r="LMS152" s="54"/>
      <c r="LMT152" s="52"/>
      <c r="LMU152" s="53"/>
      <c r="LMV152" s="8"/>
      <c r="LMW152" s="45"/>
      <c r="LMX152" s="45"/>
      <c r="LMY152" s="46"/>
      <c r="LMZ152" s="44"/>
      <c r="LNA152" s="7"/>
      <c r="LNB152" s="51"/>
      <c r="LNC152" s="52"/>
      <c r="LND152" s="53"/>
      <c r="LNE152" s="54"/>
      <c r="LNF152" s="52"/>
      <c r="LNG152" s="53"/>
      <c r="LNH152" s="54"/>
      <c r="LNI152" s="52"/>
      <c r="LNJ152" s="53"/>
      <c r="LNK152" s="8"/>
      <c r="LNL152" s="45"/>
      <c r="LNM152" s="45"/>
      <c r="LNN152" s="46"/>
      <c r="LNO152" s="44"/>
      <c r="LNP152" s="7"/>
      <c r="LNQ152" s="51"/>
      <c r="LNR152" s="52"/>
      <c r="LNS152" s="53"/>
      <c r="LNT152" s="54"/>
      <c r="LNU152" s="52"/>
      <c r="LNV152" s="53"/>
      <c r="LNW152" s="54"/>
      <c r="LNX152" s="52"/>
      <c r="LNY152" s="53"/>
      <c r="LNZ152" s="8"/>
      <c r="LOA152" s="45"/>
      <c r="LOB152" s="45"/>
      <c r="LOC152" s="46"/>
      <c r="LOD152" s="44"/>
      <c r="LOE152" s="7"/>
      <c r="LOF152" s="51"/>
      <c r="LOG152" s="52"/>
      <c r="LOH152" s="53"/>
      <c r="LOI152" s="54"/>
      <c r="LOJ152" s="52"/>
      <c r="LOK152" s="53"/>
      <c r="LOL152" s="54"/>
      <c r="LOM152" s="52"/>
      <c r="LON152" s="53"/>
      <c r="LOO152" s="8"/>
      <c r="LOP152" s="45"/>
      <c r="LOQ152" s="45"/>
      <c r="LOR152" s="46"/>
      <c r="LOS152" s="44"/>
      <c r="LOT152" s="7"/>
      <c r="LOU152" s="51"/>
      <c r="LOV152" s="52"/>
      <c r="LOW152" s="53"/>
      <c r="LOX152" s="54"/>
      <c r="LOY152" s="52"/>
      <c r="LOZ152" s="53"/>
      <c r="LPA152" s="54"/>
      <c r="LPB152" s="52"/>
      <c r="LPC152" s="53"/>
      <c r="LPD152" s="8"/>
      <c r="LPE152" s="45"/>
      <c r="LPF152" s="45"/>
      <c r="LPG152" s="46"/>
      <c r="LPH152" s="44"/>
      <c r="LPI152" s="7"/>
      <c r="LPJ152" s="51"/>
      <c r="LPK152" s="52"/>
      <c r="LPL152" s="53"/>
      <c r="LPM152" s="54"/>
      <c r="LPN152" s="52"/>
      <c r="LPO152" s="53"/>
      <c r="LPP152" s="54"/>
      <c r="LPQ152" s="52"/>
      <c r="LPR152" s="53"/>
      <c r="LPS152" s="8"/>
      <c r="LPT152" s="45"/>
      <c r="LPU152" s="45"/>
      <c r="LPV152" s="46"/>
      <c r="LPW152" s="44"/>
      <c r="LPX152" s="7"/>
      <c r="LPY152" s="51"/>
      <c r="LPZ152" s="52"/>
      <c r="LQA152" s="53"/>
      <c r="LQB152" s="54"/>
      <c r="LQC152" s="52"/>
      <c r="LQD152" s="53"/>
      <c r="LQE152" s="54"/>
      <c r="LQF152" s="52"/>
      <c r="LQG152" s="53"/>
      <c r="LQH152" s="8"/>
      <c r="LQI152" s="45"/>
      <c r="LQJ152" s="45"/>
      <c r="LQK152" s="46"/>
      <c r="LQL152" s="44"/>
      <c r="LQM152" s="7"/>
      <c r="LQN152" s="51"/>
      <c r="LQO152" s="52"/>
      <c r="LQP152" s="53"/>
      <c r="LQQ152" s="54"/>
      <c r="LQR152" s="52"/>
      <c r="LQS152" s="53"/>
      <c r="LQT152" s="54"/>
      <c r="LQU152" s="52"/>
      <c r="LQV152" s="53"/>
      <c r="LQW152" s="8"/>
      <c r="LQX152" s="45"/>
      <c r="LQY152" s="45"/>
      <c r="LQZ152" s="46"/>
      <c r="LRA152" s="44"/>
      <c r="LRB152" s="7"/>
      <c r="LRC152" s="51"/>
      <c r="LRD152" s="52"/>
      <c r="LRE152" s="53"/>
      <c r="LRF152" s="54"/>
      <c r="LRG152" s="52"/>
      <c r="LRH152" s="53"/>
      <c r="LRI152" s="54"/>
      <c r="LRJ152" s="52"/>
      <c r="LRK152" s="53"/>
      <c r="LRL152" s="8"/>
      <c r="LRM152" s="45"/>
      <c r="LRN152" s="45"/>
      <c r="LRO152" s="46"/>
      <c r="LRP152" s="44"/>
      <c r="LRQ152" s="7"/>
      <c r="LRR152" s="51"/>
      <c r="LRS152" s="52"/>
      <c r="LRT152" s="53"/>
      <c r="LRU152" s="54"/>
      <c r="LRV152" s="52"/>
      <c r="LRW152" s="53"/>
      <c r="LRX152" s="54"/>
      <c r="LRY152" s="52"/>
      <c r="LRZ152" s="53"/>
      <c r="LSA152" s="8"/>
      <c r="LSB152" s="45"/>
      <c r="LSC152" s="45"/>
      <c r="LSD152" s="46"/>
      <c r="LSE152" s="44"/>
      <c r="LSF152" s="7"/>
      <c r="LSG152" s="51"/>
      <c r="LSH152" s="52"/>
      <c r="LSI152" s="53"/>
      <c r="LSJ152" s="54"/>
      <c r="LSK152" s="52"/>
      <c r="LSL152" s="53"/>
      <c r="LSM152" s="54"/>
      <c r="LSN152" s="52"/>
      <c r="LSO152" s="53"/>
      <c r="LSP152" s="8"/>
      <c r="LSQ152" s="45"/>
      <c r="LSR152" s="45"/>
      <c r="LSS152" s="46"/>
      <c r="LST152" s="44"/>
      <c r="LSU152" s="7"/>
      <c r="LSV152" s="51"/>
      <c r="LSW152" s="52"/>
      <c r="LSX152" s="53"/>
      <c r="LSY152" s="54"/>
      <c r="LSZ152" s="52"/>
      <c r="LTA152" s="53"/>
      <c r="LTB152" s="54"/>
      <c r="LTC152" s="52"/>
      <c r="LTD152" s="53"/>
      <c r="LTE152" s="8"/>
      <c r="LTF152" s="45"/>
      <c r="LTG152" s="45"/>
      <c r="LTH152" s="46"/>
      <c r="LTI152" s="44"/>
      <c r="LTJ152" s="7"/>
      <c r="LTK152" s="51"/>
      <c r="LTL152" s="52"/>
      <c r="LTM152" s="53"/>
      <c r="LTN152" s="54"/>
      <c r="LTO152" s="52"/>
      <c r="LTP152" s="53"/>
      <c r="LTQ152" s="54"/>
      <c r="LTR152" s="52"/>
      <c r="LTS152" s="53"/>
      <c r="LTT152" s="8"/>
      <c r="LTU152" s="45"/>
      <c r="LTV152" s="45"/>
      <c r="LTW152" s="46"/>
      <c r="LTX152" s="44"/>
      <c r="LTY152" s="7"/>
      <c r="LTZ152" s="51"/>
      <c r="LUA152" s="52"/>
      <c r="LUB152" s="53"/>
      <c r="LUC152" s="54"/>
      <c r="LUD152" s="52"/>
      <c r="LUE152" s="53"/>
      <c r="LUF152" s="54"/>
      <c r="LUG152" s="52"/>
      <c r="LUH152" s="53"/>
      <c r="LUI152" s="8"/>
      <c r="LUJ152" s="45"/>
      <c r="LUK152" s="45"/>
      <c r="LUL152" s="46"/>
      <c r="LUM152" s="44"/>
      <c r="LUN152" s="7"/>
      <c r="LUO152" s="51"/>
      <c r="LUP152" s="52"/>
      <c r="LUQ152" s="53"/>
      <c r="LUR152" s="54"/>
      <c r="LUS152" s="52"/>
      <c r="LUT152" s="53"/>
      <c r="LUU152" s="54"/>
      <c r="LUV152" s="52"/>
      <c r="LUW152" s="53"/>
      <c r="LUX152" s="8"/>
      <c r="LUY152" s="45"/>
      <c r="LUZ152" s="45"/>
      <c r="LVA152" s="46"/>
      <c r="LVB152" s="44"/>
      <c r="LVC152" s="7"/>
      <c r="LVD152" s="51"/>
      <c r="LVE152" s="52"/>
      <c r="LVF152" s="53"/>
      <c r="LVG152" s="54"/>
      <c r="LVH152" s="52"/>
      <c r="LVI152" s="53"/>
      <c r="LVJ152" s="54"/>
      <c r="LVK152" s="52"/>
      <c r="LVL152" s="53"/>
      <c r="LVM152" s="8"/>
      <c r="LVN152" s="45"/>
      <c r="LVO152" s="45"/>
      <c r="LVP152" s="46"/>
      <c r="LVQ152" s="44"/>
      <c r="LVR152" s="7"/>
      <c r="LVS152" s="51"/>
      <c r="LVT152" s="52"/>
      <c r="LVU152" s="53"/>
      <c r="LVV152" s="54"/>
      <c r="LVW152" s="52"/>
      <c r="LVX152" s="53"/>
      <c r="LVY152" s="54"/>
      <c r="LVZ152" s="52"/>
      <c r="LWA152" s="53"/>
      <c r="LWB152" s="8"/>
      <c r="LWC152" s="45"/>
      <c r="LWD152" s="45"/>
      <c r="LWE152" s="46"/>
      <c r="LWF152" s="44"/>
      <c r="LWG152" s="7"/>
      <c r="LWH152" s="51"/>
      <c r="LWI152" s="52"/>
      <c r="LWJ152" s="53"/>
      <c r="LWK152" s="54"/>
      <c r="LWL152" s="52"/>
      <c r="LWM152" s="53"/>
      <c r="LWN152" s="54"/>
      <c r="LWO152" s="52"/>
      <c r="LWP152" s="53"/>
      <c r="LWQ152" s="8"/>
      <c r="LWR152" s="45"/>
      <c r="LWS152" s="45"/>
      <c r="LWT152" s="46"/>
      <c r="LWU152" s="44"/>
      <c r="LWV152" s="7"/>
      <c r="LWW152" s="51"/>
      <c r="LWX152" s="52"/>
      <c r="LWY152" s="53"/>
      <c r="LWZ152" s="54"/>
      <c r="LXA152" s="52"/>
      <c r="LXB152" s="53"/>
      <c r="LXC152" s="54"/>
      <c r="LXD152" s="52"/>
      <c r="LXE152" s="53"/>
      <c r="LXF152" s="8"/>
      <c r="LXG152" s="45"/>
      <c r="LXH152" s="45"/>
      <c r="LXI152" s="46"/>
      <c r="LXJ152" s="44"/>
      <c r="LXK152" s="7"/>
      <c r="LXL152" s="51"/>
      <c r="LXM152" s="52"/>
      <c r="LXN152" s="53"/>
      <c r="LXO152" s="54"/>
      <c r="LXP152" s="52"/>
      <c r="LXQ152" s="53"/>
      <c r="LXR152" s="54"/>
      <c r="LXS152" s="52"/>
      <c r="LXT152" s="53"/>
      <c r="LXU152" s="8"/>
      <c r="LXV152" s="45"/>
      <c r="LXW152" s="45"/>
      <c r="LXX152" s="46"/>
      <c r="LXY152" s="44"/>
      <c r="LXZ152" s="7"/>
      <c r="LYA152" s="51"/>
      <c r="LYB152" s="52"/>
      <c r="LYC152" s="53"/>
      <c r="LYD152" s="54"/>
      <c r="LYE152" s="52"/>
      <c r="LYF152" s="53"/>
      <c r="LYG152" s="54"/>
      <c r="LYH152" s="52"/>
      <c r="LYI152" s="53"/>
      <c r="LYJ152" s="8"/>
      <c r="LYK152" s="45"/>
      <c r="LYL152" s="45"/>
      <c r="LYM152" s="46"/>
      <c r="LYN152" s="44"/>
      <c r="LYO152" s="7"/>
      <c r="LYP152" s="51"/>
      <c r="LYQ152" s="52"/>
      <c r="LYR152" s="53"/>
      <c r="LYS152" s="54"/>
      <c r="LYT152" s="52"/>
      <c r="LYU152" s="53"/>
      <c r="LYV152" s="54"/>
      <c r="LYW152" s="52"/>
      <c r="LYX152" s="53"/>
      <c r="LYY152" s="8"/>
      <c r="LYZ152" s="45"/>
      <c r="LZA152" s="45"/>
      <c r="LZB152" s="46"/>
      <c r="LZC152" s="44"/>
      <c r="LZD152" s="7"/>
      <c r="LZE152" s="51"/>
      <c r="LZF152" s="52"/>
      <c r="LZG152" s="53"/>
      <c r="LZH152" s="54"/>
      <c r="LZI152" s="52"/>
      <c r="LZJ152" s="53"/>
      <c r="LZK152" s="54"/>
      <c r="LZL152" s="52"/>
      <c r="LZM152" s="53"/>
      <c r="LZN152" s="8"/>
      <c r="LZO152" s="45"/>
      <c r="LZP152" s="45"/>
      <c r="LZQ152" s="46"/>
      <c r="LZR152" s="44"/>
      <c r="LZS152" s="7"/>
      <c r="LZT152" s="51"/>
      <c r="LZU152" s="52"/>
      <c r="LZV152" s="53"/>
      <c r="LZW152" s="54"/>
      <c r="LZX152" s="52"/>
      <c r="LZY152" s="53"/>
      <c r="LZZ152" s="54"/>
      <c r="MAA152" s="52"/>
      <c r="MAB152" s="53"/>
      <c r="MAC152" s="8"/>
      <c r="MAD152" s="45"/>
      <c r="MAE152" s="45"/>
      <c r="MAF152" s="46"/>
      <c r="MAG152" s="44"/>
      <c r="MAH152" s="7"/>
      <c r="MAI152" s="51"/>
      <c r="MAJ152" s="52"/>
      <c r="MAK152" s="53"/>
      <c r="MAL152" s="54"/>
      <c r="MAM152" s="52"/>
      <c r="MAN152" s="53"/>
      <c r="MAO152" s="54"/>
      <c r="MAP152" s="52"/>
      <c r="MAQ152" s="53"/>
      <c r="MAR152" s="8"/>
      <c r="MAS152" s="45"/>
      <c r="MAT152" s="45"/>
      <c r="MAU152" s="46"/>
      <c r="MAV152" s="44"/>
      <c r="MAW152" s="7"/>
      <c r="MAX152" s="51"/>
      <c r="MAY152" s="52"/>
      <c r="MAZ152" s="53"/>
      <c r="MBA152" s="54"/>
      <c r="MBB152" s="52"/>
      <c r="MBC152" s="53"/>
      <c r="MBD152" s="54"/>
      <c r="MBE152" s="52"/>
      <c r="MBF152" s="53"/>
      <c r="MBG152" s="8"/>
      <c r="MBH152" s="45"/>
      <c r="MBI152" s="45"/>
      <c r="MBJ152" s="46"/>
      <c r="MBK152" s="44"/>
      <c r="MBL152" s="7"/>
      <c r="MBM152" s="51"/>
      <c r="MBN152" s="52"/>
      <c r="MBO152" s="53"/>
      <c r="MBP152" s="54"/>
      <c r="MBQ152" s="52"/>
      <c r="MBR152" s="53"/>
      <c r="MBS152" s="54"/>
      <c r="MBT152" s="52"/>
      <c r="MBU152" s="53"/>
      <c r="MBV152" s="8"/>
      <c r="MBW152" s="45"/>
      <c r="MBX152" s="45"/>
      <c r="MBY152" s="46"/>
      <c r="MBZ152" s="44"/>
      <c r="MCA152" s="7"/>
      <c r="MCB152" s="51"/>
      <c r="MCC152" s="52"/>
      <c r="MCD152" s="53"/>
      <c r="MCE152" s="54"/>
      <c r="MCF152" s="52"/>
      <c r="MCG152" s="53"/>
      <c r="MCH152" s="54"/>
      <c r="MCI152" s="52"/>
      <c r="MCJ152" s="53"/>
      <c r="MCK152" s="8"/>
      <c r="MCL152" s="45"/>
      <c r="MCM152" s="45"/>
      <c r="MCN152" s="46"/>
      <c r="MCO152" s="44"/>
      <c r="MCP152" s="7"/>
      <c r="MCQ152" s="51"/>
      <c r="MCR152" s="52"/>
      <c r="MCS152" s="53"/>
      <c r="MCT152" s="54"/>
      <c r="MCU152" s="52"/>
      <c r="MCV152" s="53"/>
      <c r="MCW152" s="54"/>
      <c r="MCX152" s="52"/>
      <c r="MCY152" s="53"/>
      <c r="MCZ152" s="8"/>
      <c r="MDA152" s="45"/>
      <c r="MDB152" s="45"/>
      <c r="MDC152" s="46"/>
      <c r="MDD152" s="44"/>
      <c r="MDE152" s="7"/>
      <c r="MDF152" s="51"/>
      <c r="MDG152" s="52"/>
      <c r="MDH152" s="53"/>
      <c r="MDI152" s="54"/>
      <c r="MDJ152" s="52"/>
      <c r="MDK152" s="53"/>
      <c r="MDL152" s="54"/>
      <c r="MDM152" s="52"/>
      <c r="MDN152" s="53"/>
      <c r="MDO152" s="8"/>
      <c r="MDP152" s="45"/>
      <c r="MDQ152" s="45"/>
      <c r="MDR152" s="46"/>
      <c r="MDS152" s="44"/>
      <c r="MDT152" s="7"/>
      <c r="MDU152" s="51"/>
      <c r="MDV152" s="52"/>
      <c r="MDW152" s="53"/>
      <c r="MDX152" s="54"/>
      <c r="MDY152" s="52"/>
      <c r="MDZ152" s="53"/>
      <c r="MEA152" s="54"/>
      <c r="MEB152" s="52"/>
      <c r="MEC152" s="53"/>
      <c r="MED152" s="8"/>
      <c r="MEE152" s="45"/>
      <c r="MEF152" s="45"/>
      <c r="MEG152" s="46"/>
      <c r="MEH152" s="44"/>
      <c r="MEI152" s="7"/>
      <c r="MEJ152" s="51"/>
      <c r="MEK152" s="52"/>
      <c r="MEL152" s="53"/>
      <c r="MEM152" s="54"/>
      <c r="MEN152" s="52"/>
      <c r="MEO152" s="53"/>
      <c r="MEP152" s="54"/>
      <c r="MEQ152" s="52"/>
      <c r="MER152" s="53"/>
      <c r="MES152" s="8"/>
      <c r="MET152" s="45"/>
      <c r="MEU152" s="45"/>
      <c r="MEV152" s="46"/>
      <c r="MEW152" s="44"/>
      <c r="MEX152" s="7"/>
      <c r="MEY152" s="51"/>
      <c r="MEZ152" s="52"/>
      <c r="MFA152" s="53"/>
      <c r="MFB152" s="54"/>
      <c r="MFC152" s="52"/>
      <c r="MFD152" s="53"/>
      <c r="MFE152" s="54"/>
      <c r="MFF152" s="52"/>
      <c r="MFG152" s="53"/>
      <c r="MFH152" s="8"/>
      <c r="MFI152" s="45"/>
      <c r="MFJ152" s="45"/>
      <c r="MFK152" s="46"/>
      <c r="MFL152" s="44"/>
      <c r="MFM152" s="7"/>
      <c r="MFN152" s="51"/>
      <c r="MFO152" s="52"/>
      <c r="MFP152" s="53"/>
      <c r="MFQ152" s="54"/>
      <c r="MFR152" s="52"/>
      <c r="MFS152" s="53"/>
      <c r="MFT152" s="54"/>
      <c r="MFU152" s="52"/>
      <c r="MFV152" s="53"/>
      <c r="MFW152" s="8"/>
      <c r="MFX152" s="45"/>
      <c r="MFY152" s="45"/>
      <c r="MFZ152" s="46"/>
      <c r="MGA152" s="44"/>
      <c r="MGB152" s="7"/>
      <c r="MGC152" s="51"/>
      <c r="MGD152" s="52"/>
      <c r="MGE152" s="53"/>
      <c r="MGF152" s="54"/>
      <c r="MGG152" s="52"/>
      <c r="MGH152" s="53"/>
      <c r="MGI152" s="54"/>
      <c r="MGJ152" s="52"/>
      <c r="MGK152" s="53"/>
      <c r="MGL152" s="8"/>
      <c r="MGM152" s="45"/>
      <c r="MGN152" s="45"/>
      <c r="MGO152" s="46"/>
      <c r="MGP152" s="44"/>
      <c r="MGQ152" s="7"/>
      <c r="MGR152" s="51"/>
      <c r="MGS152" s="52"/>
      <c r="MGT152" s="53"/>
      <c r="MGU152" s="54"/>
      <c r="MGV152" s="52"/>
      <c r="MGW152" s="53"/>
      <c r="MGX152" s="54"/>
      <c r="MGY152" s="52"/>
      <c r="MGZ152" s="53"/>
      <c r="MHA152" s="8"/>
      <c r="MHB152" s="45"/>
      <c r="MHC152" s="45"/>
      <c r="MHD152" s="46"/>
      <c r="MHE152" s="44"/>
      <c r="MHF152" s="7"/>
      <c r="MHG152" s="51"/>
      <c r="MHH152" s="52"/>
      <c r="MHI152" s="53"/>
      <c r="MHJ152" s="54"/>
      <c r="MHK152" s="52"/>
      <c r="MHL152" s="53"/>
      <c r="MHM152" s="54"/>
      <c r="MHN152" s="52"/>
      <c r="MHO152" s="53"/>
      <c r="MHP152" s="8"/>
      <c r="MHQ152" s="45"/>
      <c r="MHR152" s="45"/>
      <c r="MHS152" s="46"/>
      <c r="MHT152" s="44"/>
      <c r="MHU152" s="7"/>
      <c r="MHV152" s="51"/>
      <c r="MHW152" s="52"/>
      <c r="MHX152" s="53"/>
      <c r="MHY152" s="54"/>
      <c r="MHZ152" s="52"/>
      <c r="MIA152" s="53"/>
      <c r="MIB152" s="54"/>
      <c r="MIC152" s="52"/>
      <c r="MID152" s="53"/>
      <c r="MIE152" s="8"/>
      <c r="MIF152" s="45"/>
      <c r="MIG152" s="45"/>
      <c r="MIH152" s="46"/>
      <c r="MII152" s="44"/>
      <c r="MIJ152" s="7"/>
      <c r="MIK152" s="51"/>
      <c r="MIL152" s="52"/>
      <c r="MIM152" s="53"/>
      <c r="MIN152" s="54"/>
      <c r="MIO152" s="52"/>
      <c r="MIP152" s="53"/>
      <c r="MIQ152" s="54"/>
      <c r="MIR152" s="52"/>
      <c r="MIS152" s="53"/>
      <c r="MIT152" s="8"/>
      <c r="MIU152" s="45"/>
      <c r="MIV152" s="45"/>
      <c r="MIW152" s="46"/>
      <c r="MIX152" s="44"/>
      <c r="MIY152" s="7"/>
      <c r="MIZ152" s="51"/>
      <c r="MJA152" s="52"/>
      <c r="MJB152" s="53"/>
      <c r="MJC152" s="54"/>
      <c r="MJD152" s="52"/>
      <c r="MJE152" s="53"/>
      <c r="MJF152" s="54"/>
      <c r="MJG152" s="52"/>
      <c r="MJH152" s="53"/>
      <c r="MJI152" s="8"/>
      <c r="MJJ152" s="45"/>
      <c r="MJK152" s="45"/>
      <c r="MJL152" s="46"/>
      <c r="MJM152" s="44"/>
      <c r="MJN152" s="7"/>
      <c r="MJO152" s="51"/>
      <c r="MJP152" s="52"/>
      <c r="MJQ152" s="53"/>
      <c r="MJR152" s="54"/>
      <c r="MJS152" s="52"/>
      <c r="MJT152" s="53"/>
      <c r="MJU152" s="54"/>
      <c r="MJV152" s="52"/>
      <c r="MJW152" s="53"/>
      <c r="MJX152" s="8"/>
      <c r="MJY152" s="45"/>
      <c r="MJZ152" s="45"/>
      <c r="MKA152" s="46"/>
      <c r="MKB152" s="44"/>
      <c r="MKC152" s="7"/>
      <c r="MKD152" s="51"/>
      <c r="MKE152" s="52"/>
      <c r="MKF152" s="53"/>
    </row>
    <row r="153" spans="1:9080">
      <c r="A153" s="44"/>
      <c r="B153" s="7"/>
      <c r="C153" s="51"/>
      <c r="D153" s="52"/>
      <c r="E153" s="53"/>
      <c r="F153" s="54"/>
      <c r="G153" s="52"/>
      <c r="H153" s="53"/>
      <c r="I153" s="54"/>
      <c r="J153" s="52"/>
      <c r="K153" s="53"/>
      <c r="L153" s="8"/>
      <c r="M153" s="45"/>
      <c r="N153" s="45"/>
      <c r="O153" s="46"/>
      <c r="NB153" s="54"/>
      <c r="NC153" s="52"/>
      <c r="ND153" s="53"/>
      <c r="NE153" s="54"/>
      <c r="NF153" s="52"/>
      <c r="NG153" s="53"/>
      <c r="NH153" s="8"/>
      <c r="NI153" s="45"/>
      <c r="NJ153" s="45"/>
      <c r="NK153" s="46"/>
      <c r="NL153" s="44"/>
      <c r="NM153" s="7"/>
      <c r="NN153" s="51"/>
      <c r="NO153" s="52"/>
      <c r="NP153" s="53"/>
      <c r="NQ153" s="54"/>
      <c r="NR153" s="52"/>
      <c r="NS153" s="53"/>
      <c r="NT153" s="54"/>
      <c r="NU153" s="52"/>
      <c r="NV153" s="53"/>
      <c r="NW153" s="8"/>
      <c r="NX153" s="45"/>
      <c r="NY153" s="45"/>
      <c r="NZ153" s="46"/>
      <c r="OA153" s="44"/>
      <c r="OB153" s="7"/>
      <c r="OC153" s="51"/>
      <c r="OD153" s="52"/>
      <c r="OE153" s="53"/>
      <c r="OF153" s="54"/>
      <c r="OG153" s="52"/>
      <c r="OH153" s="53"/>
      <c r="OI153" s="54"/>
      <c r="OJ153" s="52"/>
      <c r="OK153" s="53"/>
      <c r="OL153" s="8"/>
      <c r="OM153" s="45"/>
      <c r="ON153" s="45"/>
      <c r="OO153" s="46"/>
      <c r="OP153" s="44"/>
      <c r="OQ153" s="7"/>
      <c r="OR153" s="51"/>
      <c r="OS153" s="52"/>
      <c r="OT153" s="53"/>
      <c r="OU153" s="54"/>
      <c r="OV153" s="52"/>
      <c r="OW153" s="53"/>
      <c r="OX153" s="54"/>
      <c r="OY153" s="52"/>
      <c r="OZ153" s="53"/>
      <c r="PA153" s="8"/>
      <c r="PB153" s="45"/>
      <c r="PC153" s="45"/>
      <c r="PD153" s="46"/>
      <c r="PE153" s="44"/>
      <c r="PF153" s="7"/>
      <c r="PG153" s="51"/>
      <c r="PH153" s="52"/>
      <c r="PI153" s="53"/>
      <c r="PJ153" s="54"/>
      <c r="PK153" s="52"/>
      <c r="PL153" s="53"/>
      <c r="PM153" s="54"/>
      <c r="PN153" s="52"/>
      <c r="PO153" s="53"/>
      <c r="PP153" s="8"/>
      <c r="PQ153" s="45"/>
      <c r="PR153" s="45"/>
      <c r="PS153" s="46"/>
      <c r="PT153" s="44"/>
      <c r="PU153" s="7"/>
      <c r="PV153" s="51"/>
      <c r="PW153" s="52"/>
      <c r="PX153" s="53"/>
      <c r="PY153" s="54"/>
      <c r="PZ153" s="52"/>
      <c r="QA153" s="53"/>
      <c r="QB153" s="54"/>
      <c r="QC153" s="52"/>
      <c r="QD153" s="53"/>
      <c r="QE153" s="8"/>
      <c r="QF153" s="45"/>
      <c r="QG153" s="45"/>
      <c r="QH153" s="46"/>
      <c r="QI153" s="44"/>
      <c r="QJ153" s="7"/>
      <c r="QK153" s="51"/>
      <c r="QL153" s="52"/>
      <c r="QM153" s="53"/>
      <c r="QN153" s="54"/>
      <c r="QO153" s="52"/>
      <c r="QP153" s="53"/>
      <c r="QQ153" s="54"/>
      <c r="QR153" s="52"/>
      <c r="QS153" s="53"/>
      <c r="QT153" s="8"/>
      <c r="QU153" s="45"/>
      <c r="QV153" s="45"/>
      <c r="QW153" s="46"/>
      <c r="QX153" s="44"/>
      <c r="QY153" s="7"/>
      <c r="QZ153" s="51"/>
      <c r="RA153" s="52"/>
      <c r="RB153" s="53"/>
      <c r="RC153" s="54"/>
      <c r="RD153" s="52"/>
      <c r="RE153" s="53"/>
      <c r="RF153" s="54"/>
      <c r="RG153" s="52"/>
      <c r="RH153" s="53"/>
      <c r="RI153" s="8"/>
      <c r="RJ153" s="45"/>
      <c r="RK153" s="45"/>
      <c r="RL153" s="46"/>
      <c r="RM153" s="44"/>
      <c r="RN153" s="7"/>
      <c r="RO153" s="51"/>
      <c r="RP153" s="52"/>
      <c r="RQ153" s="53"/>
      <c r="RR153" s="54"/>
      <c r="RS153" s="52"/>
      <c r="RT153" s="53"/>
      <c r="RU153" s="54"/>
      <c r="RV153" s="52"/>
      <c r="RW153" s="53"/>
      <c r="RX153" s="8"/>
      <c r="RY153" s="45"/>
      <c r="RZ153" s="45"/>
      <c r="SA153" s="46"/>
      <c r="SB153" s="44"/>
      <c r="SC153" s="7"/>
      <c r="SD153" s="51"/>
      <c r="SE153" s="52"/>
      <c r="SF153" s="53"/>
      <c r="SG153" s="54"/>
      <c r="SH153" s="52"/>
      <c r="SI153" s="53"/>
      <c r="SJ153" s="54"/>
      <c r="SK153" s="52"/>
      <c r="SL153" s="53"/>
      <c r="SM153" s="8"/>
      <c r="SN153" s="45"/>
      <c r="SO153" s="45"/>
      <c r="SP153" s="46"/>
      <c r="SQ153" s="44"/>
      <c r="SR153" s="7"/>
      <c r="SS153" s="51"/>
      <c r="ST153" s="52"/>
      <c r="SU153" s="53"/>
      <c r="SV153" s="54"/>
      <c r="SW153" s="52"/>
      <c r="SX153" s="53"/>
      <c r="SY153" s="54"/>
      <c r="SZ153" s="52"/>
      <c r="TA153" s="53"/>
      <c r="TB153" s="8"/>
      <c r="TC153" s="45"/>
      <c r="TD153" s="45"/>
      <c r="TE153" s="46"/>
      <c r="TF153" s="44"/>
      <c r="TG153" s="7"/>
      <c r="TH153" s="51"/>
      <c r="TI153" s="52"/>
      <c r="TJ153" s="53"/>
      <c r="TK153" s="54"/>
      <c r="TL153" s="52"/>
      <c r="TM153" s="53"/>
      <c r="TN153" s="54"/>
      <c r="TO153" s="52"/>
      <c r="TP153" s="53"/>
      <c r="TQ153" s="8"/>
      <c r="TR153" s="45"/>
      <c r="TS153" s="45"/>
      <c r="TT153" s="46"/>
      <c r="TU153" s="44"/>
      <c r="TV153" s="7"/>
      <c r="TW153" s="51"/>
      <c r="TX153" s="52"/>
      <c r="TY153" s="53"/>
      <c r="TZ153" s="54"/>
      <c r="UA153" s="52"/>
      <c r="UB153" s="53"/>
      <c r="UC153" s="54"/>
      <c r="UD153" s="52"/>
      <c r="UE153" s="53"/>
      <c r="UF153" s="8"/>
      <c r="UG153" s="45"/>
      <c r="UH153" s="45"/>
      <c r="UI153" s="46"/>
      <c r="UJ153" s="44"/>
      <c r="UK153" s="7"/>
      <c r="UL153" s="51"/>
      <c r="UM153" s="52"/>
      <c r="UN153" s="53"/>
      <c r="UO153" s="54"/>
      <c r="UP153" s="52"/>
      <c r="UQ153" s="53"/>
      <c r="UR153" s="54"/>
      <c r="US153" s="52"/>
      <c r="UT153" s="53"/>
      <c r="UU153" s="8"/>
      <c r="UV153" s="45"/>
      <c r="UW153" s="45"/>
      <c r="UX153" s="46"/>
      <c r="UY153" s="44"/>
      <c r="UZ153" s="7"/>
      <c r="VA153" s="51"/>
      <c r="VB153" s="52"/>
      <c r="VC153" s="53"/>
      <c r="VD153" s="54"/>
      <c r="VE153" s="52"/>
      <c r="VF153" s="53"/>
      <c r="VG153" s="54"/>
      <c r="VH153" s="52"/>
      <c r="VI153" s="53"/>
      <c r="VJ153" s="8"/>
      <c r="VK153" s="45"/>
      <c r="VL153" s="45"/>
      <c r="VM153" s="46"/>
      <c r="VN153" s="44"/>
      <c r="VO153" s="7"/>
      <c r="VP153" s="51"/>
      <c r="VQ153" s="52"/>
      <c r="VR153" s="53"/>
      <c r="VS153" s="54"/>
      <c r="VT153" s="52"/>
      <c r="VU153" s="53"/>
      <c r="VV153" s="54"/>
      <c r="VW153" s="52"/>
      <c r="VX153" s="53"/>
      <c r="VY153" s="8"/>
      <c r="VZ153" s="45"/>
      <c r="WA153" s="45"/>
      <c r="WB153" s="46"/>
      <c r="WC153" s="44"/>
      <c r="WD153" s="7"/>
      <c r="WE153" s="51"/>
      <c r="WF153" s="52"/>
      <c r="WG153" s="53"/>
      <c r="WH153" s="54"/>
      <c r="WI153" s="52"/>
      <c r="WJ153" s="53"/>
      <c r="WK153" s="54"/>
      <c r="WL153" s="52"/>
      <c r="WM153" s="53"/>
      <c r="WN153" s="8"/>
      <c r="WO153" s="45"/>
      <c r="WP153" s="45"/>
      <c r="WQ153" s="46"/>
      <c r="WR153" s="44"/>
      <c r="WS153" s="7"/>
      <c r="WT153" s="51"/>
      <c r="WU153" s="52"/>
      <c r="WV153" s="53"/>
      <c r="WW153" s="54"/>
      <c r="WX153" s="52"/>
      <c r="WY153" s="53"/>
      <c r="WZ153" s="54"/>
      <c r="XA153" s="52"/>
      <c r="XB153" s="53"/>
      <c r="XC153" s="8"/>
      <c r="XD153" s="45"/>
      <c r="XE153" s="45"/>
      <c r="XF153" s="46"/>
      <c r="XG153" s="44"/>
      <c r="XH153" s="7"/>
      <c r="XI153" s="51"/>
      <c r="XJ153" s="52"/>
      <c r="XK153" s="53"/>
      <c r="XL153" s="54"/>
      <c r="XM153" s="52"/>
      <c r="XN153" s="53"/>
      <c r="XO153" s="54"/>
      <c r="XP153" s="52"/>
      <c r="XQ153" s="53"/>
      <c r="XR153" s="8"/>
      <c r="XS153" s="45"/>
      <c r="XT153" s="45"/>
      <c r="XU153" s="46"/>
      <c r="XV153" s="44"/>
      <c r="XW153" s="7"/>
      <c r="XX153" s="51"/>
      <c r="XY153" s="52"/>
      <c r="XZ153" s="53"/>
      <c r="YA153" s="54"/>
      <c r="YB153" s="52"/>
      <c r="YC153" s="53"/>
      <c r="YD153" s="54"/>
      <c r="YE153" s="52"/>
      <c r="YF153" s="53"/>
      <c r="YG153" s="8"/>
      <c r="YH153" s="45"/>
      <c r="YI153" s="45"/>
      <c r="YJ153" s="46"/>
      <c r="YK153" s="44"/>
      <c r="YL153" s="7"/>
      <c r="YM153" s="51"/>
      <c r="YN153" s="52"/>
      <c r="YO153" s="53"/>
      <c r="YP153" s="54"/>
      <c r="YQ153" s="52"/>
      <c r="YR153" s="53"/>
      <c r="YS153" s="54"/>
      <c r="YT153" s="52"/>
      <c r="YU153" s="53"/>
      <c r="YV153" s="8"/>
      <c r="YW153" s="45"/>
      <c r="YX153" s="45"/>
      <c r="YY153" s="46"/>
      <c r="YZ153" s="44"/>
      <c r="ZA153" s="7"/>
      <c r="ZB153" s="51"/>
      <c r="ZC153" s="52"/>
      <c r="ZD153" s="53"/>
      <c r="ZE153" s="54"/>
      <c r="ZF153" s="52"/>
      <c r="ZG153" s="53"/>
      <c r="ZH153" s="54"/>
      <c r="ZI153" s="52"/>
      <c r="ZJ153" s="53"/>
      <c r="ZK153" s="8"/>
      <c r="ZL153" s="45"/>
      <c r="ZM153" s="45"/>
      <c r="ZN153" s="46"/>
      <c r="ZO153" s="44"/>
      <c r="ZP153" s="7"/>
      <c r="ZQ153" s="51"/>
      <c r="ZR153" s="52"/>
      <c r="ZS153" s="53"/>
      <c r="ZT153" s="54"/>
      <c r="ZU153" s="52"/>
      <c r="ZV153" s="53"/>
      <c r="ZW153" s="54"/>
      <c r="ZX153" s="52"/>
      <c r="ZY153" s="53"/>
      <c r="ZZ153" s="8"/>
      <c r="AAA153" s="45"/>
      <c r="AAB153" s="45"/>
      <c r="AAC153" s="46"/>
      <c r="AAD153" s="44"/>
      <c r="AAE153" s="7"/>
      <c r="AAF153" s="51"/>
      <c r="AAG153" s="52"/>
      <c r="AAH153" s="53"/>
      <c r="AAI153" s="54"/>
      <c r="AAJ153" s="52"/>
      <c r="AAK153" s="53"/>
      <c r="AAL153" s="54"/>
      <c r="AAM153" s="52"/>
      <c r="AAN153" s="53"/>
      <c r="AAO153" s="8"/>
      <c r="AAP153" s="45"/>
      <c r="AAQ153" s="45"/>
      <c r="AAR153" s="46"/>
      <c r="AAS153" s="44"/>
      <c r="AAT153" s="7"/>
      <c r="AAU153" s="51"/>
      <c r="AAV153" s="52"/>
      <c r="AAW153" s="53"/>
      <c r="AAX153" s="54"/>
      <c r="AAY153" s="52"/>
      <c r="AAZ153" s="53"/>
      <c r="ABA153" s="54"/>
      <c r="ABB153" s="52"/>
      <c r="ABC153" s="53"/>
      <c r="ABD153" s="8"/>
      <c r="ABE153" s="45"/>
      <c r="ABF153" s="45"/>
      <c r="ABG153" s="46"/>
      <c r="ABH153" s="44"/>
      <c r="ABI153" s="7"/>
      <c r="ABJ153" s="51"/>
      <c r="ABK153" s="52"/>
      <c r="ABL153" s="53"/>
      <c r="ABM153" s="54"/>
      <c r="ABN153" s="52"/>
      <c r="ABO153" s="53"/>
      <c r="ABP153" s="54"/>
      <c r="ABQ153" s="52"/>
      <c r="ABR153" s="53"/>
      <c r="ABS153" s="8"/>
      <c r="ABT153" s="45"/>
      <c r="ABU153" s="45"/>
      <c r="ABV153" s="46"/>
      <c r="ABW153" s="44"/>
      <c r="ABX153" s="7"/>
      <c r="ABY153" s="51"/>
      <c r="ABZ153" s="52"/>
      <c r="ACA153" s="53"/>
      <c r="ACB153" s="54"/>
      <c r="ACC153" s="52"/>
      <c r="ACD153" s="53"/>
      <c r="ACE153" s="54"/>
      <c r="ACF153" s="52"/>
      <c r="ACG153" s="53"/>
      <c r="ACH153" s="8"/>
      <c r="ACI153" s="45"/>
      <c r="ACJ153" s="45"/>
      <c r="ACK153" s="46"/>
      <c r="ACL153" s="44"/>
      <c r="ACM153" s="7"/>
      <c r="ACN153" s="51"/>
      <c r="ACO153" s="52"/>
      <c r="ACP153" s="53"/>
      <c r="ACQ153" s="54"/>
      <c r="ACR153" s="52"/>
      <c r="ACS153" s="53"/>
      <c r="ACT153" s="54"/>
      <c r="ACU153" s="52"/>
      <c r="ACV153" s="53"/>
      <c r="ACW153" s="8"/>
      <c r="ACX153" s="45"/>
      <c r="ACY153" s="45"/>
      <c r="ACZ153" s="46"/>
      <c r="ADA153" s="44"/>
      <c r="ADB153" s="7"/>
      <c r="ADC153" s="51"/>
      <c r="ADD153" s="52"/>
      <c r="ADE153" s="53"/>
      <c r="ADF153" s="54"/>
      <c r="ADG153" s="52"/>
      <c r="ADH153" s="53"/>
      <c r="ADI153" s="54"/>
      <c r="ADJ153" s="52"/>
      <c r="ADK153" s="53"/>
      <c r="ADL153" s="8"/>
      <c r="ADM153" s="45"/>
      <c r="ADN153" s="45"/>
      <c r="ADO153" s="46"/>
      <c r="ADP153" s="44"/>
      <c r="ADQ153" s="7"/>
      <c r="ADR153" s="51"/>
      <c r="ADS153" s="52"/>
      <c r="ADT153" s="53"/>
      <c r="ADU153" s="54"/>
      <c r="ADV153" s="52"/>
      <c r="ADW153" s="53"/>
      <c r="ADX153" s="54"/>
      <c r="ADY153" s="52"/>
      <c r="ADZ153" s="53"/>
      <c r="AEA153" s="8"/>
      <c r="AEB153" s="45"/>
      <c r="AEC153" s="45"/>
      <c r="AED153" s="46"/>
      <c r="AEE153" s="44"/>
      <c r="AEF153" s="7"/>
      <c r="AEG153" s="51"/>
      <c r="AEH153" s="52"/>
      <c r="AEI153" s="53"/>
      <c r="AEJ153" s="54"/>
      <c r="AEK153" s="52"/>
      <c r="AEL153" s="53"/>
      <c r="AEM153" s="54"/>
      <c r="AEN153" s="52"/>
      <c r="AEO153" s="53"/>
      <c r="AEP153" s="8"/>
      <c r="AEQ153" s="45"/>
      <c r="AER153" s="45"/>
      <c r="AES153" s="46"/>
      <c r="AET153" s="44"/>
      <c r="AEU153" s="7"/>
      <c r="AEV153" s="51"/>
      <c r="AEW153" s="52"/>
      <c r="AEX153" s="53"/>
      <c r="AEY153" s="54"/>
      <c r="AEZ153" s="52"/>
      <c r="AFA153" s="53"/>
      <c r="AFB153" s="54"/>
      <c r="AFC153" s="52"/>
      <c r="AFD153" s="53"/>
      <c r="AFE153" s="8"/>
      <c r="AFF153" s="45"/>
      <c r="AFG153" s="45"/>
      <c r="AFH153" s="46"/>
      <c r="AFI153" s="44"/>
      <c r="AFJ153" s="7"/>
      <c r="AFK153" s="51"/>
      <c r="AFL153" s="52"/>
      <c r="AFM153" s="53"/>
      <c r="AFN153" s="54"/>
      <c r="AFO153" s="52"/>
      <c r="AFP153" s="53"/>
      <c r="AFQ153" s="54"/>
      <c r="AFR153" s="52"/>
      <c r="AFS153" s="53"/>
      <c r="AFT153" s="8"/>
      <c r="AFU153" s="45"/>
      <c r="AFV153" s="45"/>
      <c r="AFW153" s="46"/>
      <c r="AFX153" s="44"/>
      <c r="AFY153" s="7"/>
      <c r="AFZ153" s="51"/>
      <c r="AGA153" s="52"/>
      <c r="AGB153" s="53"/>
      <c r="AGC153" s="54"/>
      <c r="AGD153" s="52"/>
      <c r="AGE153" s="53"/>
      <c r="AGF153" s="54"/>
      <c r="AGG153" s="52"/>
      <c r="AGH153" s="53"/>
      <c r="AGI153" s="8"/>
      <c r="AGJ153" s="45"/>
      <c r="AGK153" s="45"/>
      <c r="AGL153" s="46"/>
      <c r="AGM153" s="44"/>
      <c r="AGN153" s="7"/>
      <c r="AGO153" s="51"/>
      <c r="AGP153" s="52"/>
      <c r="AGQ153" s="53"/>
      <c r="AGR153" s="54"/>
      <c r="AGS153" s="52"/>
      <c r="AGT153" s="53"/>
      <c r="AGU153" s="54"/>
      <c r="AGV153" s="52"/>
      <c r="AGW153" s="53"/>
      <c r="AGX153" s="8"/>
      <c r="AGY153" s="45"/>
      <c r="AGZ153" s="45"/>
      <c r="AHA153" s="46"/>
      <c r="AHB153" s="44"/>
      <c r="AHC153" s="7"/>
      <c r="AHD153" s="51"/>
      <c r="AHE153" s="52"/>
      <c r="AHF153" s="53"/>
      <c r="AHG153" s="54"/>
      <c r="AHH153" s="52"/>
      <c r="AHI153" s="53"/>
      <c r="AHJ153" s="54"/>
      <c r="AHK153" s="52"/>
      <c r="AHL153" s="53"/>
      <c r="AHM153" s="8"/>
      <c r="AHN153" s="45"/>
      <c r="AHO153" s="45"/>
      <c r="AHP153" s="46"/>
      <c r="AHQ153" s="44"/>
      <c r="AHR153" s="7"/>
      <c r="AHS153" s="51"/>
      <c r="AHT153" s="52"/>
      <c r="AHU153" s="53"/>
      <c r="AHV153" s="54"/>
      <c r="AHW153" s="52"/>
      <c r="AHX153" s="53"/>
      <c r="AHY153" s="54"/>
      <c r="AHZ153" s="52"/>
      <c r="AIA153" s="53"/>
      <c r="AIB153" s="8"/>
      <c r="AIC153" s="45"/>
      <c r="AID153" s="45"/>
      <c r="AIE153" s="46"/>
      <c r="AIF153" s="44"/>
      <c r="AIG153" s="7"/>
      <c r="AIH153" s="51"/>
      <c r="AII153" s="52"/>
      <c r="AIJ153" s="53"/>
      <c r="AIK153" s="54"/>
      <c r="AIL153" s="52"/>
      <c r="AIM153" s="53"/>
      <c r="AIN153" s="54"/>
      <c r="AIO153" s="52"/>
      <c r="AIP153" s="53"/>
      <c r="AIQ153" s="8"/>
      <c r="AIR153" s="45"/>
      <c r="AIS153" s="45"/>
      <c r="AIT153" s="46"/>
      <c r="AIU153" s="44"/>
      <c r="AIV153" s="7"/>
      <c r="AIW153" s="51"/>
      <c r="AIX153" s="52"/>
      <c r="AIY153" s="53"/>
      <c r="AIZ153" s="54"/>
      <c r="AJA153" s="52"/>
      <c r="AJB153" s="53"/>
      <c r="AJC153" s="54"/>
      <c r="AJD153" s="52"/>
      <c r="AJE153" s="53"/>
      <c r="AJF153" s="8"/>
      <c r="AJG153" s="45"/>
      <c r="AJH153" s="45"/>
      <c r="AJI153" s="46"/>
      <c r="AJJ153" s="44"/>
      <c r="AJK153" s="7"/>
      <c r="AJL153" s="51"/>
      <c r="AJM153" s="52"/>
      <c r="AJN153" s="53"/>
      <c r="AJO153" s="54"/>
      <c r="AJP153" s="52"/>
      <c r="AJQ153" s="53"/>
      <c r="AJR153" s="54"/>
      <c r="AJS153" s="52"/>
      <c r="AJT153" s="53"/>
      <c r="AJU153" s="8"/>
      <c r="AJV153" s="45"/>
      <c r="AJW153" s="45"/>
      <c r="AJX153" s="46"/>
      <c r="AJY153" s="44"/>
      <c r="AJZ153" s="7"/>
      <c r="AKA153" s="51"/>
      <c r="AKB153" s="52"/>
      <c r="AKC153" s="53"/>
      <c r="AKD153" s="54"/>
      <c r="AKE153" s="52"/>
      <c r="AKF153" s="53"/>
      <c r="AKG153" s="54"/>
      <c r="AKH153" s="52"/>
      <c r="AKI153" s="53"/>
      <c r="AKJ153" s="8"/>
      <c r="AKK153" s="45"/>
      <c r="AKL153" s="45"/>
      <c r="AKM153" s="46"/>
      <c r="AKN153" s="44"/>
      <c r="AKO153" s="7"/>
      <c r="AKP153" s="51"/>
      <c r="AKQ153" s="52"/>
      <c r="AKR153" s="53"/>
      <c r="AKS153" s="54"/>
      <c r="AKT153" s="52"/>
      <c r="AKU153" s="53"/>
      <c r="AKV153" s="54"/>
      <c r="AKW153" s="52"/>
      <c r="AKX153" s="53"/>
      <c r="AKY153" s="8"/>
      <c r="AKZ153" s="45"/>
      <c r="ALA153" s="45"/>
      <c r="ALB153" s="46"/>
      <c r="ALC153" s="44"/>
      <c r="ALD153" s="7"/>
      <c r="ALE153" s="51"/>
      <c r="ALF153" s="52"/>
      <c r="ALG153" s="53"/>
      <c r="ALH153" s="54"/>
      <c r="ALI153" s="52"/>
      <c r="ALJ153" s="53"/>
      <c r="ALK153" s="54"/>
      <c r="ALL153" s="52"/>
      <c r="ALM153" s="53"/>
      <c r="ALN153" s="8"/>
      <c r="ALO153" s="45"/>
      <c r="ALP153" s="45"/>
      <c r="ALQ153" s="46"/>
      <c r="ALR153" s="44"/>
      <c r="ALS153" s="7"/>
      <c r="ALT153" s="51"/>
      <c r="ALU153" s="52"/>
      <c r="ALV153" s="53"/>
      <c r="ALW153" s="54"/>
      <c r="ALX153" s="52"/>
      <c r="ALY153" s="53"/>
      <c r="ALZ153" s="54"/>
      <c r="AMA153" s="52"/>
      <c r="AMB153" s="53"/>
      <c r="AMC153" s="8"/>
      <c r="AMD153" s="45"/>
      <c r="AME153" s="45"/>
      <c r="AMF153" s="46"/>
      <c r="AMG153" s="44"/>
      <c r="AMH153" s="7"/>
      <c r="AMI153" s="51"/>
      <c r="AMJ153" s="52"/>
      <c r="AMK153" s="53"/>
      <c r="AML153" s="54"/>
      <c r="AMM153" s="52"/>
      <c r="AMN153" s="53"/>
      <c r="AMO153" s="54"/>
      <c r="AMP153" s="52"/>
      <c r="AMQ153" s="53"/>
      <c r="AMR153" s="8"/>
      <c r="AMS153" s="45"/>
      <c r="AMT153" s="45"/>
      <c r="AMU153" s="46"/>
      <c r="AMV153" s="44"/>
      <c r="AMW153" s="7"/>
      <c r="AMX153" s="51"/>
      <c r="AMY153" s="52"/>
      <c r="AMZ153" s="53"/>
      <c r="ANA153" s="54"/>
      <c r="ANB153" s="52"/>
      <c r="ANC153" s="53"/>
      <c r="AND153" s="54"/>
      <c r="ANE153" s="52"/>
      <c r="ANF153" s="53"/>
      <c r="ANG153" s="8"/>
      <c r="ANH153" s="45"/>
      <c r="ANI153" s="45"/>
      <c r="ANJ153" s="46"/>
      <c r="ANK153" s="44"/>
      <c r="ANL153" s="7"/>
      <c r="ANM153" s="51"/>
      <c r="ANN153" s="52"/>
      <c r="ANO153" s="53"/>
      <c r="ANP153" s="54"/>
      <c r="ANQ153" s="52"/>
      <c r="ANR153" s="53"/>
      <c r="ANS153" s="54"/>
      <c r="ANT153" s="52"/>
      <c r="ANU153" s="53"/>
      <c r="ANV153" s="8"/>
      <c r="ANW153" s="45"/>
      <c r="ANX153" s="45"/>
      <c r="ANY153" s="46"/>
      <c r="ANZ153" s="44"/>
      <c r="AOA153" s="7"/>
      <c r="AOB153" s="51"/>
      <c r="AOC153" s="52"/>
      <c r="AOD153" s="53"/>
      <c r="AOE153" s="54"/>
      <c r="AOF153" s="52"/>
      <c r="AOG153" s="53"/>
      <c r="AOH153" s="54"/>
      <c r="AOI153" s="52"/>
      <c r="AOJ153" s="53"/>
      <c r="AOK153" s="8"/>
      <c r="AOL153" s="45"/>
      <c r="AOM153" s="45"/>
      <c r="AON153" s="46"/>
      <c r="AOO153" s="44"/>
      <c r="AOP153" s="7"/>
      <c r="AOQ153" s="51"/>
      <c r="AOR153" s="52"/>
      <c r="AOS153" s="53"/>
      <c r="AOT153" s="54"/>
      <c r="AOU153" s="52"/>
      <c r="AOV153" s="53"/>
      <c r="AOW153" s="54"/>
      <c r="AOX153" s="52"/>
      <c r="AOY153" s="53"/>
      <c r="AOZ153" s="8"/>
      <c r="APA153" s="45"/>
      <c r="APB153" s="45"/>
      <c r="APC153" s="46"/>
      <c r="APD153" s="44"/>
      <c r="APE153" s="7"/>
      <c r="APF153" s="51"/>
      <c r="APG153" s="52"/>
      <c r="APH153" s="53"/>
      <c r="API153" s="54"/>
      <c r="APJ153" s="52"/>
      <c r="APK153" s="53"/>
      <c r="APL153" s="54"/>
      <c r="APM153" s="52"/>
      <c r="APN153" s="53"/>
      <c r="APO153" s="8"/>
      <c r="APP153" s="45"/>
      <c r="APQ153" s="45"/>
      <c r="APR153" s="46"/>
      <c r="APS153" s="44"/>
      <c r="APT153" s="7"/>
      <c r="APU153" s="51"/>
      <c r="APV153" s="52"/>
      <c r="APW153" s="53"/>
      <c r="APX153" s="54"/>
      <c r="APY153" s="52"/>
      <c r="APZ153" s="53"/>
      <c r="AQA153" s="54"/>
      <c r="AQB153" s="52"/>
      <c r="AQC153" s="53"/>
      <c r="AQD153" s="8"/>
      <c r="AQE153" s="45"/>
      <c r="AQF153" s="45"/>
      <c r="AQG153" s="46"/>
      <c r="AQH153" s="44"/>
      <c r="AQI153" s="7"/>
      <c r="AQJ153" s="51"/>
      <c r="AQK153" s="52"/>
      <c r="AQL153" s="53"/>
      <c r="AQM153" s="54"/>
      <c r="AQN153" s="52"/>
      <c r="AQO153" s="53"/>
      <c r="AQP153" s="54"/>
      <c r="AQQ153" s="52"/>
      <c r="AQR153" s="53"/>
      <c r="AQS153" s="8"/>
      <c r="AQT153" s="45"/>
      <c r="AQU153" s="45"/>
      <c r="AQV153" s="46"/>
      <c r="AQW153" s="44"/>
      <c r="AQX153" s="7"/>
      <c r="AQY153" s="51"/>
      <c r="AQZ153" s="52"/>
      <c r="ARA153" s="53"/>
      <c r="ARB153" s="54"/>
      <c r="ARC153" s="52"/>
      <c r="ARD153" s="53"/>
      <c r="ARE153" s="54"/>
      <c r="ARF153" s="52"/>
      <c r="ARG153" s="53"/>
      <c r="ARH153" s="8"/>
      <c r="ARI153" s="45"/>
      <c r="ARJ153" s="45"/>
      <c r="ARK153" s="46"/>
      <c r="ARL153" s="44"/>
      <c r="ARM153" s="7"/>
      <c r="ARN153" s="51"/>
      <c r="ARO153" s="52"/>
      <c r="ARP153" s="53"/>
      <c r="ARQ153" s="54"/>
      <c r="ARR153" s="52"/>
      <c r="ARS153" s="53"/>
      <c r="ART153" s="54"/>
      <c r="ARU153" s="52"/>
      <c r="ARV153" s="53"/>
      <c r="ARW153" s="8"/>
      <c r="ARX153" s="45"/>
      <c r="ARY153" s="45"/>
      <c r="ARZ153" s="46"/>
      <c r="ASA153" s="44"/>
      <c r="ASB153" s="7"/>
      <c r="ASC153" s="51"/>
      <c r="ASD153" s="52"/>
      <c r="ASE153" s="53"/>
      <c r="ASF153" s="54"/>
      <c r="ASG153" s="52"/>
      <c r="ASH153" s="53"/>
      <c r="ASI153" s="54"/>
      <c r="ASJ153" s="52"/>
      <c r="ASK153" s="53"/>
      <c r="ASL153" s="8"/>
      <c r="ASM153" s="45"/>
      <c r="ASN153" s="45"/>
      <c r="ASO153" s="46"/>
      <c r="ASP153" s="44"/>
      <c r="ASQ153" s="7"/>
      <c r="ASR153" s="51"/>
      <c r="ASS153" s="52"/>
      <c r="AST153" s="53"/>
      <c r="ASU153" s="54"/>
      <c r="ASV153" s="52"/>
      <c r="ASW153" s="53"/>
      <c r="ASX153" s="54"/>
      <c r="ASY153" s="52"/>
      <c r="ASZ153" s="53"/>
      <c r="ATA153" s="8"/>
      <c r="ATB153" s="45"/>
      <c r="ATC153" s="45"/>
      <c r="ATD153" s="46"/>
      <c r="ATE153" s="44"/>
      <c r="ATF153" s="7"/>
      <c r="ATG153" s="51"/>
      <c r="ATH153" s="52"/>
      <c r="ATI153" s="53"/>
      <c r="ATJ153" s="54"/>
      <c r="ATK153" s="52"/>
      <c r="ATL153" s="53"/>
      <c r="ATM153" s="54"/>
      <c r="ATN153" s="52"/>
      <c r="ATO153" s="53"/>
      <c r="ATP153" s="8"/>
      <c r="ATQ153" s="45"/>
      <c r="ATR153" s="45"/>
      <c r="ATS153" s="46"/>
      <c r="ATT153" s="44"/>
      <c r="ATU153" s="7"/>
      <c r="ATV153" s="51"/>
      <c r="ATW153" s="52"/>
      <c r="ATX153" s="53"/>
      <c r="ATY153" s="54"/>
      <c r="ATZ153" s="52"/>
      <c r="AUA153" s="53"/>
      <c r="AUB153" s="54"/>
      <c r="AUC153" s="52"/>
      <c r="AUD153" s="53"/>
      <c r="AUE153" s="8"/>
      <c r="AUF153" s="45"/>
      <c r="AUG153" s="45"/>
      <c r="AUH153" s="46"/>
      <c r="AUI153" s="44"/>
      <c r="AUJ153" s="7"/>
      <c r="AUK153" s="51"/>
      <c r="AUL153" s="52"/>
      <c r="AUM153" s="53"/>
      <c r="AUN153" s="54"/>
      <c r="AUO153" s="52"/>
      <c r="AUP153" s="53"/>
      <c r="AUQ153" s="54"/>
      <c r="AUR153" s="52"/>
      <c r="AUS153" s="53"/>
      <c r="AUT153" s="8"/>
      <c r="AUU153" s="45"/>
      <c r="AUV153" s="45"/>
      <c r="AUW153" s="46"/>
      <c r="AUX153" s="44"/>
      <c r="AUY153" s="7"/>
      <c r="AUZ153" s="51"/>
      <c r="AVA153" s="52"/>
      <c r="AVB153" s="53"/>
      <c r="AVC153" s="54"/>
      <c r="AVD153" s="52"/>
      <c r="AVE153" s="53"/>
      <c r="AVF153" s="54"/>
      <c r="AVG153" s="52"/>
      <c r="AVH153" s="53"/>
      <c r="AVI153" s="8"/>
      <c r="AVJ153" s="45"/>
      <c r="AVK153" s="45"/>
      <c r="AVL153" s="46"/>
      <c r="AVM153" s="44"/>
      <c r="AVN153" s="7"/>
      <c r="AVO153" s="51"/>
      <c r="AVP153" s="52"/>
      <c r="AVQ153" s="53"/>
      <c r="AVR153" s="54"/>
      <c r="AVS153" s="52"/>
      <c r="AVT153" s="53"/>
      <c r="AVU153" s="54"/>
      <c r="AVV153" s="52"/>
      <c r="AVW153" s="53"/>
      <c r="AVX153" s="8"/>
      <c r="AVY153" s="45"/>
      <c r="AVZ153" s="45"/>
      <c r="AWA153" s="46"/>
      <c r="AWB153" s="44"/>
      <c r="AWC153" s="7"/>
      <c r="AWD153" s="51"/>
      <c r="AWE153" s="52"/>
      <c r="AWF153" s="53"/>
      <c r="AWG153" s="54"/>
      <c r="AWH153" s="52"/>
      <c r="AWI153" s="53"/>
      <c r="AWJ153" s="54"/>
      <c r="AWK153" s="52"/>
      <c r="AWL153" s="53"/>
      <c r="AWM153" s="8"/>
      <c r="AWN153" s="45"/>
      <c r="AWO153" s="45"/>
      <c r="AWP153" s="46"/>
      <c r="AWQ153" s="44"/>
      <c r="AWR153" s="7"/>
      <c r="AWS153" s="51"/>
      <c r="AWT153" s="52"/>
      <c r="AWU153" s="53"/>
      <c r="AWV153" s="54"/>
      <c r="AWW153" s="52"/>
      <c r="AWX153" s="53"/>
      <c r="AWY153" s="54"/>
      <c r="AWZ153" s="52"/>
      <c r="AXA153" s="53"/>
      <c r="AXB153" s="8"/>
      <c r="AXC153" s="45"/>
      <c r="AXD153" s="45"/>
      <c r="AXE153" s="46"/>
      <c r="AXF153" s="44"/>
      <c r="AXG153" s="7"/>
      <c r="AXH153" s="51"/>
      <c r="AXI153" s="52"/>
      <c r="AXJ153" s="53"/>
      <c r="AXK153" s="54"/>
      <c r="AXL153" s="52"/>
      <c r="AXM153" s="53"/>
      <c r="AXN153" s="54"/>
      <c r="AXO153" s="52"/>
      <c r="AXP153" s="53"/>
      <c r="AXQ153" s="8"/>
      <c r="AXR153" s="45"/>
      <c r="AXS153" s="45"/>
      <c r="AXT153" s="46"/>
      <c r="AXU153" s="44"/>
      <c r="AXV153" s="7"/>
      <c r="AXW153" s="51"/>
      <c r="AXX153" s="52"/>
      <c r="AXY153" s="53"/>
      <c r="AXZ153" s="54"/>
      <c r="AYA153" s="52"/>
      <c r="AYB153" s="53"/>
      <c r="AYC153" s="54"/>
      <c r="AYD153" s="52"/>
      <c r="AYE153" s="53"/>
      <c r="AYF153" s="8"/>
      <c r="AYG153" s="45"/>
      <c r="AYH153" s="45"/>
      <c r="AYI153" s="46"/>
      <c r="AYJ153" s="44"/>
      <c r="AYK153" s="7"/>
      <c r="AYL153" s="51"/>
      <c r="AYM153" s="52"/>
      <c r="AYN153" s="53"/>
      <c r="AYO153" s="54"/>
      <c r="AYP153" s="52"/>
      <c r="AYQ153" s="53"/>
      <c r="AYR153" s="54"/>
      <c r="AYS153" s="52"/>
      <c r="AYT153" s="53"/>
      <c r="AYU153" s="8"/>
      <c r="AYV153" s="45"/>
      <c r="AYW153" s="45"/>
      <c r="AYX153" s="46"/>
      <c r="AYY153" s="44"/>
      <c r="AYZ153" s="7"/>
      <c r="AZA153" s="51"/>
      <c r="AZB153" s="52"/>
      <c r="AZC153" s="53"/>
      <c r="AZD153" s="54"/>
      <c r="AZE153" s="52"/>
      <c r="AZF153" s="53"/>
      <c r="AZG153" s="54"/>
      <c r="AZH153" s="52"/>
      <c r="AZI153" s="53"/>
      <c r="AZJ153" s="8"/>
      <c r="AZK153" s="45"/>
      <c r="AZL153" s="45"/>
      <c r="AZM153" s="46"/>
      <c r="AZN153" s="44"/>
      <c r="AZO153" s="7"/>
      <c r="AZP153" s="51"/>
      <c r="AZQ153" s="52"/>
      <c r="AZR153" s="53"/>
      <c r="AZS153" s="54"/>
      <c r="AZT153" s="52"/>
      <c r="AZU153" s="53"/>
      <c r="AZV153" s="54"/>
      <c r="AZW153" s="52"/>
      <c r="AZX153" s="53"/>
      <c r="AZY153" s="8"/>
      <c r="AZZ153" s="45"/>
      <c r="BAA153" s="45"/>
      <c r="BAB153" s="46"/>
      <c r="BAC153" s="44"/>
      <c r="BAD153" s="7"/>
      <c r="BAE153" s="51"/>
      <c r="BAF153" s="52"/>
      <c r="BAG153" s="53"/>
      <c r="BAH153" s="54"/>
      <c r="BAI153" s="52"/>
      <c r="BAJ153" s="53"/>
      <c r="BAK153" s="54"/>
      <c r="BAL153" s="52"/>
      <c r="BAM153" s="53"/>
      <c r="BAN153" s="8"/>
      <c r="BAO153" s="45"/>
      <c r="BAP153" s="45"/>
      <c r="BAQ153" s="46"/>
      <c r="BAR153" s="44"/>
      <c r="BAS153" s="7"/>
      <c r="BAT153" s="51"/>
      <c r="BAU153" s="52"/>
      <c r="BAV153" s="53"/>
      <c r="BAW153" s="54"/>
      <c r="BAX153" s="52"/>
      <c r="BAY153" s="53"/>
      <c r="BAZ153" s="54"/>
      <c r="BBA153" s="52"/>
      <c r="BBB153" s="53"/>
      <c r="BBC153" s="8"/>
      <c r="BBD153" s="45"/>
      <c r="BBE153" s="45"/>
      <c r="BBF153" s="46"/>
      <c r="BBG153" s="44"/>
      <c r="BBH153" s="7"/>
      <c r="BBI153" s="51"/>
      <c r="BBJ153" s="52"/>
      <c r="BBK153" s="53"/>
      <c r="BBL153" s="54"/>
      <c r="BBM153" s="52"/>
      <c r="BBN153" s="53"/>
      <c r="BBO153" s="54"/>
      <c r="BBP153" s="52"/>
      <c r="BBQ153" s="53"/>
      <c r="BBR153" s="8"/>
      <c r="BBS153" s="45"/>
      <c r="BBT153" s="45"/>
      <c r="BBU153" s="46"/>
      <c r="BBV153" s="44"/>
      <c r="BBW153" s="7"/>
      <c r="BBX153" s="51"/>
      <c r="BBY153" s="52"/>
      <c r="BBZ153" s="53"/>
      <c r="BCA153" s="54"/>
      <c r="BCB153" s="52"/>
      <c r="BCC153" s="53"/>
      <c r="BCD153" s="54"/>
      <c r="BCE153" s="52"/>
      <c r="BCF153" s="53"/>
      <c r="BCG153" s="8"/>
      <c r="BCH153" s="45"/>
      <c r="BCI153" s="45"/>
      <c r="BCJ153" s="46"/>
      <c r="BCK153" s="44"/>
      <c r="BCL153" s="7"/>
      <c r="BCM153" s="51"/>
      <c r="BCN153" s="52"/>
      <c r="BCO153" s="53"/>
      <c r="BCP153" s="54"/>
      <c r="BCQ153" s="52"/>
      <c r="BCR153" s="53"/>
      <c r="BCS153" s="54"/>
      <c r="BCT153" s="52"/>
      <c r="BCU153" s="53"/>
      <c r="BCV153" s="8"/>
      <c r="BCW153" s="45"/>
      <c r="BCX153" s="45"/>
      <c r="BCY153" s="46"/>
      <c r="BCZ153" s="44"/>
      <c r="BDA153" s="7"/>
      <c r="BDB153" s="51"/>
      <c r="BDC153" s="52"/>
      <c r="BDD153" s="53"/>
      <c r="BDE153" s="54"/>
      <c r="BDF153" s="52"/>
      <c r="BDG153" s="53"/>
      <c r="BDH153" s="54"/>
      <c r="BDI153" s="52"/>
      <c r="BDJ153" s="53"/>
      <c r="BDK153" s="8"/>
      <c r="BDL153" s="45"/>
      <c r="BDM153" s="45"/>
      <c r="BDN153" s="46"/>
      <c r="BDO153" s="44"/>
      <c r="BDP153" s="7"/>
      <c r="BDQ153" s="51"/>
      <c r="BDR153" s="52"/>
      <c r="BDS153" s="53"/>
      <c r="BDT153" s="54"/>
      <c r="BDU153" s="52"/>
      <c r="BDV153" s="53"/>
      <c r="BDW153" s="54"/>
      <c r="BDX153" s="52"/>
      <c r="BDY153" s="53"/>
      <c r="BDZ153" s="8"/>
      <c r="BEA153" s="45"/>
      <c r="BEB153" s="45"/>
      <c r="BEC153" s="46"/>
      <c r="BED153" s="44"/>
      <c r="BEE153" s="7"/>
      <c r="BEF153" s="51"/>
      <c r="BEG153" s="52"/>
      <c r="BEH153" s="53"/>
      <c r="BEI153" s="54"/>
      <c r="BEJ153" s="52"/>
      <c r="BEK153" s="53"/>
      <c r="BEL153" s="54"/>
      <c r="BEM153" s="52"/>
      <c r="BEN153" s="53"/>
      <c r="BEO153" s="8"/>
      <c r="BEP153" s="45"/>
      <c r="BEQ153" s="45"/>
      <c r="BER153" s="46"/>
      <c r="BES153" s="44"/>
      <c r="BET153" s="7"/>
      <c r="BEU153" s="51"/>
      <c r="BEV153" s="52"/>
      <c r="BEW153" s="53"/>
      <c r="BEX153" s="54"/>
      <c r="BEY153" s="52"/>
      <c r="BEZ153" s="53"/>
      <c r="BFA153" s="54"/>
      <c r="BFB153" s="52"/>
      <c r="BFC153" s="53"/>
      <c r="BFD153" s="8"/>
      <c r="BFE153" s="45"/>
      <c r="BFF153" s="45"/>
      <c r="BFG153" s="46"/>
      <c r="BFH153" s="44"/>
      <c r="BFI153" s="7"/>
      <c r="BFJ153" s="51"/>
      <c r="BFK153" s="52"/>
      <c r="BFL153" s="53"/>
      <c r="BFM153" s="54"/>
      <c r="BFN153" s="52"/>
      <c r="BFO153" s="53"/>
      <c r="BFP153" s="54"/>
      <c r="BFQ153" s="52"/>
      <c r="BFR153" s="53"/>
      <c r="BFS153" s="8"/>
      <c r="BFT153" s="45"/>
      <c r="BFU153" s="45"/>
      <c r="BFV153" s="46"/>
      <c r="BFW153" s="44"/>
      <c r="BFX153" s="7"/>
      <c r="BFY153" s="51"/>
      <c r="BFZ153" s="52"/>
      <c r="BGA153" s="53"/>
      <c r="BGB153" s="54"/>
      <c r="BGC153" s="52"/>
      <c r="BGD153" s="53"/>
      <c r="BGE153" s="54"/>
      <c r="BGF153" s="52"/>
      <c r="BGG153" s="53"/>
      <c r="BGH153" s="8"/>
      <c r="BGI153" s="45"/>
      <c r="BGJ153" s="45"/>
      <c r="BGK153" s="46"/>
      <c r="BGL153" s="44"/>
      <c r="BGM153" s="7"/>
      <c r="BGN153" s="51"/>
      <c r="BGO153" s="52"/>
      <c r="BGP153" s="53"/>
      <c r="BGQ153" s="54"/>
      <c r="BGR153" s="52"/>
      <c r="BGS153" s="53"/>
      <c r="BGT153" s="54"/>
      <c r="BGU153" s="52"/>
      <c r="BGV153" s="53"/>
      <c r="BGW153" s="8"/>
      <c r="BGX153" s="45"/>
      <c r="BGY153" s="45"/>
      <c r="BGZ153" s="46"/>
      <c r="BHA153" s="44"/>
      <c r="BHB153" s="7"/>
      <c r="BHC153" s="51"/>
      <c r="BHD153" s="52"/>
      <c r="BHE153" s="53"/>
      <c r="BHF153" s="54"/>
      <c r="BHG153" s="52"/>
      <c r="BHH153" s="53"/>
      <c r="BHI153" s="54"/>
      <c r="BHJ153" s="52"/>
      <c r="BHK153" s="53"/>
      <c r="BHL153" s="8"/>
      <c r="BHM153" s="45"/>
      <c r="BHN153" s="45"/>
      <c r="BHO153" s="46"/>
      <c r="BHP153" s="44"/>
      <c r="BHQ153" s="7"/>
      <c r="BHR153" s="51"/>
      <c r="BHS153" s="52"/>
      <c r="BHT153" s="53"/>
      <c r="BHU153" s="54"/>
      <c r="BHV153" s="52"/>
      <c r="BHW153" s="53"/>
      <c r="BHX153" s="54"/>
      <c r="BHY153" s="52"/>
      <c r="BHZ153" s="53"/>
      <c r="BIA153" s="8"/>
      <c r="BIB153" s="45"/>
      <c r="BIC153" s="45"/>
      <c r="BID153" s="46"/>
      <c r="BIE153" s="44"/>
      <c r="BIF153" s="7"/>
      <c r="BIG153" s="51"/>
      <c r="BIH153" s="52"/>
      <c r="BII153" s="53"/>
      <c r="BIJ153" s="54"/>
      <c r="BIK153" s="52"/>
      <c r="BIL153" s="53"/>
      <c r="BIM153" s="54"/>
      <c r="BIN153" s="52"/>
      <c r="BIO153" s="53"/>
      <c r="BIP153" s="8"/>
      <c r="BIQ153" s="45"/>
      <c r="BIR153" s="45"/>
      <c r="BIS153" s="46"/>
      <c r="BIT153" s="44"/>
      <c r="BIU153" s="7"/>
      <c r="BIV153" s="51"/>
      <c r="BIW153" s="52"/>
      <c r="BIX153" s="53"/>
      <c r="BIY153" s="54"/>
      <c r="BIZ153" s="52"/>
      <c r="BJA153" s="53"/>
      <c r="BJB153" s="54"/>
      <c r="BJC153" s="52"/>
      <c r="BJD153" s="53"/>
      <c r="BJE153" s="8"/>
      <c r="BJF153" s="45"/>
      <c r="BJG153" s="45"/>
      <c r="BJH153" s="46"/>
      <c r="BJI153" s="44"/>
      <c r="BJJ153" s="7"/>
      <c r="BJK153" s="51"/>
      <c r="BJL153" s="52"/>
      <c r="BJM153" s="53"/>
      <c r="BJN153" s="54"/>
      <c r="BJO153" s="52"/>
      <c r="BJP153" s="53"/>
      <c r="BJQ153" s="54"/>
      <c r="BJR153" s="52"/>
      <c r="BJS153" s="53"/>
      <c r="BJT153" s="8"/>
      <c r="BJU153" s="45"/>
      <c r="BJV153" s="45"/>
      <c r="BJW153" s="46"/>
      <c r="BJX153" s="44"/>
      <c r="BJY153" s="7"/>
      <c r="BJZ153" s="51"/>
      <c r="BKA153" s="52"/>
      <c r="BKB153" s="53"/>
      <c r="BKC153" s="54"/>
      <c r="BKD153" s="52"/>
      <c r="BKE153" s="53"/>
      <c r="BKF153" s="54"/>
      <c r="BKG153" s="52"/>
      <c r="BKH153" s="53"/>
      <c r="BKI153" s="8"/>
      <c r="BKJ153" s="45"/>
      <c r="BKK153" s="45"/>
      <c r="BKL153" s="46"/>
      <c r="BKM153" s="44"/>
      <c r="BKN153" s="7"/>
      <c r="BKO153" s="51"/>
      <c r="BKP153" s="52"/>
      <c r="BKQ153" s="53"/>
      <c r="BKR153" s="54"/>
      <c r="BKS153" s="52"/>
      <c r="BKT153" s="53"/>
      <c r="BKU153" s="54"/>
      <c r="BKV153" s="52"/>
      <c r="BKW153" s="53"/>
      <c r="BKX153" s="8"/>
      <c r="BKY153" s="45"/>
      <c r="BKZ153" s="45"/>
      <c r="BLA153" s="46"/>
      <c r="BLB153" s="44"/>
      <c r="BLC153" s="7"/>
      <c r="BLD153" s="51"/>
      <c r="BLE153" s="52"/>
      <c r="BLF153" s="53"/>
      <c r="BLG153" s="54"/>
      <c r="BLH153" s="52"/>
      <c r="BLI153" s="53"/>
      <c r="BLJ153" s="54"/>
      <c r="BLK153" s="52"/>
      <c r="BLL153" s="53"/>
      <c r="BLM153" s="8"/>
      <c r="BLN153" s="45"/>
      <c r="BLO153" s="45"/>
      <c r="BLP153" s="46"/>
      <c r="BLQ153" s="44"/>
      <c r="BLR153" s="7"/>
      <c r="BLS153" s="51"/>
      <c r="BLT153" s="52"/>
      <c r="BLU153" s="53"/>
      <c r="BLV153" s="54"/>
      <c r="BLW153" s="52"/>
      <c r="BLX153" s="53"/>
      <c r="BLY153" s="54"/>
      <c r="BLZ153" s="52"/>
      <c r="BMA153" s="53"/>
      <c r="BMB153" s="8"/>
      <c r="BMC153" s="45"/>
      <c r="BMD153" s="45"/>
      <c r="BME153" s="46"/>
      <c r="BMF153" s="44"/>
      <c r="BMG153" s="7"/>
      <c r="BMH153" s="51"/>
      <c r="BMI153" s="52"/>
      <c r="BMJ153" s="53"/>
      <c r="BMK153" s="54"/>
      <c r="BML153" s="52"/>
      <c r="BMM153" s="53"/>
      <c r="BMN153" s="54"/>
      <c r="BMO153" s="52"/>
      <c r="BMP153" s="53"/>
      <c r="BMQ153" s="8"/>
      <c r="BMR153" s="45"/>
      <c r="BMS153" s="45"/>
      <c r="BMT153" s="46"/>
      <c r="BMU153" s="44"/>
      <c r="BMV153" s="7"/>
      <c r="BMW153" s="51"/>
      <c r="BMX153" s="52"/>
      <c r="BMY153" s="53"/>
      <c r="BMZ153" s="54"/>
      <c r="BNA153" s="52"/>
      <c r="BNB153" s="53"/>
      <c r="BNC153" s="54"/>
      <c r="BND153" s="52"/>
      <c r="BNE153" s="53"/>
      <c r="BNF153" s="8"/>
      <c r="BNG153" s="45"/>
      <c r="BNH153" s="45"/>
      <c r="BNI153" s="46"/>
      <c r="BNJ153" s="44"/>
      <c r="BNK153" s="7"/>
      <c r="BNL153" s="51"/>
      <c r="BNM153" s="52"/>
      <c r="BNN153" s="53"/>
      <c r="BNO153" s="54"/>
      <c r="BNP153" s="52"/>
      <c r="BNQ153" s="53"/>
      <c r="BNR153" s="54"/>
      <c r="BNS153" s="52"/>
      <c r="BNT153" s="53"/>
      <c r="BNU153" s="8"/>
      <c r="BNV153" s="45"/>
      <c r="BNW153" s="45"/>
      <c r="BNX153" s="46"/>
      <c r="BNY153" s="44"/>
      <c r="BNZ153" s="7"/>
      <c r="BOA153" s="51"/>
      <c r="BOB153" s="52"/>
      <c r="BOC153" s="53"/>
      <c r="BOD153" s="54"/>
      <c r="BOE153" s="52"/>
      <c r="BOF153" s="53"/>
      <c r="BOG153" s="54"/>
      <c r="BOH153" s="52"/>
      <c r="BOI153" s="53"/>
      <c r="BOJ153" s="8"/>
      <c r="BOK153" s="45"/>
      <c r="BOL153" s="45"/>
      <c r="BOM153" s="46"/>
      <c r="BON153" s="44"/>
      <c r="BOO153" s="7"/>
      <c r="BOP153" s="51"/>
      <c r="BOQ153" s="52"/>
      <c r="BOR153" s="53"/>
      <c r="BOS153" s="54"/>
      <c r="BOT153" s="52"/>
      <c r="BOU153" s="53"/>
      <c r="BOV153" s="54"/>
      <c r="BOW153" s="52"/>
      <c r="BOX153" s="53"/>
      <c r="BOY153" s="8"/>
      <c r="BOZ153" s="45"/>
      <c r="BPA153" s="45"/>
      <c r="BPB153" s="46"/>
      <c r="BPC153" s="44"/>
      <c r="BPD153" s="7"/>
      <c r="BPE153" s="51"/>
      <c r="BPF153" s="52"/>
      <c r="BPG153" s="53"/>
      <c r="BPH153" s="54"/>
      <c r="BPI153" s="52"/>
      <c r="BPJ153" s="53"/>
      <c r="BPK153" s="54"/>
      <c r="BPL153" s="52"/>
      <c r="BPM153" s="53"/>
      <c r="BPN153" s="8"/>
      <c r="BPO153" s="45"/>
      <c r="BPP153" s="45"/>
      <c r="BPQ153" s="46"/>
      <c r="BPR153" s="44"/>
      <c r="BPS153" s="7"/>
      <c r="BPT153" s="51"/>
      <c r="BPU153" s="52"/>
      <c r="BPV153" s="53"/>
      <c r="BPW153" s="54"/>
      <c r="BPX153" s="52"/>
      <c r="BPY153" s="53"/>
      <c r="BPZ153" s="54"/>
      <c r="BQA153" s="52"/>
      <c r="BQB153" s="53"/>
      <c r="BQC153" s="8"/>
      <c r="BQD153" s="45"/>
      <c r="BQE153" s="45"/>
      <c r="BQF153" s="46"/>
      <c r="BQG153" s="44"/>
      <c r="BQH153" s="7"/>
      <c r="BQI153" s="51"/>
      <c r="BQJ153" s="52"/>
      <c r="BQK153" s="53"/>
      <c r="BQL153" s="54"/>
      <c r="BQM153" s="52"/>
      <c r="BQN153" s="53"/>
      <c r="BQO153" s="54"/>
      <c r="BQP153" s="52"/>
      <c r="BQQ153" s="53"/>
      <c r="BQR153" s="8"/>
      <c r="BQS153" s="45"/>
      <c r="BQT153" s="45"/>
      <c r="BQU153" s="46"/>
      <c r="BQV153" s="44"/>
      <c r="BQW153" s="7"/>
      <c r="BQX153" s="51"/>
      <c r="BQY153" s="52"/>
      <c r="BQZ153" s="53"/>
      <c r="BRA153" s="54"/>
      <c r="BRB153" s="52"/>
      <c r="BRC153" s="53"/>
      <c r="BRD153" s="54"/>
      <c r="BRE153" s="52"/>
      <c r="BRF153" s="53"/>
      <c r="BRG153" s="8"/>
      <c r="BRH153" s="45"/>
      <c r="BRI153" s="45"/>
      <c r="BRJ153" s="46"/>
      <c r="BRK153" s="44"/>
      <c r="BRL153" s="7"/>
      <c r="BRM153" s="51"/>
      <c r="BRN153" s="52"/>
      <c r="BRO153" s="53"/>
      <c r="BRP153" s="54"/>
      <c r="BRQ153" s="52"/>
      <c r="BRR153" s="53"/>
      <c r="BRS153" s="54"/>
      <c r="BRT153" s="52"/>
      <c r="BRU153" s="53"/>
      <c r="BRV153" s="8"/>
      <c r="BRW153" s="45"/>
      <c r="BRX153" s="45"/>
      <c r="BRY153" s="46"/>
      <c r="BRZ153" s="44"/>
      <c r="BSA153" s="7"/>
      <c r="BSB153" s="51"/>
      <c r="BSC153" s="52"/>
      <c r="BSD153" s="53"/>
      <c r="BSE153" s="54"/>
      <c r="BSF153" s="52"/>
      <c r="BSG153" s="53"/>
      <c r="BSH153" s="54"/>
      <c r="BSI153" s="52"/>
      <c r="BSJ153" s="53"/>
      <c r="BSK153" s="8"/>
      <c r="BSL153" s="45"/>
      <c r="BSM153" s="45"/>
      <c r="BSN153" s="46"/>
      <c r="BSO153" s="44"/>
      <c r="BSP153" s="7"/>
      <c r="BSQ153" s="51"/>
      <c r="BSR153" s="52"/>
      <c r="BSS153" s="53"/>
      <c r="BST153" s="54"/>
      <c r="BSU153" s="52"/>
      <c r="BSV153" s="53"/>
      <c r="BSW153" s="54"/>
      <c r="BSX153" s="52"/>
      <c r="BSY153" s="53"/>
      <c r="BSZ153" s="8"/>
      <c r="BTA153" s="45"/>
      <c r="BTB153" s="45"/>
      <c r="BTC153" s="46"/>
      <c r="BTD153" s="44"/>
      <c r="BTE153" s="7"/>
      <c r="BTF153" s="51"/>
      <c r="BTG153" s="52"/>
      <c r="BTH153" s="53"/>
      <c r="BTI153" s="54"/>
      <c r="BTJ153" s="52"/>
      <c r="BTK153" s="53"/>
      <c r="BTL153" s="54"/>
      <c r="BTM153" s="52"/>
      <c r="BTN153" s="53"/>
      <c r="BTO153" s="8"/>
      <c r="BTP153" s="45"/>
      <c r="BTQ153" s="45"/>
      <c r="BTR153" s="46"/>
      <c r="BTS153" s="44"/>
      <c r="BTT153" s="7"/>
      <c r="BTU153" s="51"/>
      <c r="BTV153" s="52"/>
      <c r="BTW153" s="53"/>
      <c r="BTX153" s="54"/>
      <c r="BTY153" s="52"/>
      <c r="BTZ153" s="53"/>
      <c r="BUA153" s="54"/>
      <c r="BUB153" s="52"/>
      <c r="BUC153" s="53"/>
      <c r="BUD153" s="8"/>
      <c r="BUE153" s="45"/>
      <c r="BUF153" s="45"/>
      <c r="BUG153" s="46"/>
      <c r="BUH153" s="44"/>
      <c r="BUI153" s="7"/>
      <c r="BUJ153" s="51"/>
      <c r="BUK153" s="52"/>
      <c r="BUL153" s="53"/>
      <c r="BUM153" s="54"/>
      <c r="BUN153" s="52"/>
      <c r="BUO153" s="53"/>
      <c r="BUP153" s="54"/>
      <c r="BUQ153" s="52"/>
      <c r="BUR153" s="53"/>
      <c r="BUS153" s="8"/>
      <c r="BUT153" s="45"/>
      <c r="BUU153" s="45"/>
      <c r="BUV153" s="46"/>
      <c r="BUW153" s="44"/>
      <c r="BUX153" s="7"/>
      <c r="BUY153" s="51"/>
      <c r="BUZ153" s="52"/>
      <c r="BVA153" s="53"/>
      <c r="BVB153" s="54"/>
      <c r="BVC153" s="52"/>
      <c r="BVD153" s="53"/>
      <c r="BVE153" s="54"/>
      <c r="BVF153" s="52"/>
      <c r="BVG153" s="53"/>
      <c r="BVH153" s="8"/>
      <c r="BVI153" s="45"/>
      <c r="BVJ153" s="45"/>
      <c r="BVK153" s="46"/>
      <c r="BVL153" s="44"/>
      <c r="BVM153" s="7"/>
      <c r="BVN153" s="51"/>
      <c r="BVO153" s="52"/>
      <c r="BVP153" s="53"/>
      <c r="BVQ153" s="54"/>
      <c r="BVR153" s="52"/>
      <c r="BVS153" s="53"/>
      <c r="BVT153" s="54"/>
      <c r="BVU153" s="52"/>
      <c r="BVV153" s="53"/>
      <c r="BVW153" s="8"/>
      <c r="BVX153" s="45"/>
      <c r="BVY153" s="45"/>
      <c r="BVZ153" s="46"/>
      <c r="BWA153" s="44"/>
      <c r="BWB153" s="7"/>
      <c r="BWC153" s="51"/>
      <c r="BWD153" s="52"/>
      <c r="BWE153" s="53"/>
      <c r="BWF153" s="54"/>
      <c r="BWG153" s="52"/>
      <c r="BWH153" s="53"/>
      <c r="BWI153" s="54"/>
      <c r="BWJ153" s="52"/>
      <c r="BWK153" s="53"/>
      <c r="BWL153" s="8"/>
      <c r="BWM153" s="45"/>
      <c r="BWN153" s="45"/>
      <c r="BWO153" s="46"/>
      <c r="BWP153" s="44"/>
      <c r="BWQ153" s="7"/>
      <c r="BWR153" s="51"/>
      <c r="BWS153" s="52"/>
      <c r="BWT153" s="53"/>
      <c r="BWU153" s="54"/>
      <c r="BWV153" s="52"/>
      <c r="BWW153" s="53"/>
      <c r="BWX153" s="54"/>
      <c r="BWY153" s="52"/>
      <c r="BWZ153" s="53"/>
      <c r="BXA153" s="8"/>
      <c r="BXB153" s="45"/>
      <c r="BXC153" s="45"/>
      <c r="BXD153" s="46"/>
      <c r="BXE153" s="44"/>
      <c r="BXF153" s="7"/>
      <c r="BXG153" s="51"/>
      <c r="BXH153" s="52"/>
      <c r="BXI153" s="53"/>
      <c r="BXJ153" s="54"/>
      <c r="BXK153" s="52"/>
      <c r="BXL153" s="53"/>
      <c r="BXM153" s="54"/>
      <c r="BXN153" s="52"/>
      <c r="BXO153" s="53"/>
      <c r="BXP153" s="8"/>
      <c r="BXQ153" s="45"/>
      <c r="BXR153" s="45"/>
      <c r="BXS153" s="46"/>
      <c r="BXT153" s="44"/>
      <c r="BXU153" s="7"/>
      <c r="BXV153" s="51"/>
      <c r="BXW153" s="52"/>
      <c r="BXX153" s="53"/>
      <c r="BXY153" s="54"/>
      <c r="BXZ153" s="52"/>
      <c r="BYA153" s="53"/>
      <c r="BYB153" s="54"/>
      <c r="BYC153" s="52"/>
      <c r="BYD153" s="53"/>
      <c r="BYE153" s="8"/>
      <c r="BYF153" s="45"/>
      <c r="BYG153" s="45"/>
      <c r="BYH153" s="46"/>
      <c r="BYI153" s="44"/>
      <c r="BYJ153" s="7"/>
      <c r="BYK153" s="51"/>
      <c r="BYL153" s="52"/>
      <c r="BYM153" s="53"/>
      <c r="BYN153" s="54"/>
      <c r="BYO153" s="52"/>
      <c r="BYP153" s="53"/>
      <c r="BYQ153" s="54"/>
      <c r="BYR153" s="52"/>
      <c r="BYS153" s="53"/>
      <c r="BYT153" s="8"/>
      <c r="BYU153" s="45"/>
      <c r="BYV153" s="45"/>
      <c r="BYW153" s="46"/>
      <c r="BYX153" s="44"/>
      <c r="BYY153" s="7"/>
      <c r="BYZ153" s="51"/>
      <c r="BZA153" s="52"/>
      <c r="BZB153" s="53"/>
      <c r="BZC153" s="54"/>
      <c r="BZD153" s="52"/>
      <c r="BZE153" s="53"/>
      <c r="BZF153" s="54"/>
      <c r="BZG153" s="52"/>
      <c r="BZH153" s="53"/>
      <c r="BZI153" s="8"/>
      <c r="BZJ153" s="45"/>
      <c r="BZK153" s="45"/>
      <c r="BZL153" s="46"/>
      <c r="BZM153" s="44"/>
      <c r="BZN153" s="7"/>
      <c r="BZO153" s="51"/>
      <c r="BZP153" s="52"/>
      <c r="BZQ153" s="53"/>
      <c r="BZR153" s="54"/>
      <c r="BZS153" s="52"/>
      <c r="BZT153" s="53"/>
      <c r="BZU153" s="54"/>
      <c r="BZV153" s="52"/>
      <c r="BZW153" s="53"/>
      <c r="BZX153" s="8"/>
      <c r="BZY153" s="45"/>
      <c r="BZZ153" s="45"/>
      <c r="CAA153" s="46"/>
      <c r="CAB153" s="44"/>
      <c r="CAC153" s="7"/>
      <c r="CAD153" s="51"/>
      <c r="CAE153" s="52"/>
      <c r="CAF153" s="53"/>
      <c r="CAG153" s="54"/>
      <c r="CAH153" s="52"/>
      <c r="CAI153" s="53"/>
      <c r="CAJ153" s="54"/>
      <c r="CAK153" s="52"/>
      <c r="CAL153" s="53"/>
      <c r="CAM153" s="8"/>
      <c r="CAN153" s="45"/>
      <c r="CAO153" s="45"/>
      <c r="CAP153" s="46"/>
      <c r="CAQ153" s="44"/>
      <c r="CAR153" s="7"/>
      <c r="CAS153" s="51"/>
      <c r="CAT153" s="52"/>
      <c r="CAU153" s="53"/>
      <c r="CAV153" s="54"/>
      <c r="CAW153" s="52"/>
      <c r="CAX153" s="53"/>
      <c r="CAY153" s="54"/>
      <c r="CAZ153" s="52"/>
      <c r="CBA153" s="53"/>
      <c r="CBB153" s="8"/>
      <c r="CBC153" s="45"/>
      <c r="CBD153" s="45"/>
      <c r="CBE153" s="46"/>
      <c r="CBF153" s="44"/>
      <c r="CBG153" s="7"/>
      <c r="CBH153" s="51"/>
      <c r="CBI153" s="52"/>
      <c r="CBJ153" s="53"/>
      <c r="CBK153" s="54"/>
      <c r="CBL153" s="52"/>
      <c r="CBM153" s="53"/>
      <c r="CBN153" s="54"/>
      <c r="CBO153" s="52"/>
      <c r="CBP153" s="53"/>
      <c r="CBQ153" s="8"/>
      <c r="CBR153" s="45"/>
      <c r="CBS153" s="45"/>
      <c r="CBT153" s="46"/>
      <c r="CBU153" s="44"/>
      <c r="CBV153" s="7"/>
      <c r="CBW153" s="51"/>
      <c r="CBX153" s="52"/>
      <c r="CBY153" s="53"/>
      <c r="CBZ153" s="54"/>
      <c r="CCA153" s="52"/>
      <c r="CCB153" s="53"/>
      <c r="CCC153" s="54"/>
      <c r="CCD153" s="52"/>
      <c r="CCE153" s="53"/>
      <c r="CCF153" s="8"/>
      <c r="CCG153" s="45"/>
      <c r="CCH153" s="45"/>
      <c r="CCI153" s="46"/>
      <c r="CCJ153" s="44"/>
      <c r="CCK153" s="7"/>
      <c r="CCL153" s="51"/>
      <c r="CCM153" s="52"/>
      <c r="CCN153" s="53"/>
      <c r="CCO153" s="54"/>
      <c r="CCP153" s="52"/>
      <c r="CCQ153" s="53"/>
      <c r="CCR153" s="54"/>
      <c r="CCS153" s="52"/>
      <c r="CCT153" s="53"/>
      <c r="CCU153" s="8"/>
      <c r="CCV153" s="45"/>
      <c r="CCW153" s="45"/>
      <c r="CCX153" s="46"/>
      <c r="CCY153" s="44"/>
      <c r="CCZ153" s="7"/>
      <c r="CDA153" s="51"/>
      <c r="CDB153" s="52"/>
      <c r="CDC153" s="53"/>
      <c r="CDD153" s="54"/>
      <c r="CDE153" s="52"/>
      <c r="CDF153" s="53"/>
      <c r="CDG153" s="54"/>
      <c r="CDH153" s="52"/>
      <c r="CDI153" s="53"/>
      <c r="CDJ153" s="8"/>
      <c r="CDK153" s="45"/>
      <c r="CDL153" s="45"/>
      <c r="CDM153" s="46"/>
      <c r="CDN153" s="44"/>
      <c r="CDO153" s="7"/>
      <c r="CDP153" s="51"/>
      <c r="CDQ153" s="52"/>
      <c r="CDR153" s="53"/>
      <c r="CDS153" s="54"/>
      <c r="CDT153" s="52"/>
      <c r="CDU153" s="53"/>
      <c r="CDV153" s="54"/>
      <c r="CDW153" s="52"/>
      <c r="CDX153" s="53"/>
      <c r="CDY153" s="8"/>
      <c r="CDZ153" s="45"/>
      <c r="CEA153" s="45"/>
      <c r="CEB153" s="46"/>
      <c r="CEC153" s="44"/>
      <c r="CED153" s="7"/>
      <c r="CEE153" s="51"/>
      <c r="CEF153" s="52"/>
      <c r="CEG153" s="53"/>
      <c r="CEH153" s="54"/>
      <c r="CEI153" s="52"/>
      <c r="CEJ153" s="53"/>
      <c r="CEK153" s="54"/>
      <c r="CEL153" s="52"/>
      <c r="CEM153" s="53"/>
      <c r="CEN153" s="8"/>
      <c r="CEO153" s="45"/>
      <c r="CEP153" s="45"/>
      <c r="CEQ153" s="46"/>
      <c r="CER153" s="44"/>
      <c r="CES153" s="7"/>
      <c r="CET153" s="51"/>
      <c r="CEU153" s="52"/>
      <c r="CEV153" s="53"/>
      <c r="CEW153" s="54"/>
      <c r="CEX153" s="52"/>
      <c r="CEY153" s="53"/>
      <c r="CEZ153" s="54"/>
      <c r="CFA153" s="52"/>
      <c r="CFB153" s="53"/>
      <c r="CFC153" s="8"/>
      <c r="CFD153" s="45"/>
      <c r="CFE153" s="45"/>
      <c r="CFF153" s="46"/>
      <c r="CFG153" s="44"/>
      <c r="CFH153" s="7"/>
      <c r="CFI153" s="51"/>
      <c r="CFJ153" s="52"/>
      <c r="CFK153" s="53"/>
      <c r="CFL153" s="54"/>
      <c r="CFM153" s="52"/>
      <c r="CFN153" s="53"/>
      <c r="CFO153" s="54"/>
      <c r="CFP153" s="52"/>
      <c r="CFQ153" s="53"/>
      <c r="CFR153" s="8"/>
      <c r="CFS153" s="45"/>
      <c r="CFT153" s="45"/>
      <c r="CFU153" s="46"/>
      <c r="CFV153" s="44"/>
      <c r="CFW153" s="7"/>
      <c r="CFX153" s="51"/>
      <c r="CFY153" s="52"/>
      <c r="CFZ153" s="53"/>
      <c r="CGA153" s="54"/>
      <c r="CGB153" s="52"/>
      <c r="CGC153" s="53"/>
      <c r="CGD153" s="54"/>
      <c r="CGE153" s="52"/>
      <c r="CGF153" s="53"/>
      <c r="CGG153" s="8"/>
      <c r="CGH153" s="45"/>
      <c r="CGI153" s="45"/>
      <c r="CGJ153" s="46"/>
      <c r="CGK153" s="44"/>
      <c r="CGL153" s="7"/>
      <c r="CGM153" s="51"/>
      <c r="CGN153" s="52"/>
      <c r="CGO153" s="53"/>
      <c r="CGP153" s="54"/>
      <c r="CGQ153" s="52"/>
      <c r="CGR153" s="53"/>
      <c r="CGS153" s="54"/>
      <c r="CGT153" s="52"/>
      <c r="CGU153" s="53"/>
      <c r="CGV153" s="8"/>
      <c r="CGW153" s="45"/>
      <c r="CGX153" s="45"/>
      <c r="CGY153" s="46"/>
      <c r="CGZ153" s="44"/>
      <c r="CHA153" s="7"/>
      <c r="CHB153" s="51"/>
      <c r="CHC153" s="52"/>
      <c r="CHD153" s="53"/>
      <c r="CHE153" s="54"/>
      <c r="CHF153" s="52"/>
      <c r="CHG153" s="53"/>
      <c r="CHH153" s="54"/>
      <c r="CHI153" s="52"/>
      <c r="CHJ153" s="53"/>
      <c r="CHK153" s="8"/>
      <c r="CHL153" s="45"/>
      <c r="CHM153" s="45"/>
      <c r="CHN153" s="46"/>
      <c r="CHO153" s="44"/>
      <c r="CHP153" s="7"/>
      <c r="CHQ153" s="51"/>
      <c r="CHR153" s="52"/>
      <c r="CHS153" s="53"/>
      <c r="CHT153" s="54"/>
      <c r="CHU153" s="52"/>
      <c r="CHV153" s="53"/>
      <c r="CHW153" s="54"/>
      <c r="CHX153" s="52"/>
      <c r="CHY153" s="53"/>
      <c r="CHZ153" s="8"/>
      <c r="CIA153" s="45"/>
      <c r="CIB153" s="45"/>
      <c r="CIC153" s="46"/>
      <c r="CID153" s="44"/>
      <c r="CIE153" s="7"/>
      <c r="CIF153" s="51"/>
      <c r="CIG153" s="52"/>
      <c r="CIH153" s="53"/>
      <c r="CII153" s="54"/>
      <c r="CIJ153" s="52"/>
      <c r="CIK153" s="53"/>
      <c r="CIL153" s="54"/>
      <c r="CIM153" s="52"/>
      <c r="CIN153" s="53"/>
      <c r="CIO153" s="8"/>
      <c r="CIP153" s="45"/>
      <c r="CIQ153" s="45"/>
      <c r="CIR153" s="46"/>
      <c r="CIS153" s="44"/>
      <c r="CIT153" s="7"/>
      <c r="CIU153" s="51"/>
      <c r="CIV153" s="52"/>
      <c r="CIW153" s="53"/>
      <c r="CIX153" s="54"/>
      <c r="CIY153" s="52"/>
      <c r="CIZ153" s="53"/>
      <c r="CJA153" s="54"/>
      <c r="CJB153" s="52"/>
      <c r="CJC153" s="53"/>
      <c r="CJD153" s="8"/>
      <c r="CJE153" s="45"/>
      <c r="CJF153" s="45"/>
      <c r="CJG153" s="46"/>
      <c r="CJH153" s="44"/>
      <c r="CJI153" s="7"/>
      <c r="CJJ153" s="51"/>
      <c r="CJK153" s="52"/>
      <c r="CJL153" s="53"/>
      <c r="CJM153" s="54"/>
      <c r="CJN153" s="52"/>
      <c r="CJO153" s="53"/>
      <c r="CJP153" s="54"/>
      <c r="CJQ153" s="52"/>
      <c r="CJR153" s="53"/>
      <c r="CJS153" s="8"/>
      <c r="CJT153" s="45"/>
      <c r="CJU153" s="45"/>
      <c r="CJV153" s="46"/>
      <c r="CJW153" s="44"/>
      <c r="CJX153" s="7"/>
      <c r="CJY153" s="51"/>
      <c r="CJZ153" s="52"/>
      <c r="CKA153" s="53"/>
      <c r="CKB153" s="54"/>
      <c r="CKC153" s="52"/>
      <c r="CKD153" s="53"/>
      <c r="CKE153" s="54"/>
      <c r="CKF153" s="52"/>
      <c r="CKG153" s="53"/>
      <c r="CKH153" s="8"/>
      <c r="CKI153" s="45"/>
      <c r="CKJ153" s="45"/>
      <c r="CKK153" s="46"/>
      <c r="CKL153" s="44"/>
      <c r="CKM153" s="7"/>
      <c r="CKN153" s="51"/>
      <c r="CKO153" s="52"/>
      <c r="CKP153" s="53"/>
      <c r="CKQ153" s="54"/>
      <c r="CKR153" s="52"/>
      <c r="CKS153" s="53"/>
      <c r="CKT153" s="54"/>
      <c r="CKU153" s="52"/>
      <c r="CKV153" s="53"/>
      <c r="CKW153" s="8"/>
      <c r="CKX153" s="45"/>
      <c r="CKY153" s="45"/>
      <c r="CKZ153" s="46"/>
      <c r="CLA153" s="44"/>
      <c r="CLB153" s="7"/>
      <c r="CLC153" s="51"/>
      <c r="CLD153" s="52"/>
      <c r="CLE153" s="53"/>
      <c r="CLF153" s="54"/>
      <c r="CLG153" s="52"/>
      <c r="CLH153" s="53"/>
      <c r="CLI153" s="54"/>
      <c r="CLJ153" s="52"/>
      <c r="CLK153" s="53"/>
      <c r="CLL153" s="8"/>
      <c r="CLM153" s="45"/>
      <c r="CLN153" s="45"/>
      <c r="CLO153" s="46"/>
      <c r="CLP153" s="44"/>
      <c r="CLQ153" s="7"/>
      <c r="CLR153" s="51"/>
      <c r="CLS153" s="52"/>
      <c r="CLT153" s="53"/>
      <c r="CLU153" s="54"/>
      <c r="CLV153" s="52"/>
      <c r="CLW153" s="53"/>
      <c r="CLX153" s="54"/>
      <c r="CLY153" s="52"/>
      <c r="CLZ153" s="53"/>
      <c r="CMA153" s="8"/>
      <c r="CMB153" s="45"/>
      <c r="CMC153" s="45"/>
      <c r="CMD153" s="46"/>
      <c r="CME153" s="44"/>
      <c r="CMF153" s="7"/>
      <c r="CMG153" s="51"/>
      <c r="CMH153" s="52"/>
      <c r="CMI153" s="53"/>
      <c r="CMJ153" s="54"/>
      <c r="CMK153" s="52"/>
      <c r="CML153" s="53"/>
      <c r="CMM153" s="54"/>
      <c r="CMN153" s="52"/>
      <c r="CMO153" s="53"/>
      <c r="CMP153" s="8"/>
      <c r="CMQ153" s="45"/>
      <c r="CMR153" s="45"/>
      <c r="CMS153" s="46"/>
      <c r="CMT153" s="44"/>
      <c r="CMU153" s="7"/>
      <c r="CMV153" s="51"/>
      <c r="CMW153" s="52"/>
      <c r="CMX153" s="53"/>
      <c r="CMY153" s="54"/>
      <c r="CMZ153" s="52"/>
      <c r="CNA153" s="53"/>
      <c r="CNB153" s="54"/>
      <c r="CNC153" s="52"/>
      <c r="CND153" s="53"/>
      <c r="CNE153" s="8"/>
      <c r="CNF153" s="45"/>
      <c r="CNG153" s="45"/>
      <c r="CNH153" s="46"/>
      <c r="CNI153" s="44"/>
      <c r="CNJ153" s="7"/>
      <c r="CNK153" s="51"/>
      <c r="CNL153" s="52"/>
      <c r="CNM153" s="53"/>
      <c r="CNN153" s="54"/>
      <c r="CNO153" s="52"/>
      <c r="CNP153" s="53"/>
      <c r="CNQ153" s="54"/>
      <c r="CNR153" s="52"/>
      <c r="CNS153" s="53"/>
      <c r="CNT153" s="8"/>
      <c r="CNU153" s="45"/>
      <c r="CNV153" s="45"/>
      <c r="CNW153" s="46"/>
      <c r="CNX153" s="44"/>
      <c r="CNY153" s="7"/>
      <c r="CNZ153" s="51"/>
      <c r="COA153" s="52"/>
      <c r="COB153" s="53"/>
      <c r="COC153" s="54"/>
      <c r="COD153" s="52"/>
      <c r="COE153" s="53"/>
      <c r="COF153" s="54"/>
      <c r="COG153" s="52"/>
      <c r="COH153" s="53"/>
      <c r="COI153" s="8"/>
      <c r="COJ153" s="45"/>
      <c r="COK153" s="45"/>
      <c r="COL153" s="46"/>
      <c r="COM153" s="44"/>
      <c r="CON153" s="7"/>
      <c r="COO153" s="51"/>
      <c r="COP153" s="52"/>
      <c r="COQ153" s="53"/>
      <c r="COR153" s="54"/>
      <c r="COS153" s="52"/>
      <c r="COT153" s="53"/>
      <c r="COU153" s="54"/>
      <c r="COV153" s="52"/>
      <c r="COW153" s="53"/>
      <c r="COX153" s="8"/>
      <c r="COY153" s="45"/>
      <c r="COZ153" s="45"/>
      <c r="CPA153" s="46"/>
      <c r="CPB153" s="44"/>
      <c r="CPC153" s="7"/>
      <c r="CPD153" s="51"/>
      <c r="CPE153" s="52"/>
      <c r="CPF153" s="53"/>
      <c r="CPG153" s="54"/>
      <c r="CPH153" s="52"/>
      <c r="CPI153" s="53"/>
      <c r="CPJ153" s="54"/>
      <c r="CPK153" s="52"/>
      <c r="CPL153" s="53"/>
      <c r="CPM153" s="8"/>
      <c r="CPN153" s="45"/>
      <c r="CPO153" s="45"/>
      <c r="CPP153" s="46"/>
      <c r="CPQ153" s="44"/>
      <c r="CPR153" s="7"/>
      <c r="CPS153" s="51"/>
      <c r="CPT153" s="52"/>
      <c r="CPU153" s="53"/>
      <c r="CPV153" s="54"/>
      <c r="CPW153" s="52"/>
      <c r="CPX153" s="53"/>
      <c r="CPY153" s="54"/>
      <c r="CPZ153" s="52"/>
      <c r="CQA153" s="53"/>
      <c r="CQB153" s="8"/>
      <c r="CQC153" s="45"/>
      <c r="CQD153" s="45"/>
      <c r="CQE153" s="46"/>
      <c r="CQF153" s="44"/>
      <c r="CQG153" s="7"/>
      <c r="CQH153" s="51"/>
      <c r="CQI153" s="52"/>
      <c r="CQJ153" s="53"/>
      <c r="CQK153" s="54"/>
      <c r="CQL153" s="52"/>
      <c r="CQM153" s="53"/>
      <c r="CQN153" s="54"/>
      <c r="CQO153" s="52"/>
      <c r="CQP153" s="53"/>
      <c r="CQQ153" s="8"/>
      <c r="CQR153" s="45"/>
      <c r="CQS153" s="45"/>
      <c r="CQT153" s="46"/>
      <c r="CQU153" s="44"/>
      <c r="CQV153" s="7"/>
      <c r="CQW153" s="51"/>
      <c r="CQX153" s="52"/>
      <c r="CQY153" s="53"/>
      <c r="CQZ153" s="54"/>
      <c r="CRA153" s="52"/>
      <c r="CRB153" s="53"/>
      <c r="CRC153" s="54"/>
      <c r="CRD153" s="52"/>
      <c r="CRE153" s="53"/>
      <c r="CRF153" s="8"/>
      <c r="CRG153" s="45"/>
      <c r="CRH153" s="45"/>
      <c r="CRI153" s="46"/>
      <c r="CRJ153" s="44"/>
      <c r="CRK153" s="7"/>
      <c r="CRL153" s="51"/>
      <c r="CRM153" s="52"/>
      <c r="CRN153" s="53"/>
      <c r="CRO153" s="54"/>
      <c r="CRP153" s="52"/>
      <c r="CRQ153" s="53"/>
      <c r="CRR153" s="54"/>
      <c r="CRS153" s="52"/>
      <c r="CRT153" s="53"/>
      <c r="CRU153" s="8"/>
      <c r="CRV153" s="45"/>
      <c r="CRW153" s="45"/>
      <c r="CRX153" s="46"/>
      <c r="CRY153" s="44"/>
      <c r="CRZ153" s="7"/>
      <c r="CSA153" s="51"/>
      <c r="CSB153" s="52"/>
      <c r="CSC153" s="53"/>
      <c r="CSD153" s="54"/>
      <c r="CSE153" s="52"/>
      <c r="CSF153" s="53"/>
      <c r="CSG153" s="54"/>
      <c r="CSH153" s="52"/>
      <c r="CSI153" s="53"/>
      <c r="CSJ153" s="8"/>
      <c r="CSK153" s="45"/>
      <c r="CSL153" s="45"/>
      <c r="CSM153" s="46"/>
      <c r="CSN153" s="44"/>
      <c r="CSO153" s="7"/>
      <c r="CSP153" s="51"/>
      <c r="CSQ153" s="52"/>
      <c r="CSR153" s="53"/>
      <c r="CSS153" s="54"/>
      <c r="CST153" s="52"/>
      <c r="CSU153" s="53"/>
      <c r="CSV153" s="54"/>
      <c r="CSW153" s="52"/>
      <c r="CSX153" s="53"/>
      <c r="CSY153" s="8"/>
      <c r="CSZ153" s="45"/>
      <c r="CTA153" s="45"/>
      <c r="CTB153" s="46"/>
      <c r="CTC153" s="44"/>
      <c r="CTD153" s="7"/>
      <c r="CTE153" s="51"/>
      <c r="CTF153" s="52"/>
      <c r="CTG153" s="53"/>
      <c r="CTH153" s="54"/>
      <c r="CTI153" s="52"/>
      <c r="CTJ153" s="53"/>
      <c r="CTK153" s="54"/>
      <c r="CTL153" s="52"/>
      <c r="CTM153" s="53"/>
      <c r="CTN153" s="8"/>
      <c r="CTO153" s="45"/>
      <c r="CTP153" s="45"/>
      <c r="CTQ153" s="46"/>
      <c r="CTR153" s="44"/>
      <c r="CTS153" s="7"/>
      <c r="CTT153" s="51"/>
      <c r="CTU153" s="52"/>
      <c r="CTV153" s="53"/>
      <c r="CTW153" s="54"/>
      <c r="CTX153" s="52"/>
      <c r="CTY153" s="53"/>
      <c r="CTZ153" s="54"/>
      <c r="CUA153" s="52"/>
      <c r="CUB153" s="53"/>
      <c r="CUC153" s="8"/>
      <c r="CUD153" s="45"/>
      <c r="CUE153" s="45"/>
      <c r="CUF153" s="46"/>
      <c r="CUG153" s="44"/>
      <c r="CUH153" s="7"/>
      <c r="CUI153" s="51"/>
      <c r="CUJ153" s="52"/>
      <c r="CUK153" s="53"/>
      <c r="CUL153" s="54"/>
      <c r="CUM153" s="52"/>
      <c r="CUN153" s="53"/>
      <c r="CUO153" s="54"/>
      <c r="CUP153" s="52"/>
      <c r="CUQ153" s="53"/>
      <c r="CUR153" s="8"/>
      <c r="CUS153" s="45"/>
      <c r="CUT153" s="45"/>
      <c r="CUU153" s="46"/>
      <c r="CUV153" s="44"/>
      <c r="CUW153" s="7"/>
      <c r="CUX153" s="51"/>
      <c r="CUY153" s="52"/>
      <c r="CUZ153" s="53"/>
      <c r="CVA153" s="54"/>
      <c r="CVB153" s="52"/>
      <c r="CVC153" s="53"/>
      <c r="CVD153" s="54"/>
      <c r="CVE153" s="52"/>
      <c r="CVF153" s="53"/>
      <c r="CVG153" s="8"/>
      <c r="CVH153" s="45"/>
      <c r="CVI153" s="45"/>
      <c r="CVJ153" s="46"/>
      <c r="CVK153" s="44"/>
      <c r="CVL153" s="7"/>
      <c r="CVM153" s="51"/>
      <c r="CVN153" s="52"/>
      <c r="CVO153" s="53"/>
      <c r="CVP153" s="54"/>
      <c r="CVQ153" s="52"/>
      <c r="CVR153" s="53"/>
      <c r="CVS153" s="54"/>
      <c r="CVT153" s="52"/>
      <c r="CVU153" s="53"/>
      <c r="CVV153" s="8"/>
      <c r="CVW153" s="45"/>
      <c r="CVX153" s="45"/>
      <c r="CVY153" s="46"/>
      <c r="CVZ153" s="44"/>
      <c r="CWA153" s="7"/>
      <c r="CWB153" s="51"/>
      <c r="CWC153" s="52"/>
      <c r="CWD153" s="53"/>
      <c r="CWE153" s="54"/>
      <c r="CWF153" s="52"/>
      <c r="CWG153" s="53"/>
      <c r="CWH153" s="54"/>
      <c r="CWI153" s="52"/>
      <c r="CWJ153" s="53"/>
      <c r="CWK153" s="8"/>
      <c r="CWL153" s="45"/>
      <c r="CWM153" s="45"/>
      <c r="CWN153" s="46"/>
      <c r="CWO153" s="44"/>
      <c r="CWP153" s="7"/>
      <c r="CWQ153" s="51"/>
      <c r="CWR153" s="52"/>
      <c r="CWS153" s="53"/>
      <c r="CWT153" s="54"/>
      <c r="CWU153" s="52"/>
      <c r="CWV153" s="53"/>
      <c r="CWW153" s="54"/>
      <c r="CWX153" s="52"/>
      <c r="CWY153" s="53"/>
      <c r="CWZ153" s="8"/>
      <c r="CXA153" s="45"/>
      <c r="CXB153" s="45"/>
      <c r="CXC153" s="46"/>
      <c r="CXD153" s="44"/>
      <c r="CXE153" s="7"/>
      <c r="CXF153" s="51"/>
      <c r="CXG153" s="52"/>
      <c r="CXH153" s="53"/>
      <c r="CXI153" s="54"/>
      <c r="CXJ153" s="52"/>
      <c r="CXK153" s="53"/>
      <c r="CXL153" s="54"/>
      <c r="CXM153" s="52"/>
      <c r="CXN153" s="53"/>
      <c r="CXO153" s="8"/>
      <c r="CXP153" s="45"/>
      <c r="CXQ153" s="45"/>
      <c r="CXR153" s="46"/>
      <c r="CXS153" s="44"/>
      <c r="CXT153" s="7"/>
      <c r="CXU153" s="51"/>
      <c r="CXV153" s="52"/>
      <c r="CXW153" s="53"/>
      <c r="CXX153" s="54"/>
      <c r="CXY153" s="52"/>
      <c r="CXZ153" s="53"/>
      <c r="CYA153" s="54"/>
      <c r="CYB153" s="52"/>
      <c r="CYC153" s="53"/>
      <c r="CYD153" s="8"/>
      <c r="CYE153" s="45"/>
      <c r="CYF153" s="45"/>
      <c r="CYG153" s="46"/>
      <c r="CYH153" s="44"/>
      <c r="CYI153" s="7"/>
      <c r="CYJ153" s="51"/>
      <c r="CYK153" s="52"/>
      <c r="CYL153" s="53"/>
      <c r="CYM153" s="54"/>
      <c r="CYN153" s="52"/>
      <c r="CYO153" s="53"/>
      <c r="CYP153" s="54"/>
      <c r="CYQ153" s="52"/>
      <c r="CYR153" s="53"/>
      <c r="CYS153" s="8"/>
      <c r="CYT153" s="45"/>
      <c r="CYU153" s="45"/>
      <c r="CYV153" s="46"/>
      <c r="CYW153" s="44"/>
      <c r="CYX153" s="7"/>
      <c r="CYY153" s="51"/>
      <c r="CYZ153" s="52"/>
      <c r="CZA153" s="53"/>
      <c r="CZB153" s="54"/>
      <c r="CZC153" s="52"/>
      <c r="CZD153" s="53"/>
      <c r="CZE153" s="54"/>
      <c r="CZF153" s="52"/>
      <c r="CZG153" s="53"/>
      <c r="CZH153" s="8"/>
      <c r="CZI153" s="45"/>
      <c r="CZJ153" s="45"/>
      <c r="CZK153" s="46"/>
      <c r="CZL153" s="44"/>
      <c r="CZM153" s="7"/>
      <c r="CZN153" s="51"/>
      <c r="CZO153" s="52"/>
      <c r="CZP153" s="53"/>
      <c r="CZQ153" s="54"/>
      <c r="CZR153" s="52"/>
      <c r="CZS153" s="53"/>
      <c r="CZT153" s="54"/>
      <c r="CZU153" s="52"/>
      <c r="CZV153" s="53"/>
      <c r="CZW153" s="8"/>
      <c r="CZX153" s="45"/>
      <c r="CZY153" s="45"/>
      <c r="CZZ153" s="46"/>
      <c r="DAA153" s="44"/>
      <c r="DAB153" s="7"/>
      <c r="DAC153" s="51"/>
      <c r="DAD153" s="52"/>
      <c r="DAE153" s="53"/>
      <c r="DAF153" s="54"/>
      <c r="DAG153" s="52"/>
      <c r="DAH153" s="53"/>
      <c r="DAI153" s="54"/>
      <c r="DAJ153" s="52"/>
      <c r="DAK153" s="53"/>
      <c r="DAL153" s="8"/>
      <c r="DAM153" s="45"/>
      <c r="DAN153" s="45"/>
      <c r="DAO153" s="46"/>
      <c r="DAP153" s="44"/>
      <c r="DAQ153" s="7"/>
      <c r="DAR153" s="51"/>
      <c r="DAS153" s="52"/>
      <c r="DAT153" s="53"/>
      <c r="DAU153" s="54"/>
      <c r="DAV153" s="52"/>
      <c r="DAW153" s="53"/>
      <c r="DAX153" s="54"/>
      <c r="DAY153" s="52"/>
      <c r="DAZ153" s="53"/>
      <c r="DBA153" s="8"/>
      <c r="DBB153" s="45"/>
      <c r="DBC153" s="45"/>
      <c r="DBD153" s="46"/>
      <c r="DBE153" s="44"/>
      <c r="DBF153" s="7"/>
      <c r="DBG153" s="51"/>
      <c r="DBH153" s="52"/>
      <c r="DBI153" s="53"/>
      <c r="DBJ153" s="54"/>
      <c r="DBK153" s="52"/>
      <c r="DBL153" s="53"/>
      <c r="DBM153" s="54"/>
      <c r="DBN153" s="52"/>
      <c r="DBO153" s="53"/>
      <c r="DBP153" s="8"/>
      <c r="DBQ153" s="45"/>
      <c r="DBR153" s="45"/>
      <c r="DBS153" s="46"/>
      <c r="DBT153" s="44"/>
      <c r="DBU153" s="7"/>
      <c r="DBV153" s="51"/>
      <c r="DBW153" s="52"/>
      <c r="DBX153" s="53"/>
      <c r="DBY153" s="54"/>
      <c r="DBZ153" s="52"/>
      <c r="DCA153" s="53"/>
      <c r="DCB153" s="54"/>
      <c r="DCC153" s="52"/>
      <c r="DCD153" s="53"/>
      <c r="DCE153" s="8"/>
      <c r="DCF153" s="45"/>
      <c r="DCG153" s="45"/>
      <c r="DCH153" s="46"/>
      <c r="DCI153" s="44"/>
      <c r="DCJ153" s="7"/>
      <c r="DCK153" s="51"/>
      <c r="DCL153" s="52"/>
      <c r="DCM153" s="53"/>
      <c r="DCN153" s="54"/>
      <c r="DCO153" s="52"/>
      <c r="DCP153" s="53"/>
      <c r="DCQ153" s="54"/>
      <c r="DCR153" s="52"/>
      <c r="DCS153" s="53"/>
      <c r="DCT153" s="8"/>
      <c r="DCU153" s="45"/>
      <c r="DCV153" s="45"/>
      <c r="DCW153" s="46"/>
      <c r="DCX153" s="44"/>
      <c r="DCY153" s="7"/>
      <c r="DCZ153" s="51"/>
      <c r="DDA153" s="52"/>
      <c r="DDB153" s="53"/>
      <c r="DDC153" s="54"/>
      <c r="DDD153" s="52"/>
      <c r="DDE153" s="53"/>
      <c r="DDF153" s="54"/>
      <c r="DDG153" s="52"/>
      <c r="DDH153" s="53"/>
      <c r="DDI153" s="8"/>
      <c r="DDJ153" s="45"/>
      <c r="DDK153" s="45"/>
      <c r="DDL153" s="46"/>
      <c r="DDM153" s="44"/>
      <c r="DDN153" s="7"/>
      <c r="DDO153" s="51"/>
      <c r="DDP153" s="52"/>
      <c r="DDQ153" s="53"/>
      <c r="DDR153" s="54"/>
      <c r="DDS153" s="52"/>
      <c r="DDT153" s="53"/>
      <c r="DDU153" s="54"/>
      <c r="DDV153" s="52"/>
      <c r="DDW153" s="53"/>
      <c r="DDX153" s="8"/>
      <c r="DDY153" s="45"/>
      <c r="DDZ153" s="45"/>
      <c r="DEA153" s="46"/>
      <c r="DEB153" s="44"/>
      <c r="DEC153" s="7"/>
      <c r="DED153" s="51"/>
      <c r="DEE153" s="52"/>
      <c r="DEF153" s="53"/>
      <c r="DEG153" s="54"/>
      <c r="DEH153" s="52"/>
      <c r="DEI153" s="53"/>
      <c r="DEJ153" s="54"/>
      <c r="DEK153" s="52"/>
      <c r="DEL153" s="53"/>
      <c r="DEM153" s="8"/>
      <c r="DEN153" s="45"/>
      <c r="DEO153" s="45"/>
      <c r="DEP153" s="46"/>
      <c r="DEQ153" s="44"/>
      <c r="DER153" s="7"/>
      <c r="DES153" s="51"/>
      <c r="DET153" s="52"/>
      <c r="DEU153" s="53"/>
      <c r="DEV153" s="54"/>
      <c r="DEW153" s="52"/>
      <c r="DEX153" s="53"/>
      <c r="DEY153" s="54"/>
      <c r="DEZ153" s="52"/>
      <c r="DFA153" s="53"/>
      <c r="DFB153" s="8"/>
      <c r="DFC153" s="45"/>
      <c r="DFD153" s="45"/>
      <c r="DFE153" s="46"/>
      <c r="DFF153" s="44"/>
      <c r="DFG153" s="7"/>
      <c r="DFH153" s="51"/>
      <c r="DFI153" s="52"/>
      <c r="DFJ153" s="53"/>
      <c r="DFK153" s="54"/>
      <c r="DFL153" s="52"/>
      <c r="DFM153" s="53"/>
      <c r="DFN153" s="54"/>
      <c r="DFO153" s="52"/>
      <c r="DFP153" s="53"/>
      <c r="DFQ153" s="8"/>
      <c r="DFR153" s="45"/>
      <c r="DFS153" s="45"/>
      <c r="DFT153" s="46"/>
      <c r="DFU153" s="44"/>
      <c r="DFV153" s="7"/>
      <c r="DFW153" s="51"/>
      <c r="DFX153" s="52"/>
      <c r="DFY153" s="53"/>
      <c r="DFZ153" s="54"/>
      <c r="DGA153" s="52"/>
      <c r="DGB153" s="53"/>
      <c r="DGC153" s="54"/>
      <c r="DGD153" s="52"/>
      <c r="DGE153" s="53"/>
      <c r="DGF153" s="8"/>
      <c r="DGG153" s="45"/>
      <c r="DGH153" s="45"/>
      <c r="DGI153" s="46"/>
      <c r="DGJ153" s="44"/>
      <c r="DGK153" s="7"/>
      <c r="DGL153" s="51"/>
      <c r="DGM153" s="52"/>
      <c r="DGN153" s="53"/>
      <c r="DGO153" s="54"/>
      <c r="DGP153" s="52"/>
      <c r="DGQ153" s="53"/>
      <c r="DGR153" s="54"/>
      <c r="DGS153" s="52"/>
      <c r="DGT153" s="53"/>
      <c r="DGU153" s="8"/>
      <c r="DGV153" s="45"/>
      <c r="DGW153" s="45"/>
      <c r="DGX153" s="46"/>
      <c r="DGY153" s="44"/>
      <c r="DGZ153" s="7"/>
      <c r="DHA153" s="51"/>
      <c r="DHB153" s="52"/>
      <c r="DHC153" s="53"/>
      <c r="DHD153" s="54"/>
      <c r="DHE153" s="52"/>
      <c r="DHF153" s="53"/>
      <c r="DHG153" s="54"/>
      <c r="DHH153" s="52"/>
      <c r="DHI153" s="53"/>
      <c r="DHJ153" s="8"/>
      <c r="DHK153" s="45"/>
      <c r="DHL153" s="45"/>
      <c r="DHM153" s="46"/>
      <c r="DHN153" s="44"/>
      <c r="DHO153" s="7"/>
      <c r="DHP153" s="51"/>
      <c r="DHQ153" s="52"/>
      <c r="DHR153" s="53"/>
      <c r="DHS153" s="54"/>
      <c r="DHT153" s="52"/>
      <c r="DHU153" s="53"/>
      <c r="DHV153" s="54"/>
      <c r="DHW153" s="52"/>
      <c r="DHX153" s="53"/>
      <c r="DHY153" s="8"/>
      <c r="DHZ153" s="45"/>
      <c r="DIA153" s="45"/>
      <c r="DIB153" s="46"/>
      <c r="DIC153" s="44"/>
      <c r="DID153" s="7"/>
      <c r="DIE153" s="51"/>
      <c r="DIF153" s="52"/>
      <c r="DIG153" s="53"/>
      <c r="DIH153" s="54"/>
      <c r="DII153" s="52"/>
      <c r="DIJ153" s="53"/>
      <c r="DIK153" s="54"/>
      <c r="DIL153" s="52"/>
      <c r="DIM153" s="53"/>
      <c r="DIN153" s="8"/>
      <c r="DIO153" s="45"/>
      <c r="DIP153" s="45"/>
      <c r="DIQ153" s="46"/>
      <c r="DIR153" s="44"/>
      <c r="DIS153" s="7"/>
      <c r="DIT153" s="51"/>
      <c r="DIU153" s="52"/>
      <c r="DIV153" s="53"/>
      <c r="DIW153" s="54"/>
      <c r="DIX153" s="52"/>
      <c r="DIY153" s="53"/>
      <c r="DIZ153" s="54"/>
      <c r="DJA153" s="52"/>
      <c r="DJB153" s="53"/>
      <c r="DJC153" s="8"/>
      <c r="DJD153" s="45"/>
      <c r="DJE153" s="45"/>
      <c r="DJF153" s="46"/>
      <c r="DJG153" s="44"/>
      <c r="DJH153" s="7"/>
      <c r="DJI153" s="51"/>
      <c r="DJJ153" s="52"/>
      <c r="DJK153" s="53"/>
      <c r="DJL153" s="54"/>
      <c r="DJM153" s="52"/>
      <c r="DJN153" s="53"/>
      <c r="DJO153" s="54"/>
      <c r="DJP153" s="52"/>
      <c r="DJQ153" s="53"/>
      <c r="DJR153" s="8"/>
      <c r="DJS153" s="45"/>
      <c r="DJT153" s="45"/>
      <c r="DJU153" s="46"/>
      <c r="DJV153" s="44"/>
      <c r="DJW153" s="7"/>
      <c r="DJX153" s="51"/>
      <c r="DJY153" s="52"/>
      <c r="DJZ153" s="53"/>
      <c r="DKA153" s="54"/>
      <c r="DKB153" s="52"/>
      <c r="DKC153" s="53"/>
      <c r="DKD153" s="54"/>
      <c r="DKE153" s="52"/>
      <c r="DKF153" s="53"/>
      <c r="DKG153" s="8"/>
      <c r="DKH153" s="45"/>
      <c r="DKI153" s="45"/>
      <c r="DKJ153" s="46"/>
      <c r="DKK153" s="44"/>
      <c r="DKL153" s="7"/>
      <c r="DKM153" s="51"/>
      <c r="DKN153" s="52"/>
      <c r="DKO153" s="53"/>
      <c r="DKP153" s="54"/>
      <c r="DKQ153" s="52"/>
      <c r="DKR153" s="53"/>
      <c r="DKS153" s="54"/>
      <c r="DKT153" s="52"/>
      <c r="DKU153" s="53"/>
      <c r="DKV153" s="8"/>
      <c r="DKW153" s="45"/>
      <c r="DKX153" s="45"/>
      <c r="DKY153" s="46"/>
      <c r="DKZ153" s="44"/>
      <c r="DLA153" s="7"/>
      <c r="DLB153" s="51"/>
      <c r="DLC153" s="52"/>
      <c r="DLD153" s="53"/>
      <c r="DLE153" s="54"/>
      <c r="DLF153" s="52"/>
      <c r="DLG153" s="53"/>
      <c r="DLH153" s="54"/>
      <c r="DLI153" s="52"/>
      <c r="DLJ153" s="53"/>
      <c r="DLK153" s="8"/>
      <c r="DLL153" s="45"/>
      <c r="DLM153" s="45"/>
      <c r="DLN153" s="46"/>
      <c r="DLO153" s="44"/>
      <c r="DLP153" s="7"/>
      <c r="DLQ153" s="51"/>
      <c r="DLR153" s="52"/>
      <c r="DLS153" s="53"/>
      <c r="DLT153" s="54"/>
      <c r="DLU153" s="52"/>
      <c r="DLV153" s="53"/>
      <c r="DLW153" s="54"/>
      <c r="DLX153" s="52"/>
      <c r="DLY153" s="53"/>
      <c r="DLZ153" s="8"/>
      <c r="DMA153" s="45"/>
      <c r="DMB153" s="45"/>
      <c r="DMC153" s="46"/>
      <c r="DMD153" s="44"/>
      <c r="DME153" s="7"/>
      <c r="DMF153" s="51"/>
      <c r="DMG153" s="52"/>
      <c r="DMH153" s="53"/>
      <c r="DMI153" s="54"/>
      <c r="DMJ153" s="52"/>
      <c r="DMK153" s="53"/>
      <c r="DML153" s="54"/>
      <c r="DMM153" s="52"/>
      <c r="DMN153" s="53"/>
      <c r="DMO153" s="8"/>
      <c r="DMP153" s="45"/>
      <c r="DMQ153" s="45"/>
      <c r="DMR153" s="46"/>
      <c r="DMS153" s="44"/>
      <c r="DMT153" s="7"/>
      <c r="DMU153" s="51"/>
      <c r="DMV153" s="52"/>
      <c r="DMW153" s="53"/>
      <c r="DMX153" s="54"/>
      <c r="DMY153" s="52"/>
      <c r="DMZ153" s="53"/>
      <c r="DNA153" s="54"/>
      <c r="DNB153" s="52"/>
      <c r="DNC153" s="53"/>
      <c r="DND153" s="8"/>
      <c r="DNE153" s="45"/>
      <c r="DNF153" s="45"/>
      <c r="DNG153" s="46"/>
      <c r="DNH153" s="44"/>
      <c r="DNI153" s="7"/>
      <c r="DNJ153" s="51"/>
      <c r="DNK153" s="52"/>
      <c r="DNL153" s="53"/>
      <c r="DNM153" s="54"/>
      <c r="DNN153" s="52"/>
      <c r="DNO153" s="53"/>
      <c r="DNP153" s="54"/>
      <c r="DNQ153" s="52"/>
      <c r="DNR153" s="53"/>
      <c r="DNS153" s="8"/>
      <c r="DNT153" s="45"/>
      <c r="DNU153" s="45"/>
      <c r="DNV153" s="46"/>
      <c r="DNW153" s="44"/>
      <c r="DNX153" s="7"/>
      <c r="DNY153" s="51"/>
      <c r="DNZ153" s="52"/>
      <c r="DOA153" s="53"/>
      <c r="DOB153" s="54"/>
      <c r="DOC153" s="52"/>
      <c r="DOD153" s="53"/>
      <c r="DOE153" s="54"/>
      <c r="DOF153" s="52"/>
      <c r="DOG153" s="53"/>
      <c r="DOH153" s="8"/>
      <c r="DOI153" s="45"/>
      <c r="DOJ153" s="45"/>
      <c r="DOK153" s="46"/>
      <c r="DOL153" s="44"/>
      <c r="DOM153" s="7"/>
      <c r="DON153" s="51"/>
      <c r="DOO153" s="52"/>
      <c r="DOP153" s="53"/>
      <c r="DOQ153" s="54"/>
      <c r="DOR153" s="52"/>
      <c r="DOS153" s="53"/>
      <c r="DOT153" s="54"/>
      <c r="DOU153" s="52"/>
      <c r="DOV153" s="53"/>
      <c r="DOW153" s="8"/>
      <c r="DOX153" s="45"/>
      <c r="DOY153" s="45"/>
      <c r="DOZ153" s="46"/>
      <c r="DPA153" s="44"/>
      <c r="DPB153" s="7"/>
      <c r="DPC153" s="51"/>
      <c r="DPD153" s="52"/>
      <c r="DPE153" s="53"/>
      <c r="DPF153" s="54"/>
      <c r="DPG153" s="52"/>
      <c r="DPH153" s="53"/>
      <c r="DPI153" s="54"/>
      <c r="DPJ153" s="52"/>
      <c r="DPK153" s="53"/>
      <c r="DPL153" s="8"/>
      <c r="DPM153" s="45"/>
      <c r="DPN153" s="45"/>
      <c r="DPO153" s="46"/>
      <c r="DPP153" s="44"/>
      <c r="DPQ153" s="7"/>
      <c r="DPR153" s="51"/>
      <c r="DPS153" s="52"/>
      <c r="DPT153" s="53"/>
      <c r="DPU153" s="54"/>
      <c r="DPV153" s="52"/>
      <c r="DPW153" s="53"/>
      <c r="DPX153" s="54"/>
      <c r="DPY153" s="52"/>
      <c r="DPZ153" s="53"/>
      <c r="DQA153" s="8"/>
      <c r="DQB153" s="45"/>
      <c r="DQC153" s="45"/>
      <c r="DQD153" s="46"/>
      <c r="DQE153" s="44"/>
      <c r="DQF153" s="7"/>
      <c r="DQG153" s="51"/>
      <c r="DQH153" s="52"/>
      <c r="DQI153" s="53"/>
      <c r="DQJ153" s="54"/>
      <c r="DQK153" s="52"/>
      <c r="DQL153" s="53"/>
      <c r="DQM153" s="54"/>
      <c r="DQN153" s="52"/>
      <c r="DQO153" s="53"/>
      <c r="DQP153" s="8"/>
      <c r="DQQ153" s="45"/>
      <c r="DQR153" s="45"/>
      <c r="DQS153" s="46"/>
      <c r="DQT153" s="44"/>
      <c r="DQU153" s="7"/>
      <c r="DQV153" s="51"/>
      <c r="DQW153" s="52"/>
      <c r="DQX153" s="53"/>
      <c r="DQY153" s="54"/>
      <c r="DQZ153" s="52"/>
      <c r="DRA153" s="53"/>
      <c r="DRB153" s="54"/>
      <c r="DRC153" s="52"/>
      <c r="DRD153" s="53"/>
      <c r="DRE153" s="8"/>
      <c r="DRF153" s="45"/>
      <c r="DRG153" s="45"/>
      <c r="DRH153" s="46"/>
      <c r="DRI153" s="44"/>
      <c r="DRJ153" s="7"/>
      <c r="DRK153" s="51"/>
      <c r="DRL153" s="52"/>
      <c r="DRM153" s="53"/>
      <c r="DRN153" s="54"/>
      <c r="DRO153" s="52"/>
      <c r="DRP153" s="53"/>
      <c r="DRQ153" s="54"/>
      <c r="DRR153" s="52"/>
      <c r="DRS153" s="53"/>
      <c r="DRT153" s="8"/>
      <c r="DRU153" s="45"/>
      <c r="DRV153" s="45"/>
      <c r="DRW153" s="46"/>
      <c r="DRX153" s="44"/>
      <c r="DRY153" s="7"/>
      <c r="DRZ153" s="51"/>
      <c r="DSA153" s="52"/>
      <c r="DSB153" s="53"/>
      <c r="DSC153" s="54"/>
      <c r="DSD153" s="52"/>
      <c r="DSE153" s="53"/>
      <c r="DSF153" s="54"/>
      <c r="DSG153" s="52"/>
      <c r="DSH153" s="53"/>
      <c r="DSI153" s="8"/>
      <c r="DSJ153" s="45"/>
      <c r="DSK153" s="45"/>
      <c r="DSL153" s="46"/>
      <c r="DSM153" s="44"/>
      <c r="DSN153" s="7"/>
      <c r="DSO153" s="51"/>
      <c r="DSP153" s="52"/>
      <c r="DSQ153" s="53"/>
      <c r="DSR153" s="54"/>
      <c r="DSS153" s="52"/>
      <c r="DST153" s="53"/>
      <c r="DSU153" s="54"/>
      <c r="DSV153" s="52"/>
      <c r="DSW153" s="53"/>
      <c r="DSX153" s="8"/>
      <c r="DSY153" s="45"/>
      <c r="DSZ153" s="45"/>
      <c r="DTA153" s="46"/>
      <c r="DTB153" s="44"/>
      <c r="DTC153" s="7"/>
      <c r="DTD153" s="51"/>
      <c r="DTE153" s="52"/>
      <c r="DTF153" s="53"/>
      <c r="DTG153" s="54"/>
      <c r="DTH153" s="52"/>
      <c r="DTI153" s="53"/>
      <c r="DTJ153" s="54"/>
      <c r="DTK153" s="52"/>
      <c r="DTL153" s="53"/>
      <c r="DTM153" s="8"/>
      <c r="DTN153" s="45"/>
      <c r="DTO153" s="45"/>
      <c r="DTP153" s="46"/>
      <c r="DTQ153" s="44"/>
      <c r="DTR153" s="7"/>
      <c r="DTS153" s="51"/>
      <c r="DTT153" s="52"/>
      <c r="DTU153" s="53"/>
      <c r="DTV153" s="54"/>
      <c r="DTW153" s="52"/>
      <c r="DTX153" s="53"/>
      <c r="DTY153" s="54"/>
      <c r="DTZ153" s="52"/>
      <c r="DUA153" s="53"/>
      <c r="DUB153" s="8"/>
      <c r="DUC153" s="45"/>
      <c r="DUD153" s="45"/>
      <c r="DUE153" s="46"/>
      <c r="DUF153" s="44"/>
      <c r="DUG153" s="7"/>
      <c r="DUH153" s="51"/>
      <c r="DUI153" s="52"/>
      <c r="DUJ153" s="53"/>
      <c r="DUK153" s="54"/>
      <c r="DUL153" s="52"/>
      <c r="DUM153" s="53"/>
      <c r="DUN153" s="54"/>
      <c r="DUO153" s="52"/>
      <c r="DUP153" s="53"/>
      <c r="DUQ153" s="8"/>
      <c r="DUR153" s="45"/>
      <c r="DUS153" s="45"/>
      <c r="DUT153" s="46"/>
      <c r="DUU153" s="44"/>
      <c r="DUV153" s="7"/>
      <c r="DUW153" s="51"/>
      <c r="DUX153" s="52"/>
      <c r="DUY153" s="53"/>
      <c r="DUZ153" s="54"/>
      <c r="DVA153" s="52"/>
      <c r="DVB153" s="53"/>
      <c r="DVC153" s="54"/>
      <c r="DVD153" s="52"/>
      <c r="DVE153" s="53"/>
      <c r="DVF153" s="8"/>
      <c r="DVG153" s="45"/>
      <c r="DVH153" s="45"/>
      <c r="DVI153" s="46"/>
      <c r="DVJ153" s="44"/>
      <c r="DVK153" s="7"/>
      <c r="DVL153" s="51"/>
      <c r="DVM153" s="52"/>
      <c r="DVN153" s="53"/>
      <c r="DVO153" s="54"/>
      <c r="DVP153" s="52"/>
      <c r="DVQ153" s="53"/>
      <c r="DVR153" s="54"/>
      <c r="DVS153" s="52"/>
      <c r="DVT153" s="53"/>
      <c r="DVU153" s="8"/>
      <c r="DVV153" s="45"/>
      <c r="DVW153" s="45"/>
      <c r="DVX153" s="46"/>
      <c r="DVY153" s="44"/>
      <c r="DVZ153" s="7"/>
      <c r="DWA153" s="51"/>
      <c r="DWB153" s="52"/>
      <c r="DWC153" s="53"/>
      <c r="DWD153" s="54"/>
      <c r="DWE153" s="52"/>
      <c r="DWF153" s="53"/>
      <c r="DWG153" s="54"/>
      <c r="DWH153" s="52"/>
      <c r="DWI153" s="53"/>
      <c r="DWJ153" s="8"/>
      <c r="DWK153" s="45"/>
      <c r="DWL153" s="45"/>
      <c r="DWM153" s="46"/>
      <c r="DWN153" s="44"/>
      <c r="DWO153" s="7"/>
      <c r="DWP153" s="51"/>
      <c r="DWQ153" s="52"/>
      <c r="DWR153" s="53"/>
      <c r="DWS153" s="54"/>
      <c r="DWT153" s="52"/>
      <c r="DWU153" s="53"/>
      <c r="DWV153" s="54"/>
      <c r="DWW153" s="52"/>
      <c r="DWX153" s="53"/>
      <c r="DWY153" s="8"/>
      <c r="DWZ153" s="45"/>
      <c r="DXA153" s="45"/>
      <c r="DXB153" s="46"/>
      <c r="DXC153" s="44"/>
      <c r="DXD153" s="7"/>
      <c r="DXE153" s="51"/>
      <c r="DXF153" s="52"/>
      <c r="DXG153" s="53"/>
      <c r="DXH153" s="54"/>
      <c r="DXI153" s="52"/>
      <c r="DXJ153" s="53"/>
      <c r="DXK153" s="54"/>
      <c r="DXL153" s="52"/>
      <c r="DXM153" s="53"/>
      <c r="DXN153" s="8"/>
      <c r="DXO153" s="45"/>
      <c r="DXP153" s="45"/>
      <c r="DXQ153" s="46"/>
      <c r="DXR153" s="44"/>
      <c r="DXS153" s="7"/>
      <c r="DXT153" s="51"/>
      <c r="DXU153" s="52"/>
      <c r="DXV153" s="53"/>
      <c r="DXW153" s="54"/>
      <c r="DXX153" s="52"/>
      <c r="DXY153" s="53"/>
      <c r="DXZ153" s="54"/>
      <c r="DYA153" s="52"/>
      <c r="DYB153" s="53"/>
      <c r="DYC153" s="8"/>
      <c r="DYD153" s="45"/>
      <c r="DYE153" s="45"/>
      <c r="DYF153" s="46"/>
      <c r="DYG153" s="44"/>
      <c r="DYH153" s="7"/>
      <c r="DYI153" s="51"/>
      <c r="DYJ153" s="52"/>
      <c r="DYK153" s="53"/>
      <c r="DYL153" s="54"/>
      <c r="DYM153" s="52"/>
      <c r="DYN153" s="53"/>
      <c r="DYO153" s="54"/>
      <c r="DYP153" s="52"/>
      <c r="DYQ153" s="53"/>
      <c r="DYR153" s="8"/>
      <c r="DYS153" s="45"/>
      <c r="DYT153" s="45"/>
      <c r="DYU153" s="46"/>
      <c r="DYV153" s="44"/>
      <c r="DYW153" s="7"/>
      <c r="DYX153" s="51"/>
      <c r="DYY153" s="52"/>
      <c r="DYZ153" s="53"/>
      <c r="DZA153" s="54"/>
      <c r="DZB153" s="52"/>
      <c r="DZC153" s="53"/>
      <c r="DZD153" s="54"/>
      <c r="DZE153" s="52"/>
      <c r="DZF153" s="53"/>
      <c r="DZG153" s="8"/>
      <c r="DZH153" s="45"/>
      <c r="DZI153" s="45"/>
      <c r="DZJ153" s="46"/>
      <c r="DZK153" s="44"/>
      <c r="DZL153" s="7"/>
      <c r="DZM153" s="51"/>
      <c r="DZN153" s="52"/>
      <c r="DZO153" s="53"/>
      <c r="DZP153" s="54"/>
      <c r="DZQ153" s="52"/>
      <c r="DZR153" s="53"/>
      <c r="DZS153" s="54"/>
      <c r="DZT153" s="52"/>
      <c r="DZU153" s="53"/>
      <c r="DZV153" s="8"/>
      <c r="DZW153" s="45"/>
      <c r="DZX153" s="45"/>
      <c r="DZY153" s="46"/>
      <c r="DZZ153" s="44"/>
      <c r="EAA153" s="7"/>
      <c r="EAB153" s="51"/>
      <c r="EAC153" s="52"/>
      <c r="EAD153" s="53"/>
      <c r="EAE153" s="54"/>
      <c r="EAF153" s="52"/>
      <c r="EAG153" s="53"/>
      <c r="EAH153" s="54"/>
      <c r="EAI153" s="52"/>
      <c r="EAJ153" s="53"/>
      <c r="EAK153" s="8"/>
      <c r="EAL153" s="45"/>
      <c r="EAM153" s="45"/>
      <c r="EAN153" s="46"/>
      <c r="EAO153" s="44"/>
      <c r="EAP153" s="7"/>
      <c r="EAQ153" s="51"/>
      <c r="EAR153" s="52"/>
      <c r="EAS153" s="53"/>
      <c r="EAT153" s="54"/>
      <c r="EAU153" s="52"/>
      <c r="EAV153" s="53"/>
      <c r="EAW153" s="54"/>
      <c r="EAX153" s="52"/>
      <c r="EAY153" s="53"/>
      <c r="EAZ153" s="8"/>
      <c r="EBA153" s="45"/>
      <c r="EBB153" s="45"/>
      <c r="EBC153" s="46"/>
      <c r="EBD153" s="44"/>
      <c r="EBE153" s="7"/>
      <c r="EBF153" s="51"/>
      <c r="EBG153" s="52"/>
      <c r="EBH153" s="53"/>
      <c r="EBI153" s="54"/>
      <c r="EBJ153" s="52"/>
      <c r="EBK153" s="53"/>
      <c r="EBL153" s="54"/>
      <c r="EBM153" s="52"/>
      <c r="EBN153" s="53"/>
      <c r="EBO153" s="8"/>
      <c r="EBP153" s="45"/>
      <c r="EBQ153" s="45"/>
      <c r="EBR153" s="46"/>
      <c r="EBS153" s="44"/>
      <c r="EBT153" s="7"/>
      <c r="EBU153" s="51"/>
      <c r="EBV153" s="52"/>
      <c r="EBW153" s="53"/>
      <c r="EBX153" s="54"/>
      <c r="EBY153" s="52"/>
      <c r="EBZ153" s="53"/>
      <c r="ECA153" s="54"/>
      <c r="ECB153" s="52"/>
      <c r="ECC153" s="53"/>
      <c r="ECD153" s="8"/>
      <c r="ECE153" s="45"/>
      <c r="ECF153" s="45"/>
      <c r="ECG153" s="46"/>
      <c r="ECH153" s="44"/>
      <c r="ECI153" s="7"/>
      <c r="ECJ153" s="51"/>
      <c r="ECK153" s="52"/>
      <c r="ECL153" s="53"/>
      <c r="ECM153" s="54"/>
      <c r="ECN153" s="52"/>
      <c r="ECO153" s="53"/>
      <c r="ECP153" s="54"/>
      <c r="ECQ153" s="52"/>
      <c r="ECR153" s="53"/>
      <c r="ECS153" s="8"/>
      <c r="ECT153" s="45"/>
      <c r="ECU153" s="45"/>
      <c r="ECV153" s="46"/>
      <c r="ECW153" s="44"/>
      <c r="ECX153" s="7"/>
      <c r="ECY153" s="51"/>
      <c r="ECZ153" s="52"/>
      <c r="EDA153" s="53"/>
      <c r="EDB153" s="54"/>
      <c r="EDC153" s="52"/>
      <c r="EDD153" s="53"/>
      <c r="EDE153" s="54"/>
      <c r="EDF153" s="52"/>
      <c r="EDG153" s="53"/>
      <c r="EDH153" s="8"/>
      <c r="EDI153" s="45"/>
      <c r="EDJ153" s="45"/>
      <c r="EDK153" s="46"/>
      <c r="EDL153" s="44"/>
      <c r="EDM153" s="7"/>
      <c r="EDN153" s="51"/>
      <c r="EDO153" s="52"/>
      <c r="EDP153" s="53"/>
      <c r="EDQ153" s="54"/>
      <c r="EDR153" s="52"/>
      <c r="EDS153" s="53"/>
      <c r="EDT153" s="54"/>
      <c r="EDU153" s="52"/>
      <c r="EDV153" s="53"/>
      <c r="EDW153" s="8"/>
      <c r="EDX153" s="45"/>
      <c r="EDY153" s="45"/>
      <c r="EDZ153" s="46"/>
      <c r="EEA153" s="44"/>
      <c r="EEB153" s="7"/>
      <c r="EEC153" s="51"/>
      <c r="EED153" s="52"/>
      <c r="EEE153" s="53"/>
      <c r="EEF153" s="54"/>
      <c r="EEG153" s="52"/>
      <c r="EEH153" s="53"/>
      <c r="EEI153" s="54"/>
      <c r="EEJ153" s="52"/>
      <c r="EEK153" s="53"/>
      <c r="EEL153" s="8"/>
      <c r="EEM153" s="45"/>
      <c r="EEN153" s="45"/>
      <c r="EEO153" s="46"/>
      <c r="EEP153" s="44"/>
      <c r="EEQ153" s="7"/>
      <c r="EER153" s="51"/>
      <c r="EES153" s="52"/>
      <c r="EET153" s="53"/>
      <c r="EEU153" s="54"/>
      <c r="EEV153" s="52"/>
      <c r="EEW153" s="53"/>
      <c r="EEX153" s="54"/>
      <c r="EEY153" s="52"/>
      <c r="EEZ153" s="53"/>
      <c r="EFA153" s="8"/>
      <c r="EFB153" s="45"/>
      <c r="EFC153" s="45"/>
      <c r="EFD153" s="46"/>
      <c r="EFE153" s="44"/>
      <c r="EFF153" s="7"/>
      <c r="EFG153" s="51"/>
      <c r="EFH153" s="52"/>
      <c r="EFI153" s="53"/>
      <c r="EFJ153" s="54"/>
      <c r="EFK153" s="52"/>
      <c r="EFL153" s="53"/>
      <c r="EFM153" s="54"/>
      <c r="EFN153" s="52"/>
      <c r="EFO153" s="53"/>
      <c r="EFP153" s="8"/>
      <c r="EFQ153" s="45"/>
      <c r="EFR153" s="45"/>
      <c r="EFS153" s="46"/>
      <c r="EFT153" s="44"/>
      <c r="EFU153" s="7"/>
      <c r="EFV153" s="51"/>
      <c r="EFW153" s="52"/>
      <c r="EFX153" s="53"/>
      <c r="EFY153" s="54"/>
      <c r="EFZ153" s="52"/>
      <c r="EGA153" s="53"/>
      <c r="EGB153" s="54"/>
      <c r="EGC153" s="52"/>
      <c r="EGD153" s="53"/>
      <c r="EGE153" s="8"/>
      <c r="EGF153" s="45"/>
      <c r="EGG153" s="45"/>
      <c r="EGH153" s="46"/>
      <c r="EGI153" s="44"/>
      <c r="EGJ153" s="7"/>
      <c r="EGK153" s="51"/>
      <c r="EGL153" s="52"/>
      <c r="EGM153" s="53"/>
      <c r="EGN153" s="54"/>
      <c r="EGO153" s="52"/>
      <c r="EGP153" s="53"/>
      <c r="EGQ153" s="54"/>
      <c r="EGR153" s="52"/>
      <c r="EGS153" s="53"/>
      <c r="EGT153" s="8"/>
      <c r="EGU153" s="45"/>
      <c r="EGV153" s="45"/>
      <c r="EGW153" s="46"/>
      <c r="EGX153" s="44"/>
      <c r="EGY153" s="7"/>
      <c r="EGZ153" s="51"/>
      <c r="EHA153" s="52"/>
      <c r="EHB153" s="53"/>
      <c r="EHC153" s="54"/>
      <c r="EHD153" s="52"/>
      <c r="EHE153" s="53"/>
      <c r="EHF153" s="54"/>
      <c r="EHG153" s="52"/>
      <c r="EHH153" s="53"/>
      <c r="EHI153" s="8"/>
      <c r="EHJ153" s="45"/>
      <c r="EHK153" s="45"/>
      <c r="EHL153" s="46"/>
      <c r="EHM153" s="44"/>
      <c r="EHN153" s="7"/>
      <c r="EHO153" s="51"/>
      <c r="EHP153" s="52"/>
      <c r="EHQ153" s="53"/>
      <c r="EHR153" s="54"/>
      <c r="EHS153" s="52"/>
      <c r="EHT153" s="53"/>
      <c r="EHU153" s="54"/>
      <c r="EHV153" s="52"/>
      <c r="EHW153" s="53"/>
      <c r="EHX153" s="8"/>
      <c r="EHY153" s="45"/>
      <c r="EHZ153" s="45"/>
      <c r="EIA153" s="46"/>
      <c r="EIB153" s="44"/>
      <c r="EIC153" s="7"/>
      <c r="EID153" s="51"/>
      <c r="EIE153" s="52"/>
      <c r="EIF153" s="53"/>
      <c r="EIG153" s="54"/>
      <c r="EIH153" s="52"/>
      <c r="EII153" s="53"/>
      <c r="EIJ153" s="54"/>
      <c r="EIK153" s="52"/>
      <c r="EIL153" s="53"/>
      <c r="EIM153" s="8"/>
      <c r="EIN153" s="45"/>
      <c r="EIO153" s="45"/>
      <c r="EIP153" s="46"/>
      <c r="EIQ153" s="44"/>
      <c r="EIR153" s="7"/>
      <c r="EIS153" s="51"/>
      <c r="EIT153" s="52"/>
      <c r="EIU153" s="53"/>
      <c r="EIV153" s="54"/>
      <c r="EIW153" s="52"/>
      <c r="EIX153" s="53"/>
      <c r="EIY153" s="54"/>
      <c r="EIZ153" s="52"/>
      <c r="EJA153" s="53"/>
      <c r="EJB153" s="8"/>
      <c r="EJC153" s="45"/>
      <c r="EJD153" s="45"/>
      <c r="EJE153" s="46"/>
      <c r="EJF153" s="44"/>
      <c r="EJG153" s="7"/>
      <c r="EJH153" s="51"/>
      <c r="EJI153" s="52"/>
      <c r="EJJ153" s="53"/>
      <c r="EJK153" s="54"/>
      <c r="EJL153" s="52"/>
      <c r="EJM153" s="53"/>
      <c r="EJN153" s="54"/>
      <c r="EJO153" s="52"/>
      <c r="EJP153" s="53"/>
      <c r="EJQ153" s="8"/>
      <c r="EJR153" s="45"/>
      <c r="EJS153" s="45"/>
      <c r="EJT153" s="46"/>
      <c r="EJU153" s="44"/>
      <c r="EJV153" s="7"/>
      <c r="EJW153" s="51"/>
      <c r="EJX153" s="52"/>
      <c r="EJY153" s="53"/>
      <c r="EJZ153" s="54"/>
      <c r="EKA153" s="52"/>
      <c r="EKB153" s="53"/>
      <c r="EKC153" s="54"/>
      <c r="EKD153" s="52"/>
      <c r="EKE153" s="53"/>
      <c r="EKF153" s="8"/>
      <c r="EKG153" s="45"/>
      <c r="EKH153" s="45"/>
      <c r="EKI153" s="46"/>
      <c r="EKJ153" s="44"/>
      <c r="EKK153" s="7"/>
      <c r="EKL153" s="51"/>
      <c r="EKM153" s="52"/>
      <c r="EKN153" s="53"/>
      <c r="EKO153" s="54"/>
      <c r="EKP153" s="52"/>
      <c r="EKQ153" s="53"/>
      <c r="EKR153" s="54"/>
      <c r="EKS153" s="52"/>
      <c r="EKT153" s="53"/>
      <c r="EKU153" s="8"/>
      <c r="EKV153" s="45"/>
      <c r="EKW153" s="45"/>
      <c r="EKX153" s="46"/>
      <c r="EKY153" s="44"/>
      <c r="EKZ153" s="7"/>
      <c r="ELA153" s="51"/>
      <c r="ELB153" s="52"/>
      <c r="ELC153" s="53"/>
      <c r="ELD153" s="54"/>
      <c r="ELE153" s="52"/>
      <c r="ELF153" s="53"/>
      <c r="ELG153" s="54"/>
      <c r="ELH153" s="52"/>
      <c r="ELI153" s="53"/>
      <c r="ELJ153" s="8"/>
      <c r="ELK153" s="45"/>
      <c r="ELL153" s="45"/>
      <c r="ELM153" s="46"/>
      <c r="ELN153" s="44"/>
      <c r="ELO153" s="7"/>
      <c r="ELP153" s="51"/>
      <c r="ELQ153" s="52"/>
      <c r="ELR153" s="53"/>
      <c r="ELS153" s="54"/>
      <c r="ELT153" s="52"/>
      <c r="ELU153" s="53"/>
      <c r="ELV153" s="54"/>
      <c r="ELW153" s="52"/>
      <c r="ELX153" s="53"/>
      <c r="ELY153" s="8"/>
      <c r="ELZ153" s="45"/>
      <c r="EMA153" s="45"/>
      <c r="EMB153" s="46"/>
      <c r="EMC153" s="44"/>
      <c r="EMD153" s="7"/>
      <c r="EME153" s="51"/>
      <c r="EMF153" s="52"/>
      <c r="EMG153" s="53"/>
      <c r="EMH153" s="54"/>
      <c r="EMI153" s="52"/>
      <c r="EMJ153" s="53"/>
      <c r="EMK153" s="54"/>
      <c r="EML153" s="52"/>
      <c r="EMM153" s="53"/>
      <c r="EMN153" s="8"/>
      <c r="EMO153" s="45"/>
      <c r="EMP153" s="45"/>
      <c r="EMQ153" s="46"/>
      <c r="EMR153" s="44"/>
      <c r="EMS153" s="7"/>
      <c r="EMT153" s="51"/>
      <c r="EMU153" s="52"/>
      <c r="EMV153" s="53"/>
      <c r="EMW153" s="54"/>
      <c r="EMX153" s="52"/>
      <c r="EMY153" s="53"/>
      <c r="EMZ153" s="54"/>
      <c r="ENA153" s="52"/>
      <c r="ENB153" s="53"/>
      <c r="ENC153" s="8"/>
      <c r="END153" s="45"/>
      <c r="ENE153" s="45"/>
      <c r="ENF153" s="46"/>
      <c r="ENG153" s="44"/>
      <c r="ENH153" s="7"/>
      <c r="ENI153" s="51"/>
      <c r="ENJ153" s="52"/>
      <c r="ENK153" s="53"/>
      <c r="ENL153" s="54"/>
      <c r="ENM153" s="52"/>
      <c r="ENN153" s="53"/>
      <c r="ENO153" s="54"/>
      <c r="ENP153" s="52"/>
      <c r="ENQ153" s="53"/>
      <c r="ENR153" s="8"/>
      <c r="ENS153" s="45"/>
      <c r="ENT153" s="45"/>
      <c r="ENU153" s="46"/>
      <c r="ENV153" s="44"/>
      <c r="ENW153" s="7"/>
      <c r="ENX153" s="51"/>
      <c r="ENY153" s="52"/>
      <c r="ENZ153" s="53"/>
      <c r="EOA153" s="54"/>
      <c r="EOB153" s="52"/>
      <c r="EOC153" s="53"/>
      <c r="EOD153" s="54"/>
      <c r="EOE153" s="52"/>
      <c r="EOF153" s="53"/>
      <c r="EOG153" s="8"/>
      <c r="EOH153" s="45"/>
      <c r="EOI153" s="45"/>
      <c r="EOJ153" s="46"/>
      <c r="EOK153" s="44"/>
      <c r="EOL153" s="7"/>
      <c r="EOM153" s="51"/>
      <c r="EON153" s="52"/>
      <c r="EOO153" s="53"/>
      <c r="EOP153" s="54"/>
      <c r="EOQ153" s="52"/>
      <c r="EOR153" s="53"/>
      <c r="EOS153" s="54"/>
      <c r="EOT153" s="52"/>
      <c r="EOU153" s="53"/>
      <c r="EOV153" s="8"/>
      <c r="EOW153" s="45"/>
      <c r="EOX153" s="45"/>
      <c r="EOY153" s="46"/>
      <c r="EOZ153" s="44"/>
      <c r="EPA153" s="7"/>
      <c r="EPB153" s="51"/>
      <c r="EPC153" s="52"/>
      <c r="EPD153" s="53"/>
      <c r="EPE153" s="54"/>
      <c r="EPF153" s="52"/>
      <c r="EPG153" s="53"/>
      <c r="EPH153" s="54"/>
      <c r="EPI153" s="52"/>
      <c r="EPJ153" s="53"/>
      <c r="EPK153" s="8"/>
      <c r="EPL153" s="45"/>
      <c r="EPM153" s="45"/>
      <c r="EPN153" s="46"/>
      <c r="EPO153" s="44"/>
      <c r="EPP153" s="7"/>
      <c r="EPQ153" s="51"/>
      <c r="EPR153" s="52"/>
      <c r="EPS153" s="53"/>
      <c r="EPT153" s="54"/>
      <c r="EPU153" s="52"/>
      <c r="EPV153" s="53"/>
      <c r="EPW153" s="54"/>
      <c r="EPX153" s="52"/>
      <c r="EPY153" s="53"/>
      <c r="EPZ153" s="8"/>
      <c r="EQA153" s="45"/>
      <c r="EQB153" s="45"/>
      <c r="EQC153" s="46"/>
      <c r="EQD153" s="44"/>
      <c r="EQE153" s="7"/>
      <c r="EQF153" s="51"/>
      <c r="EQG153" s="52"/>
      <c r="EQH153" s="53"/>
      <c r="EQI153" s="54"/>
      <c r="EQJ153" s="52"/>
      <c r="EQK153" s="53"/>
      <c r="EQL153" s="54"/>
      <c r="EQM153" s="52"/>
      <c r="EQN153" s="53"/>
      <c r="EQO153" s="8"/>
      <c r="EQP153" s="45"/>
      <c r="EQQ153" s="45"/>
      <c r="EQR153" s="46"/>
      <c r="EQS153" s="44"/>
      <c r="EQT153" s="7"/>
      <c r="EQU153" s="51"/>
      <c r="EQV153" s="52"/>
      <c r="EQW153" s="53"/>
      <c r="EQX153" s="54"/>
      <c r="EQY153" s="52"/>
      <c r="EQZ153" s="53"/>
      <c r="ERA153" s="54"/>
      <c r="ERB153" s="52"/>
      <c r="ERC153" s="53"/>
      <c r="ERD153" s="8"/>
      <c r="ERE153" s="45"/>
      <c r="ERF153" s="45"/>
      <c r="ERG153" s="46"/>
      <c r="ERH153" s="44"/>
      <c r="ERI153" s="7"/>
      <c r="ERJ153" s="51"/>
      <c r="ERK153" s="52"/>
      <c r="ERL153" s="53"/>
      <c r="ERM153" s="54"/>
      <c r="ERN153" s="52"/>
      <c r="ERO153" s="53"/>
      <c r="ERP153" s="54"/>
      <c r="ERQ153" s="52"/>
      <c r="ERR153" s="53"/>
      <c r="ERS153" s="8"/>
      <c r="ERT153" s="45"/>
      <c r="ERU153" s="45"/>
      <c r="ERV153" s="46"/>
      <c r="ERW153" s="44"/>
      <c r="ERX153" s="7"/>
      <c r="ERY153" s="51"/>
      <c r="ERZ153" s="52"/>
      <c r="ESA153" s="53"/>
      <c r="ESB153" s="54"/>
      <c r="ESC153" s="52"/>
      <c r="ESD153" s="53"/>
      <c r="ESE153" s="54"/>
      <c r="ESF153" s="52"/>
      <c r="ESG153" s="53"/>
      <c r="ESH153" s="8"/>
      <c r="ESI153" s="45"/>
      <c r="ESJ153" s="45"/>
      <c r="ESK153" s="46"/>
      <c r="ESL153" s="44"/>
      <c r="ESM153" s="7"/>
      <c r="ESN153" s="51"/>
      <c r="ESO153" s="52"/>
      <c r="ESP153" s="53"/>
      <c r="ESQ153" s="54"/>
      <c r="ESR153" s="52"/>
      <c r="ESS153" s="53"/>
      <c r="EST153" s="54"/>
      <c r="ESU153" s="52"/>
      <c r="ESV153" s="53"/>
      <c r="ESW153" s="8"/>
      <c r="ESX153" s="45"/>
      <c r="ESY153" s="45"/>
      <c r="ESZ153" s="46"/>
      <c r="ETA153" s="44"/>
      <c r="ETB153" s="7"/>
      <c r="ETC153" s="51"/>
      <c r="ETD153" s="52"/>
      <c r="ETE153" s="53"/>
      <c r="ETF153" s="54"/>
      <c r="ETG153" s="52"/>
      <c r="ETH153" s="53"/>
      <c r="ETI153" s="54"/>
      <c r="ETJ153" s="52"/>
      <c r="ETK153" s="53"/>
      <c r="ETL153" s="8"/>
      <c r="ETM153" s="45"/>
      <c r="ETN153" s="45"/>
      <c r="ETO153" s="46"/>
      <c r="ETP153" s="44"/>
      <c r="ETQ153" s="7"/>
      <c r="ETR153" s="51"/>
      <c r="ETS153" s="52"/>
      <c r="ETT153" s="53"/>
      <c r="ETU153" s="54"/>
      <c r="ETV153" s="52"/>
      <c r="ETW153" s="53"/>
      <c r="ETX153" s="54"/>
      <c r="ETY153" s="52"/>
      <c r="ETZ153" s="53"/>
      <c r="EUA153" s="8"/>
      <c r="EUB153" s="45"/>
      <c r="EUC153" s="45"/>
      <c r="EUD153" s="46"/>
      <c r="EUE153" s="44"/>
      <c r="EUF153" s="7"/>
      <c r="EUG153" s="51"/>
      <c r="EUH153" s="52"/>
      <c r="EUI153" s="53"/>
      <c r="EUJ153" s="54"/>
      <c r="EUK153" s="52"/>
      <c r="EUL153" s="53"/>
      <c r="EUM153" s="54"/>
      <c r="EUN153" s="52"/>
      <c r="EUO153" s="53"/>
      <c r="EUP153" s="8"/>
      <c r="EUQ153" s="45"/>
      <c r="EUR153" s="45"/>
      <c r="EUS153" s="46"/>
      <c r="EUT153" s="44"/>
      <c r="EUU153" s="7"/>
      <c r="EUV153" s="51"/>
      <c r="EUW153" s="52"/>
      <c r="EUX153" s="53"/>
      <c r="EUY153" s="54"/>
      <c r="EUZ153" s="52"/>
      <c r="EVA153" s="53"/>
      <c r="EVB153" s="54"/>
      <c r="EVC153" s="52"/>
      <c r="EVD153" s="53"/>
      <c r="EVE153" s="8"/>
      <c r="EVF153" s="45"/>
      <c r="EVG153" s="45"/>
      <c r="EVH153" s="46"/>
      <c r="EVI153" s="44"/>
      <c r="EVJ153" s="7"/>
      <c r="EVK153" s="51"/>
      <c r="EVL153" s="52"/>
      <c r="EVM153" s="53"/>
      <c r="EVN153" s="54"/>
      <c r="EVO153" s="52"/>
      <c r="EVP153" s="53"/>
      <c r="EVQ153" s="54"/>
      <c r="EVR153" s="52"/>
      <c r="EVS153" s="53"/>
      <c r="EVT153" s="8"/>
      <c r="EVU153" s="45"/>
      <c r="EVV153" s="45"/>
      <c r="EVW153" s="46"/>
      <c r="EVX153" s="44"/>
      <c r="EVY153" s="7"/>
      <c r="EVZ153" s="51"/>
      <c r="EWA153" s="52"/>
      <c r="EWB153" s="53"/>
      <c r="EWC153" s="54"/>
      <c r="EWD153" s="52"/>
      <c r="EWE153" s="53"/>
      <c r="EWF153" s="54"/>
      <c r="EWG153" s="52"/>
      <c r="EWH153" s="53"/>
      <c r="EWI153" s="8"/>
      <c r="EWJ153" s="45"/>
      <c r="EWK153" s="45"/>
      <c r="EWL153" s="46"/>
      <c r="EWM153" s="44"/>
      <c r="EWN153" s="7"/>
      <c r="EWO153" s="51"/>
      <c r="EWP153" s="52"/>
      <c r="EWQ153" s="53"/>
      <c r="EWR153" s="54"/>
      <c r="EWS153" s="52"/>
      <c r="EWT153" s="53"/>
      <c r="EWU153" s="54"/>
      <c r="EWV153" s="52"/>
      <c r="EWW153" s="53"/>
      <c r="EWX153" s="8"/>
      <c r="EWY153" s="45"/>
      <c r="EWZ153" s="45"/>
      <c r="EXA153" s="46"/>
      <c r="EXB153" s="44"/>
      <c r="EXC153" s="7"/>
      <c r="EXD153" s="51"/>
      <c r="EXE153" s="52"/>
      <c r="EXF153" s="53"/>
      <c r="EXG153" s="54"/>
      <c r="EXH153" s="52"/>
      <c r="EXI153" s="53"/>
      <c r="EXJ153" s="54"/>
      <c r="EXK153" s="52"/>
      <c r="EXL153" s="53"/>
      <c r="EXM153" s="8"/>
      <c r="EXN153" s="45"/>
      <c r="EXO153" s="45"/>
      <c r="EXP153" s="46"/>
      <c r="EXQ153" s="44"/>
      <c r="EXR153" s="7"/>
      <c r="EXS153" s="51"/>
      <c r="EXT153" s="52"/>
      <c r="EXU153" s="53"/>
      <c r="EXV153" s="54"/>
      <c r="EXW153" s="52"/>
      <c r="EXX153" s="53"/>
      <c r="EXY153" s="54"/>
      <c r="EXZ153" s="52"/>
      <c r="EYA153" s="53"/>
      <c r="EYB153" s="8"/>
      <c r="EYC153" s="45"/>
      <c r="EYD153" s="45"/>
      <c r="EYE153" s="46"/>
      <c r="EYF153" s="44"/>
      <c r="EYG153" s="7"/>
      <c r="EYH153" s="51"/>
      <c r="EYI153" s="52"/>
      <c r="EYJ153" s="53"/>
      <c r="EYK153" s="54"/>
      <c r="EYL153" s="52"/>
      <c r="EYM153" s="53"/>
      <c r="EYN153" s="54"/>
      <c r="EYO153" s="52"/>
      <c r="EYP153" s="53"/>
      <c r="EYQ153" s="8"/>
      <c r="EYR153" s="45"/>
      <c r="EYS153" s="45"/>
      <c r="EYT153" s="46"/>
      <c r="EYU153" s="44"/>
      <c r="EYV153" s="7"/>
      <c r="EYW153" s="51"/>
      <c r="EYX153" s="52"/>
      <c r="EYY153" s="53"/>
      <c r="EYZ153" s="54"/>
      <c r="EZA153" s="52"/>
      <c r="EZB153" s="53"/>
      <c r="EZC153" s="54"/>
      <c r="EZD153" s="52"/>
      <c r="EZE153" s="53"/>
      <c r="EZF153" s="8"/>
      <c r="EZG153" s="45"/>
      <c r="EZH153" s="45"/>
      <c r="EZI153" s="46"/>
      <c r="EZJ153" s="44"/>
      <c r="EZK153" s="7"/>
      <c r="EZL153" s="51"/>
      <c r="EZM153" s="52"/>
      <c r="EZN153" s="53"/>
      <c r="EZO153" s="54"/>
      <c r="EZP153" s="52"/>
      <c r="EZQ153" s="53"/>
      <c r="EZR153" s="54"/>
      <c r="EZS153" s="52"/>
      <c r="EZT153" s="53"/>
      <c r="EZU153" s="8"/>
      <c r="EZV153" s="45"/>
      <c r="EZW153" s="45"/>
      <c r="EZX153" s="46"/>
      <c r="EZY153" s="44"/>
      <c r="EZZ153" s="7"/>
      <c r="FAA153" s="51"/>
      <c r="FAB153" s="52"/>
      <c r="FAC153" s="53"/>
      <c r="FAD153" s="54"/>
      <c r="FAE153" s="52"/>
      <c r="FAF153" s="53"/>
      <c r="FAG153" s="54"/>
      <c r="FAH153" s="52"/>
      <c r="FAI153" s="53"/>
      <c r="FAJ153" s="8"/>
      <c r="FAK153" s="45"/>
      <c r="FAL153" s="45"/>
      <c r="FAM153" s="46"/>
      <c r="FAN153" s="44"/>
      <c r="FAO153" s="7"/>
      <c r="FAP153" s="51"/>
      <c r="FAQ153" s="52"/>
      <c r="FAR153" s="53"/>
      <c r="FAS153" s="54"/>
      <c r="FAT153" s="52"/>
      <c r="FAU153" s="53"/>
      <c r="FAV153" s="54"/>
      <c r="FAW153" s="52"/>
      <c r="FAX153" s="53"/>
      <c r="FAY153" s="8"/>
      <c r="FAZ153" s="45"/>
      <c r="FBA153" s="45"/>
      <c r="FBB153" s="46"/>
      <c r="FBC153" s="44"/>
      <c r="FBD153" s="7"/>
      <c r="FBE153" s="51"/>
      <c r="FBF153" s="52"/>
      <c r="FBG153" s="53"/>
      <c r="FBH153" s="54"/>
      <c r="FBI153" s="52"/>
      <c r="FBJ153" s="53"/>
      <c r="FBK153" s="54"/>
      <c r="FBL153" s="52"/>
      <c r="FBM153" s="53"/>
      <c r="FBN153" s="8"/>
      <c r="FBO153" s="45"/>
      <c r="FBP153" s="45"/>
      <c r="FBQ153" s="46"/>
      <c r="FBR153" s="44"/>
      <c r="FBS153" s="7"/>
      <c r="FBT153" s="51"/>
      <c r="FBU153" s="52"/>
      <c r="FBV153" s="53"/>
      <c r="FBW153" s="54"/>
      <c r="FBX153" s="52"/>
      <c r="FBY153" s="53"/>
      <c r="FBZ153" s="54"/>
      <c r="FCA153" s="52"/>
      <c r="FCB153" s="53"/>
      <c r="FCC153" s="8"/>
      <c r="FCD153" s="45"/>
      <c r="FCE153" s="45"/>
      <c r="FCF153" s="46"/>
      <c r="FCG153" s="44"/>
      <c r="FCH153" s="7"/>
      <c r="FCI153" s="51"/>
      <c r="FCJ153" s="52"/>
      <c r="FCK153" s="53"/>
      <c r="FCL153" s="54"/>
      <c r="FCM153" s="52"/>
      <c r="FCN153" s="53"/>
      <c r="FCO153" s="54"/>
      <c r="FCP153" s="52"/>
      <c r="FCQ153" s="53"/>
      <c r="FCR153" s="8"/>
      <c r="FCS153" s="45"/>
      <c r="FCT153" s="45"/>
      <c r="FCU153" s="46"/>
      <c r="FCV153" s="44"/>
      <c r="FCW153" s="7"/>
      <c r="FCX153" s="51"/>
      <c r="FCY153" s="52"/>
      <c r="FCZ153" s="53"/>
      <c r="FDA153" s="54"/>
      <c r="FDB153" s="52"/>
      <c r="FDC153" s="53"/>
      <c r="FDD153" s="54"/>
      <c r="FDE153" s="52"/>
      <c r="FDF153" s="53"/>
      <c r="FDG153" s="8"/>
      <c r="FDH153" s="45"/>
      <c r="FDI153" s="45"/>
      <c r="FDJ153" s="46"/>
      <c r="FDK153" s="44"/>
      <c r="FDL153" s="7"/>
      <c r="FDM153" s="51"/>
      <c r="FDN153" s="52"/>
      <c r="FDO153" s="53"/>
      <c r="FDP153" s="54"/>
      <c r="FDQ153" s="52"/>
      <c r="FDR153" s="53"/>
      <c r="FDS153" s="54"/>
      <c r="FDT153" s="52"/>
      <c r="FDU153" s="53"/>
      <c r="FDV153" s="8"/>
      <c r="FDW153" s="45"/>
      <c r="FDX153" s="45"/>
      <c r="FDY153" s="46"/>
      <c r="FDZ153" s="44"/>
      <c r="FEA153" s="7"/>
      <c r="FEB153" s="51"/>
      <c r="FEC153" s="52"/>
      <c r="FED153" s="53"/>
      <c r="FEE153" s="54"/>
      <c r="FEF153" s="52"/>
      <c r="FEG153" s="53"/>
      <c r="FEH153" s="54"/>
      <c r="FEI153" s="52"/>
      <c r="FEJ153" s="53"/>
      <c r="FEK153" s="8"/>
      <c r="FEL153" s="45"/>
      <c r="FEM153" s="45"/>
      <c r="FEN153" s="46"/>
      <c r="FEO153" s="44"/>
      <c r="FEP153" s="7"/>
      <c r="FEQ153" s="51"/>
      <c r="FER153" s="52"/>
      <c r="FES153" s="53"/>
      <c r="FET153" s="54"/>
      <c r="FEU153" s="52"/>
      <c r="FEV153" s="53"/>
      <c r="FEW153" s="54"/>
      <c r="FEX153" s="52"/>
      <c r="FEY153" s="53"/>
      <c r="FEZ153" s="8"/>
      <c r="FFA153" s="45"/>
      <c r="FFB153" s="45"/>
      <c r="FFC153" s="46"/>
      <c r="FFD153" s="44"/>
      <c r="FFE153" s="7"/>
      <c r="FFF153" s="51"/>
      <c r="FFG153" s="52"/>
      <c r="FFH153" s="53"/>
      <c r="FFI153" s="54"/>
      <c r="FFJ153" s="52"/>
      <c r="FFK153" s="53"/>
      <c r="FFL153" s="54"/>
      <c r="FFM153" s="52"/>
      <c r="FFN153" s="53"/>
      <c r="FFO153" s="8"/>
      <c r="FFP153" s="45"/>
      <c r="FFQ153" s="45"/>
      <c r="FFR153" s="46"/>
      <c r="FFS153" s="44"/>
      <c r="FFT153" s="7"/>
      <c r="FFU153" s="51"/>
      <c r="FFV153" s="52"/>
      <c r="FFW153" s="53"/>
      <c r="FFX153" s="54"/>
      <c r="FFY153" s="52"/>
      <c r="FFZ153" s="53"/>
      <c r="FGA153" s="54"/>
      <c r="FGB153" s="52"/>
      <c r="FGC153" s="53"/>
      <c r="FGD153" s="8"/>
      <c r="FGE153" s="45"/>
      <c r="FGF153" s="45"/>
      <c r="FGG153" s="46"/>
      <c r="FGH153" s="44"/>
      <c r="FGI153" s="7"/>
      <c r="FGJ153" s="51"/>
      <c r="FGK153" s="52"/>
      <c r="FGL153" s="53"/>
      <c r="FGM153" s="54"/>
      <c r="FGN153" s="52"/>
      <c r="FGO153" s="53"/>
      <c r="FGP153" s="54"/>
      <c r="FGQ153" s="52"/>
      <c r="FGR153" s="53"/>
      <c r="FGS153" s="8"/>
      <c r="FGT153" s="45"/>
      <c r="FGU153" s="45"/>
      <c r="FGV153" s="46"/>
      <c r="FGW153" s="44"/>
      <c r="FGX153" s="7"/>
      <c r="FGY153" s="51"/>
      <c r="FGZ153" s="52"/>
      <c r="FHA153" s="53"/>
      <c r="FHB153" s="54"/>
      <c r="FHC153" s="52"/>
      <c r="FHD153" s="53"/>
      <c r="FHE153" s="54"/>
      <c r="FHF153" s="52"/>
      <c r="FHG153" s="53"/>
      <c r="FHH153" s="8"/>
      <c r="FHI153" s="45"/>
      <c r="FHJ153" s="45"/>
      <c r="FHK153" s="46"/>
      <c r="FHL153" s="44"/>
      <c r="FHM153" s="7"/>
      <c r="FHN153" s="51"/>
      <c r="FHO153" s="52"/>
      <c r="FHP153" s="53"/>
      <c r="FHQ153" s="54"/>
      <c r="FHR153" s="52"/>
      <c r="FHS153" s="53"/>
      <c r="FHT153" s="54"/>
      <c r="FHU153" s="52"/>
      <c r="FHV153" s="53"/>
      <c r="FHW153" s="8"/>
      <c r="FHX153" s="45"/>
      <c r="FHY153" s="45"/>
      <c r="FHZ153" s="46"/>
      <c r="FIA153" s="44"/>
      <c r="FIB153" s="7"/>
      <c r="FIC153" s="51"/>
      <c r="FID153" s="52"/>
      <c r="FIE153" s="53"/>
      <c r="FIF153" s="54"/>
      <c r="FIG153" s="52"/>
      <c r="FIH153" s="53"/>
      <c r="FII153" s="54"/>
      <c r="FIJ153" s="52"/>
      <c r="FIK153" s="53"/>
      <c r="FIL153" s="8"/>
      <c r="FIM153" s="45"/>
      <c r="FIN153" s="45"/>
      <c r="FIO153" s="46"/>
      <c r="FIP153" s="44"/>
      <c r="FIQ153" s="7"/>
      <c r="FIR153" s="51"/>
      <c r="FIS153" s="52"/>
      <c r="FIT153" s="53"/>
      <c r="FIU153" s="54"/>
      <c r="FIV153" s="52"/>
      <c r="FIW153" s="53"/>
      <c r="FIX153" s="54"/>
      <c r="FIY153" s="52"/>
      <c r="FIZ153" s="53"/>
      <c r="FJA153" s="8"/>
      <c r="FJB153" s="45"/>
      <c r="FJC153" s="45"/>
      <c r="FJD153" s="46"/>
      <c r="FJE153" s="44"/>
      <c r="FJF153" s="7"/>
      <c r="FJG153" s="51"/>
      <c r="FJH153" s="52"/>
      <c r="FJI153" s="53"/>
      <c r="FJJ153" s="54"/>
      <c r="FJK153" s="52"/>
      <c r="FJL153" s="53"/>
      <c r="FJM153" s="54"/>
      <c r="FJN153" s="52"/>
      <c r="FJO153" s="53"/>
      <c r="FJP153" s="8"/>
      <c r="FJQ153" s="45"/>
      <c r="FJR153" s="45"/>
      <c r="FJS153" s="46"/>
      <c r="FJT153" s="44"/>
      <c r="FJU153" s="7"/>
      <c r="FJV153" s="51"/>
      <c r="FJW153" s="52"/>
      <c r="FJX153" s="53"/>
      <c r="FJY153" s="54"/>
      <c r="FJZ153" s="52"/>
      <c r="FKA153" s="53"/>
      <c r="FKB153" s="54"/>
      <c r="FKC153" s="52"/>
      <c r="FKD153" s="53"/>
      <c r="FKE153" s="8"/>
      <c r="FKF153" s="45"/>
      <c r="FKG153" s="45"/>
      <c r="FKH153" s="46"/>
      <c r="FKI153" s="44"/>
      <c r="FKJ153" s="7"/>
      <c r="FKK153" s="51"/>
      <c r="FKL153" s="52"/>
      <c r="FKM153" s="53"/>
      <c r="FKN153" s="54"/>
      <c r="FKO153" s="52"/>
      <c r="FKP153" s="53"/>
      <c r="FKQ153" s="54"/>
      <c r="FKR153" s="52"/>
      <c r="FKS153" s="53"/>
      <c r="FKT153" s="8"/>
      <c r="FKU153" s="45"/>
      <c r="FKV153" s="45"/>
      <c r="FKW153" s="46"/>
      <c r="FKX153" s="44"/>
      <c r="FKY153" s="7"/>
      <c r="FKZ153" s="51"/>
      <c r="FLA153" s="52"/>
      <c r="FLB153" s="53"/>
      <c r="FLC153" s="54"/>
      <c r="FLD153" s="52"/>
      <c r="FLE153" s="53"/>
      <c r="FLF153" s="54"/>
      <c r="FLG153" s="52"/>
      <c r="FLH153" s="53"/>
      <c r="FLI153" s="8"/>
      <c r="FLJ153" s="45"/>
      <c r="FLK153" s="45"/>
      <c r="FLL153" s="46"/>
      <c r="FLM153" s="44"/>
      <c r="FLN153" s="7"/>
      <c r="FLO153" s="51"/>
      <c r="FLP153" s="52"/>
      <c r="FLQ153" s="53"/>
      <c r="FLR153" s="54"/>
      <c r="FLS153" s="52"/>
      <c r="FLT153" s="53"/>
      <c r="FLU153" s="54"/>
      <c r="FLV153" s="52"/>
      <c r="FLW153" s="53"/>
      <c r="FLX153" s="8"/>
      <c r="FLY153" s="45"/>
      <c r="FLZ153" s="45"/>
      <c r="FMA153" s="46"/>
      <c r="FMB153" s="44"/>
      <c r="FMC153" s="7"/>
      <c r="FMD153" s="51"/>
      <c r="FME153" s="52"/>
      <c r="FMF153" s="53"/>
      <c r="FMG153" s="54"/>
      <c r="FMH153" s="52"/>
      <c r="FMI153" s="53"/>
      <c r="FMJ153" s="54"/>
      <c r="FMK153" s="52"/>
      <c r="FML153" s="53"/>
      <c r="FMM153" s="8"/>
      <c r="FMN153" s="45"/>
      <c r="FMO153" s="45"/>
      <c r="FMP153" s="46"/>
      <c r="FMQ153" s="44"/>
      <c r="FMR153" s="7"/>
      <c r="FMS153" s="51"/>
      <c r="FMT153" s="52"/>
      <c r="FMU153" s="53"/>
      <c r="FMV153" s="54"/>
      <c r="FMW153" s="52"/>
      <c r="FMX153" s="53"/>
      <c r="FMY153" s="54"/>
      <c r="FMZ153" s="52"/>
      <c r="FNA153" s="53"/>
      <c r="FNB153" s="8"/>
      <c r="FNC153" s="45"/>
      <c r="FND153" s="45"/>
      <c r="FNE153" s="46"/>
      <c r="FNF153" s="44"/>
      <c r="FNG153" s="7"/>
      <c r="FNH153" s="51"/>
      <c r="FNI153" s="52"/>
      <c r="FNJ153" s="53"/>
      <c r="FNK153" s="54"/>
      <c r="FNL153" s="52"/>
      <c r="FNM153" s="53"/>
      <c r="FNN153" s="54"/>
      <c r="FNO153" s="52"/>
      <c r="FNP153" s="53"/>
      <c r="FNQ153" s="8"/>
      <c r="FNR153" s="45"/>
      <c r="FNS153" s="45"/>
      <c r="FNT153" s="46"/>
      <c r="FNU153" s="44"/>
      <c r="FNV153" s="7"/>
      <c r="FNW153" s="51"/>
      <c r="FNX153" s="52"/>
      <c r="FNY153" s="53"/>
      <c r="FNZ153" s="54"/>
      <c r="FOA153" s="52"/>
      <c r="FOB153" s="53"/>
      <c r="FOC153" s="54"/>
      <c r="FOD153" s="52"/>
      <c r="FOE153" s="53"/>
      <c r="FOF153" s="8"/>
      <c r="FOG153" s="45"/>
      <c r="FOH153" s="45"/>
      <c r="FOI153" s="46"/>
      <c r="FOJ153" s="44"/>
      <c r="FOK153" s="7"/>
      <c r="FOL153" s="51"/>
      <c r="FOM153" s="52"/>
      <c r="FON153" s="53"/>
      <c r="FOO153" s="54"/>
      <c r="FOP153" s="52"/>
      <c r="FOQ153" s="53"/>
      <c r="FOR153" s="54"/>
      <c r="FOS153" s="52"/>
      <c r="FOT153" s="53"/>
      <c r="FOU153" s="8"/>
      <c r="FOV153" s="45"/>
      <c r="FOW153" s="45"/>
      <c r="FOX153" s="46"/>
      <c r="FOY153" s="44"/>
      <c r="FOZ153" s="7"/>
      <c r="FPA153" s="51"/>
      <c r="FPB153" s="52"/>
      <c r="FPC153" s="53"/>
      <c r="FPD153" s="54"/>
      <c r="FPE153" s="52"/>
      <c r="FPF153" s="53"/>
      <c r="FPG153" s="54"/>
      <c r="FPH153" s="52"/>
      <c r="FPI153" s="53"/>
      <c r="FPJ153" s="8"/>
      <c r="FPK153" s="45"/>
      <c r="FPL153" s="45"/>
      <c r="FPM153" s="46"/>
      <c r="FPN153" s="44"/>
      <c r="FPO153" s="7"/>
      <c r="FPP153" s="51"/>
      <c r="FPQ153" s="52"/>
      <c r="FPR153" s="53"/>
      <c r="FPS153" s="54"/>
      <c r="FPT153" s="52"/>
      <c r="FPU153" s="53"/>
      <c r="FPV153" s="54"/>
      <c r="FPW153" s="52"/>
      <c r="FPX153" s="53"/>
      <c r="FPY153" s="8"/>
      <c r="FPZ153" s="45"/>
      <c r="FQA153" s="45"/>
      <c r="FQB153" s="46"/>
      <c r="FQC153" s="44"/>
      <c r="FQD153" s="7"/>
      <c r="FQE153" s="51"/>
      <c r="FQF153" s="52"/>
      <c r="FQG153" s="53"/>
      <c r="FQH153" s="54"/>
      <c r="FQI153" s="52"/>
      <c r="FQJ153" s="53"/>
      <c r="FQK153" s="54"/>
      <c r="FQL153" s="52"/>
      <c r="FQM153" s="53"/>
      <c r="FQN153" s="8"/>
      <c r="FQO153" s="45"/>
      <c r="FQP153" s="45"/>
      <c r="FQQ153" s="46"/>
      <c r="FQR153" s="44"/>
      <c r="FQS153" s="7"/>
      <c r="FQT153" s="51"/>
      <c r="FQU153" s="52"/>
      <c r="FQV153" s="53"/>
      <c r="FQW153" s="54"/>
      <c r="FQX153" s="52"/>
      <c r="FQY153" s="53"/>
      <c r="FQZ153" s="54"/>
      <c r="FRA153" s="52"/>
      <c r="FRB153" s="53"/>
      <c r="FRC153" s="8"/>
      <c r="FRD153" s="45"/>
      <c r="FRE153" s="45"/>
      <c r="FRF153" s="46"/>
      <c r="FRG153" s="44"/>
      <c r="FRH153" s="7"/>
      <c r="FRI153" s="51"/>
      <c r="FRJ153" s="52"/>
      <c r="FRK153" s="53"/>
      <c r="FRL153" s="54"/>
      <c r="FRM153" s="52"/>
      <c r="FRN153" s="53"/>
      <c r="FRO153" s="54"/>
      <c r="FRP153" s="52"/>
      <c r="FRQ153" s="53"/>
      <c r="FRR153" s="8"/>
      <c r="FRS153" s="45"/>
      <c r="FRT153" s="45"/>
      <c r="FRU153" s="46"/>
      <c r="FRV153" s="44"/>
      <c r="FRW153" s="7"/>
      <c r="FRX153" s="51"/>
      <c r="FRY153" s="52"/>
      <c r="FRZ153" s="53"/>
      <c r="FSA153" s="54"/>
      <c r="FSB153" s="52"/>
      <c r="FSC153" s="53"/>
      <c r="FSD153" s="54"/>
      <c r="FSE153" s="52"/>
      <c r="FSF153" s="53"/>
      <c r="FSG153" s="8"/>
      <c r="FSH153" s="45"/>
      <c r="FSI153" s="45"/>
      <c r="FSJ153" s="46"/>
      <c r="FSK153" s="44"/>
      <c r="FSL153" s="7"/>
      <c r="FSM153" s="51"/>
      <c r="FSN153" s="52"/>
      <c r="FSO153" s="53"/>
      <c r="FSP153" s="54"/>
      <c r="FSQ153" s="52"/>
      <c r="FSR153" s="53"/>
      <c r="FSS153" s="54"/>
      <c r="FST153" s="52"/>
      <c r="FSU153" s="53"/>
      <c r="FSV153" s="8"/>
      <c r="FSW153" s="45"/>
      <c r="FSX153" s="45"/>
      <c r="FSY153" s="46"/>
      <c r="FSZ153" s="44"/>
      <c r="FTA153" s="7"/>
      <c r="FTB153" s="51"/>
      <c r="FTC153" s="52"/>
      <c r="FTD153" s="53"/>
      <c r="FTE153" s="54"/>
      <c r="FTF153" s="52"/>
      <c r="FTG153" s="53"/>
      <c r="FTH153" s="54"/>
      <c r="FTI153" s="52"/>
      <c r="FTJ153" s="53"/>
      <c r="FTK153" s="8"/>
      <c r="FTL153" s="45"/>
      <c r="FTM153" s="45"/>
      <c r="FTN153" s="46"/>
      <c r="FTO153" s="44"/>
      <c r="FTP153" s="7"/>
      <c r="FTQ153" s="51"/>
      <c r="FTR153" s="52"/>
      <c r="FTS153" s="53"/>
      <c r="FTT153" s="54"/>
      <c r="FTU153" s="52"/>
      <c r="FTV153" s="53"/>
      <c r="FTW153" s="54"/>
      <c r="FTX153" s="52"/>
      <c r="FTY153" s="53"/>
      <c r="FTZ153" s="8"/>
      <c r="FUA153" s="45"/>
      <c r="FUB153" s="45"/>
      <c r="FUC153" s="46"/>
      <c r="FUD153" s="44"/>
      <c r="FUE153" s="7"/>
      <c r="FUF153" s="51"/>
      <c r="FUG153" s="52"/>
      <c r="FUH153" s="53"/>
      <c r="FUI153" s="54"/>
      <c r="FUJ153" s="52"/>
      <c r="FUK153" s="53"/>
      <c r="FUL153" s="54"/>
      <c r="FUM153" s="52"/>
      <c r="FUN153" s="53"/>
      <c r="FUO153" s="8"/>
      <c r="FUP153" s="45"/>
      <c r="FUQ153" s="45"/>
      <c r="FUR153" s="46"/>
      <c r="FUS153" s="44"/>
      <c r="FUT153" s="7"/>
      <c r="FUU153" s="51"/>
      <c r="FUV153" s="52"/>
      <c r="FUW153" s="53"/>
      <c r="FUX153" s="54"/>
      <c r="FUY153" s="52"/>
      <c r="FUZ153" s="53"/>
      <c r="FVA153" s="54"/>
      <c r="FVB153" s="52"/>
      <c r="FVC153" s="53"/>
      <c r="FVD153" s="8"/>
      <c r="FVE153" s="45"/>
      <c r="FVF153" s="45"/>
      <c r="FVG153" s="46"/>
      <c r="FVH153" s="44"/>
      <c r="FVI153" s="7"/>
      <c r="FVJ153" s="51"/>
      <c r="FVK153" s="52"/>
      <c r="FVL153" s="53"/>
      <c r="FVM153" s="54"/>
      <c r="FVN153" s="52"/>
      <c r="FVO153" s="53"/>
      <c r="FVP153" s="54"/>
      <c r="FVQ153" s="52"/>
      <c r="FVR153" s="53"/>
      <c r="FVS153" s="8"/>
      <c r="FVT153" s="45"/>
      <c r="FVU153" s="45"/>
      <c r="FVV153" s="46"/>
      <c r="FVW153" s="44"/>
      <c r="FVX153" s="7"/>
      <c r="FVY153" s="51"/>
      <c r="FVZ153" s="52"/>
      <c r="FWA153" s="53"/>
      <c r="FWB153" s="54"/>
      <c r="FWC153" s="52"/>
      <c r="FWD153" s="53"/>
      <c r="FWE153" s="54"/>
      <c r="FWF153" s="52"/>
      <c r="FWG153" s="53"/>
      <c r="FWH153" s="8"/>
      <c r="FWI153" s="45"/>
      <c r="FWJ153" s="45"/>
      <c r="FWK153" s="46"/>
      <c r="FWL153" s="44"/>
      <c r="FWM153" s="7"/>
      <c r="FWN153" s="51"/>
      <c r="FWO153" s="52"/>
      <c r="FWP153" s="53"/>
      <c r="FWQ153" s="54"/>
      <c r="FWR153" s="52"/>
      <c r="FWS153" s="53"/>
      <c r="FWT153" s="54"/>
      <c r="FWU153" s="52"/>
      <c r="FWV153" s="53"/>
      <c r="FWW153" s="8"/>
      <c r="FWX153" s="45"/>
      <c r="FWY153" s="45"/>
      <c r="FWZ153" s="46"/>
      <c r="FXA153" s="44"/>
      <c r="FXB153" s="7"/>
      <c r="FXC153" s="51"/>
      <c r="FXD153" s="52"/>
      <c r="FXE153" s="53"/>
      <c r="FXF153" s="54"/>
      <c r="FXG153" s="52"/>
      <c r="FXH153" s="53"/>
      <c r="FXI153" s="54"/>
      <c r="FXJ153" s="52"/>
      <c r="FXK153" s="53"/>
      <c r="FXL153" s="8"/>
      <c r="FXM153" s="45"/>
      <c r="FXN153" s="45"/>
      <c r="FXO153" s="46"/>
      <c r="FXP153" s="44"/>
      <c r="FXQ153" s="7"/>
      <c r="FXR153" s="51"/>
      <c r="FXS153" s="52"/>
      <c r="FXT153" s="53"/>
      <c r="FXU153" s="54"/>
      <c r="FXV153" s="52"/>
      <c r="FXW153" s="53"/>
      <c r="FXX153" s="54"/>
      <c r="FXY153" s="52"/>
      <c r="FXZ153" s="53"/>
      <c r="FYA153" s="8"/>
      <c r="FYB153" s="45"/>
      <c r="FYC153" s="45"/>
      <c r="FYD153" s="46"/>
      <c r="FYE153" s="44"/>
      <c r="FYF153" s="7"/>
      <c r="FYG153" s="51"/>
      <c r="FYH153" s="52"/>
      <c r="FYI153" s="53"/>
      <c r="FYJ153" s="54"/>
      <c r="FYK153" s="52"/>
      <c r="FYL153" s="53"/>
      <c r="FYM153" s="54"/>
      <c r="FYN153" s="52"/>
      <c r="FYO153" s="53"/>
      <c r="FYP153" s="8"/>
      <c r="FYQ153" s="45"/>
      <c r="FYR153" s="45"/>
      <c r="FYS153" s="46"/>
      <c r="FYT153" s="44"/>
      <c r="FYU153" s="7"/>
      <c r="FYV153" s="51"/>
      <c r="FYW153" s="52"/>
      <c r="FYX153" s="53"/>
      <c r="FYY153" s="54"/>
      <c r="FYZ153" s="52"/>
      <c r="FZA153" s="53"/>
      <c r="FZB153" s="54"/>
      <c r="FZC153" s="52"/>
      <c r="FZD153" s="53"/>
      <c r="FZE153" s="8"/>
      <c r="FZF153" s="45"/>
      <c r="FZG153" s="45"/>
      <c r="FZH153" s="46"/>
      <c r="FZI153" s="44"/>
      <c r="FZJ153" s="7"/>
      <c r="FZK153" s="51"/>
      <c r="FZL153" s="52"/>
      <c r="FZM153" s="53"/>
      <c r="FZN153" s="54"/>
      <c r="FZO153" s="52"/>
      <c r="FZP153" s="53"/>
      <c r="FZQ153" s="54"/>
      <c r="FZR153" s="52"/>
      <c r="FZS153" s="53"/>
      <c r="FZT153" s="8"/>
      <c r="FZU153" s="45"/>
      <c r="FZV153" s="45"/>
      <c r="FZW153" s="46"/>
      <c r="FZX153" s="44"/>
      <c r="FZY153" s="7"/>
      <c r="FZZ153" s="51"/>
      <c r="GAA153" s="52"/>
      <c r="GAB153" s="53"/>
      <c r="GAC153" s="54"/>
      <c r="GAD153" s="52"/>
      <c r="GAE153" s="53"/>
      <c r="GAF153" s="54"/>
      <c r="GAG153" s="52"/>
      <c r="GAH153" s="53"/>
      <c r="GAI153" s="8"/>
      <c r="GAJ153" s="45"/>
      <c r="GAK153" s="45"/>
      <c r="GAL153" s="46"/>
      <c r="GAM153" s="44"/>
      <c r="GAN153" s="7"/>
      <c r="GAO153" s="51"/>
      <c r="GAP153" s="52"/>
      <c r="GAQ153" s="53"/>
      <c r="GAR153" s="54"/>
      <c r="GAS153" s="52"/>
      <c r="GAT153" s="53"/>
      <c r="GAU153" s="54"/>
      <c r="GAV153" s="52"/>
      <c r="GAW153" s="53"/>
      <c r="GAX153" s="8"/>
      <c r="GAY153" s="45"/>
      <c r="GAZ153" s="45"/>
      <c r="GBA153" s="46"/>
      <c r="GBB153" s="44"/>
      <c r="GBC153" s="7"/>
      <c r="GBD153" s="51"/>
      <c r="GBE153" s="52"/>
      <c r="GBF153" s="53"/>
      <c r="GBG153" s="54"/>
      <c r="GBH153" s="52"/>
      <c r="GBI153" s="53"/>
      <c r="GBJ153" s="54"/>
      <c r="GBK153" s="52"/>
      <c r="GBL153" s="53"/>
      <c r="GBM153" s="8"/>
      <c r="GBN153" s="45"/>
      <c r="GBO153" s="45"/>
      <c r="GBP153" s="46"/>
      <c r="GBQ153" s="44"/>
      <c r="GBR153" s="7"/>
      <c r="GBS153" s="51"/>
      <c r="GBT153" s="52"/>
      <c r="GBU153" s="53"/>
      <c r="GBV153" s="54"/>
      <c r="GBW153" s="52"/>
      <c r="GBX153" s="53"/>
      <c r="GBY153" s="54"/>
      <c r="GBZ153" s="52"/>
      <c r="GCA153" s="53"/>
      <c r="GCB153" s="8"/>
      <c r="GCC153" s="45"/>
      <c r="GCD153" s="45"/>
      <c r="GCE153" s="46"/>
      <c r="GCF153" s="44"/>
      <c r="GCG153" s="7"/>
      <c r="GCH153" s="51"/>
      <c r="GCI153" s="52"/>
      <c r="GCJ153" s="53"/>
      <c r="GCK153" s="54"/>
      <c r="GCL153" s="52"/>
      <c r="GCM153" s="53"/>
      <c r="GCN153" s="54"/>
      <c r="GCO153" s="52"/>
      <c r="GCP153" s="53"/>
      <c r="GCQ153" s="8"/>
      <c r="GCR153" s="45"/>
      <c r="GCS153" s="45"/>
      <c r="GCT153" s="46"/>
      <c r="GCU153" s="44"/>
      <c r="GCV153" s="7"/>
      <c r="GCW153" s="51"/>
      <c r="GCX153" s="52"/>
      <c r="GCY153" s="53"/>
      <c r="GCZ153" s="54"/>
      <c r="GDA153" s="52"/>
      <c r="GDB153" s="53"/>
      <c r="GDC153" s="54"/>
      <c r="GDD153" s="52"/>
      <c r="GDE153" s="53"/>
      <c r="GDF153" s="8"/>
      <c r="GDG153" s="45"/>
      <c r="GDH153" s="45"/>
      <c r="GDI153" s="46"/>
      <c r="GDJ153" s="44"/>
      <c r="GDK153" s="7"/>
      <c r="GDL153" s="51"/>
      <c r="GDM153" s="52"/>
      <c r="GDN153" s="53"/>
      <c r="GDO153" s="54"/>
      <c r="GDP153" s="52"/>
      <c r="GDQ153" s="53"/>
      <c r="GDR153" s="54"/>
      <c r="GDS153" s="52"/>
      <c r="GDT153" s="53"/>
      <c r="GDU153" s="8"/>
      <c r="GDV153" s="45"/>
      <c r="GDW153" s="45"/>
      <c r="GDX153" s="46"/>
      <c r="GDY153" s="44"/>
      <c r="GDZ153" s="7"/>
      <c r="GEA153" s="51"/>
      <c r="GEB153" s="52"/>
      <c r="GEC153" s="53"/>
      <c r="GED153" s="54"/>
      <c r="GEE153" s="52"/>
      <c r="GEF153" s="53"/>
      <c r="GEG153" s="54"/>
      <c r="GEH153" s="52"/>
      <c r="GEI153" s="53"/>
      <c r="GEJ153" s="8"/>
      <c r="GEK153" s="45"/>
      <c r="GEL153" s="45"/>
      <c r="GEM153" s="46"/>
      <c r="GEN153" s="44"/>
      <c r="GEO153" s="7"/>
      <c r="GEP153" s="51"/>
      <c r="GEQ153" s="52"/>
      <c r="GER153" s="53"/>
      <c r="GES153" s="54"/>
      <c r="GET153" s="52"/>
      <c r="GEU153" s="53"/>
      <c r="GEV153" s="54"/>
      <c r="GEW153" s="52"/>
      <c r="GEX153" s="53"/>
      <c r="GEY153" s="8"/>
      <c r="GEZ153" s="45"/>
      <c r="GFA153" s="45"/>
      <c r="GFB153" s="46"/>
      <c r="GFC153" s="44"/>
      <c r="GFD153" s="7"/>
      <c r="GFE153" s="51"/>
      <c r="GFF153" s="52"/>
      <c r="GFG153" s="53"/>
      <c r="GFH153" s="54"/>
      <c r="GFI153" s="52"/>
      <c r="GFJ153" s="53"/>
      <c r="GFK153" s="54"/>
      <c r="GFL153" s="52"/>
      <c r="GFM153" s="53"/>
      <c r="GFN153" s="8"/>
      <c r="GFO153" s="45"/>
      <c r="GFP153" s="45"/>
      <c r="GFQ153" s="46"/>
      <c r="GFR153" s="44"/>
      <c r="GFS153" s="7"/>
      <c r="GFT153" s="51"/>
      <c r="GFU153" s="52"/>
      <c r="GFV153" s="53"/>
      <c r="GFW153" s="54"/>
      <c r="GFX153" s="52"/>
      <c r="GFY153" s="53"/>
      <c r="GFZ153" s="54"/>
      <c r="GGA153" s="52"/>
      <c r="GGB153" s="53"/>
      <c r="GGC153" s="8"/>
      <c r="GGD153" s="45"/>
      <c r="GGE153" s="45"/>
      <c r="GGF153" s="46"/>
      <c r="GGG153" s="44"/>
      <c r="GGH153" s="7"/>
      <c r="GGI153" s="51"/>
      <c r="GGJ153" s="52"/>
      <c r="GGK153" s="53"/>
      <c r="GGL153" s="54"/>
      <c r="GGM153" s="52"/>
      <c r="GGN153" s="53"/>
      <c r="GGO153" s="54"/>
      <c r="GGP153" s="52"/>
      <c r="GGQ153" s="53"/>
      <c r="GGR153" s="8"/>
      <c r="GGS153" s="45"/>
      <c r="GGT153" s="45"/>
      <c r="GGU153" s="46"/>
      <c r="GGV153" s="44"/>
      <c r="GGW153" s="7"/>
      <c r="GGX153" s="51"/>
      <c r="GGY153" s="52"/>
      <c r="GGZ153" s="53"/>
      <c r="GHA153" s="54"/>
      <c r="GHB153" s="52"/>
      <c r="GHC153" s="53"/>
      <c r="GHD153" s="54"/>
      <c r="GHE153" s="52"/>
      <c r="GHF153" s="53"/>
      <c r="GHG153" s="8"/>
      <c r="GHH153" s="45"/>
      <c r="GHI153" s="45"/>
      <c r="GHJ153" s="46"/>
      <c r="GHK153" s="44"/>
      <c r="GHL153" s="7"/>
      <c r="GHM153" s="51"/>
      <c r="GHN153" s="52"/>
      <c r="GHO153" s="53"/>
      <c r="GHP153" s="54"/>
      <c r="GHQ153" s="52"/>
      <c r="GHR153" s="53"/>
      <c r="GHS153" s="54"/>
      <c r="GHT153" s="52"/>
      <c r="GHU153" s="53"/>
      <c r="GHV153" s="8"/>
      <c r="GHW153" s="45"/>
      <c r="GHX153" s="45"/>
      <c r="GHY153" s="46"/>
      <c r="GHZ153" s="44"/>
      <c r="GIA153" s="7"/>
      <c r="GIB153" s="51"/>
      <c r="GIC153" s="52"/>
      <c r="GID153" s="53"/>
      <c r="GIE153" s="54"/>
      <c r="GIF153" s="52"/>
      <c r="GIG153" s="53"/>
      <c r="GIH153" s="54"/>
      <c r="GII153" s="52"/>
      <c r="GIJ153" s="53"/>
      <c r="GIK153" s="8"/>
      <c r="GIL153" s="45"/>
      <c r="GIM153" s="45"/>
      <c r="GIN153" s="46"/>
      <c r="GIO153" s="44"/>
      <c r="GIP153" s="7"/>
      <c r="GIQ153" s="51"/>
      <c r="GIR153" s="52"/>
      <c r="GIS153" s="53"/>
      <c r="GIT153" s="54"/>
      <c r="GIU153" s="52"/>
      <c r="GIV153" s="53"/>
      <c r="GIW153" s="54"/>
      <c r="GIX153" s="52"/>
      <c r="GIY153" s="53"/>
      <c r="GIZ153" s="8"/>
      <c r="GJA153" s="45"/>
      <c r="GJB153" s="45"/>
      <c r="GJC153" s="46"/>
      <c r="GJD153" s="44"/>
      <c r="GJE153" s="7"/>
      <c r="GJF153" s="51"/>
      <c r="GJG153" s="52"/>
      <c r="GJH153" s="53"/>
      <c r="GJI153" s="54"/>
      <c r="GJJ153" s="52"/>
      <c r="GJK153" s="53"/>
      <c r="GJL153" s="54"/>
      <c r="GJM153" s="52"/>
      <c r="GJN153" s="53"/>
      <c r="GJO153" s="8"/>
      <c r="GJP153" s="45"/>
      <c r="GJQ153" s="45"/>
      <c r="GJR153" s="46"/>
      <c r="GJS153" s="44"/>
      <c r="GJT153" s="7"/>
      <c r="GJU153" s="51"/>
      <c r="GJV153" s="52"/>
      <c r="GJW153" s="53"/>
      <c r="GJX153" s="54"/>
      <c r="GJY153" s="52"/>
      <c r="GJZ153" s="53"/>
      <c r="GKA153" s="54"/>
      <c r="GKB153" s="52"/>
      <c r="GKC153" s="53"/>
      <c r="GKD153" s="8"/>
      <c r="GKE153" s="45"/>
      <c r="GKF153" s="45"/>
      <c r="GKG153" s="46"/>
      <c r="GKH153" s="44"/>
      <c r="GKI153" s="7"/>
      <c r="GKJ153" s="51"/>
      <c r="GKK153" s="52"/>
      <c r="GKL153" s="53"/>
      <c r="GKM153" s="54"/>
      <c r="GKN153" s="52"/>
      <c r="GKO153" s="53"/>
      <c r="GKP153" s="54"/>
      <c r="GKQ153" s="52"/>
      <c r="GKR153" s="53"/>
      <c r="GKS153" s="8"/>
      <c r="GKT153" s="45"/>
      <c r="GKU153" s="45"/>
      <c r="GKV153" s="46"/>
      <c r="GKW153" s="44"/>
      <c r="GKX153" s="7"/>
      <c r="GKY153" s="51"/>
      <c r="GKZ153" s="52"/>
      <c r="GLA153" s="53"/>
      <c r="GLB153" s="54"/>
      <c r="GLC153" s="52"/>
      <c r="GLD153" s="53"/>
      <c r="GLE153" s="54"/>
      <c r="GLF153" s="52"/>
      <c r="GLG153" s="53"/>
      <c r="GLH153" s="8"/>
      <c r="GLI153" s="45"/>
      <c r="GLJ153" s="45"/>
      <c r="GLK153" s="46"/>
      <c r="GLL153" s="44"/>
      <c r="GLM153" s="7"/>
      <c r="GLN153" s="51"/>
      <c r="GLO153" s="52"/>
      <c r="GLP153" s="53"/>
      <c r="GLQ153" s="54"/>
      <c r="GLR153" s="52"/>
      <c r="GLS153" s="53"/>
      <c r="GLT153" s="54"/>
      <c r="GLU153" s="52"/>
      <c r="GLV153" s="53"/>
      <c r="GLW153" s="8"/>
      <c r="GLX153" s="45"/>
      <c r="GLY153" s="45"/>
      <c r="GLZ153" s="46"/>
      <c r="GMA153" s="44"/>
      <c r="GMB153" s="7"/>
      <c r="GMC153" s="51"/>
      <c r="GMD153" s="52"/>
      <c r="GME153" s="53"/>
      <c r="GMF153" s="54"/>
      <c r="GMG153" s="52"/>
      <c r="GMH153" s="53"/>
      <c r="GMI153" s="54"/>
      <c r="GMJ153" s="52"/>
      <c r="GMK153" s="53"/>
      <c r="GML153" s="8"/>
      <c r="GMM153" s="45"/>
      <c r="GMN153" s="45"/>
      <c r="GMO153" s="46"/>
      <c r="GMP153" s="44"/>
      <c r="GMQ153" s="7"/>
      <c r="GMR153" s="51"/>
      <c r="GMS153" s="52"/>
      <c r="GMT153" s="53"/>
      <c r="GMU153" s="54"/>
      <c r="GMV153" s="52"/>
      <c r="GMW153" s="53"/>
      <c r="GMX153" s="54"/>
      <c r="GMY153" s="52"/>
      <c r="GMZ153" s="53"/>
      <c r="GNA153" s="8"/>
      <c r="GNB153" s="45"/>
      <c r="GNC153" s="45"/>
      <c r="GND153" s="46"/>
      <c r="GNE153" s="44"/>
      <c r="GNF153" s="7"/>
      <c r="GNG153" s="51"/>
      <c r="GNH153" s="52"/>
      <c r="GNI153" s="53"/>
      <c r="GNJ153" s="54"/>
      <c r="GNK153" s="52"/>
      <c r="GNL153" s="53"/>
      <c r="GNM153" s="54"/>
      <c r="GNN153" s="52"/>
      <c r="GNO153" s="53"/>
      <c r="GNP153" s="8"/>
      <c r="GNQ153" s="45"/>
      <c r="GNR153" s="45"/>
      <c r="GNS153" s="46"/>
      <c r="GNT153" s="44"/>
      <c r="GNU153" s="7"/>
      <c r="GNV153" s="51"/>
      <c r="GNW153" s="52"/>
      <c r="GNX153" s="53"/>
      <c r="GNY153" s="54"/>
      <c r="GNZ153" s="52"/>
      <c r="GOA153" s="53"/>
      <c r="GOB153" s="54"/>
      <c r="GOC153" s="52"/>
      <c r="GOD153" s="53"/>
      <c r="GOE153" s="8"/>
      <c r="GOF153" s="45"/>
      <c r="GOG153" s="45"/>
      <c r="GOH153" s="46"/>
      <c r="GOI153" s="44"/>
      <c r="GOJ153" s="7"/>
      <c r="GOK153" s="51"/>
      <c r="GOL153" s="52"/>
      <c r="GOM153" s="53"/>
      <c r="GON153" s="54"/>
      <c r="GOO153" s="52"/>
      <c r="GOP153" s="53"/>
      <c r="GOQ153" s="54"/>
      <c r="GOR153" s="52"/>
      <c r="GOS153" s="53"/>
      <c r="GOT153" s="8"/>
      <c r="GOU153" s="45"/>
      <c r="GOV153" s="45"/>
      <c r="GOW153" s="46"/>
      <c r="GOX153" s="44"/>
      <c r="GOY153" s="7"/>
      <c r="GOZ153" s="51"/>
      <c r="GPA153" s="52"/>
      <c r="GPB153" s="53"/>
      <c r="GPC153" s="54"/>
      <c r="GPD153" s="52"/>
      <c r="GPE153" s="53"/>
      <c r="GPF153" s="54"/>
      <c r="GPG153" s="52"/>
      <c r="GPH153" s="53"/>
      <c r="GPI153" s="8"/>
      <c r="GPJ153" s="45"/>
      <c r="GPK153" s="45"/>
      <c r="GPL153" s="46"/>
      <c r="GPM153" s="44"/>
      <c r="GPN153" s="7"/>
      <c r="GPO153" s="51"/>
      <c r="GPP153" s="52"/>
      <c r="GPQ153" s="53"/>
      <c r="GPR153" s="54"/>
      <c r="GPS153" s="52"/>
      <c r="GPT153" s="53"/>
      <c r="GPU153" s="54"/>
      <c r="GPV153" s="52"/>
      <c r="GPW153" s="53"/>
      <c r="GPX153" s="8"/>
      <c r="GPY153" s="45"/>
      <c r="GPZ153" s="45"/>
      <c r="GQA153" s="46"/>
      <c r="GQB153" s="44"/>
      <c r="GQC153" s="7"/>
      <c r="GQD153" s="51"/>
      <c r="GQE153" s="52"/>
      <c r="GQF153" s="53"/>
      <c r="GQG153" s="54"/>
      <c r="GQH153" s="52"/>
      <c r="GQI153" s="53"/>
      <c r="GQJ153" s="54"/>
      <c r="GQK153" s="52"/>
      <c r="GQL153" s="53"/>
      <c r="GQM153" s="8"/>
      <c r="GQN153" s="45"/>
      <c r="GQO153" s="45"/>
      <c r="GQP153" s="46"/>
      <c r="GQQ153" s="44"/>
      <c r="GQR153" s="7"/>
      <c r="GQS153" s="51"/>
      <c r="GQT153" s="52"/>
      <c r="GQU153" s="53"/>
      <c r="GQV153" s="54"/>
      <c r="GQW153" s="52"/>
      <c r="GQX153" s="53"/>
      <c r="GQY153" s="54"/>
      <c r="GQZ153" s="52"/>
      <c r="GRA153" s="53"/>
      <c r="GRB153" s="8"/>
      <c r="GRC153" s="45"/>
      <c r="GRD153" s="45"/>
      <c r="GRE153" s="46"/>
      <c r="GRF153" s="44"/>
      <c r="GRG153" s="7"/>
      <c r="GRH153" s="51"/>
      <c r="GRI153" s="52"/>
      <c r="GRJ153" s="53"/>
      <c r="GRK153" s="54"/>
      <c r="GRL153" s="52"/>
      <c r="GRM153" s="53"/>
      <c r="GRN153" s="54"/>
      <c r="GRO153" s="52"/>
      <c r="GRP153" s="53"/>
      <c r="GRQ153" s="8"/>
      <c r="GRR153" s="45"/>
      <c r="GRS153" s="45"/>
      <c r="GRT153" s="46"/>
      <c r="GRU153" s="44"/>
      <c r="GRV153" s="7"/>
      <c r="GRW153" s="51"/>
      <c r="GRX153" s="52"/>
      <c r="GRY153" s="53"/>
      <c r="GRZ153" s="54"/>
      <c r="GSA153" s="52"/>
      <c r="GSB153" s="53"/>
      <c r="GSC153" s="54"/>
      <c r="GSD153" s="52"/>
      <c r="GSE153" s="53"/>
      <c r="GSF153" s="8"/>
      <c r="GSG153" s="45"/>
      <c r="GSH153" s="45"/>
      <c r="GSI153" s="46"/>
      <c r="GSJ153" s="44"/>
      <c r="GSK153" s="7"/>
      <c r="GSL153" s="51"/>
      <c r="GSM153" s="52"/>
      <c r="GSN153" s="53"/>
      <c r="GSO153" s="54"/>
      <c r="GSP153" s="52"/>
      <c r="GSQ153" s="53"/>
      <c r="GSR153" s="54"/>
      <c r="GSS153" s="52"/>
      <c r="GST153" s="53"/>
      <c r="GSU153" s="8"/>
      <c r="GSV153" s="45"/>
      <c r="GSW153" s="45"/>
      <c r="GSX153" s="46"/>
      <c r="GSY153" s="44"/>
      <c r="GSZ153" s="7"/>
      <c r="GTA153" s="51"/>
      <c r="GTB153" s="52"/>
      <c r="GTC153" s="53"/>
      <c r="GTD153" s="54"/>
      <c r="GTE153" s="52"/>
      <c r="GTF153" s="53"/>
      <c r="GTG153" s="54"/>
      <c r="GTH153" s="52"/>
      <c r="GTI153" s="53"/>
      <c r="GTJ153" s="8"/>
      <c r="GTK153" s="45"/>
      <c r="GTL153" s="45"/>
      <c r="GTM153" s="46"/>
      <c r="GTN153" s="44"/>
      <c r="GTO153" s="7"/>
      <c r="GTP153" s="51"/>
      <c r="GTQ153" s="52"/>
      <c r="GTR153" s="53"/>
      <c r="GTS153" s="54"/>
      <c r="GTT153" s="52"/>
      <c r="GTU153" s="53"/>
      <c r="GTV153" s="54"/>
      <c r="GTW153" s="52"/>
      <c r="GTX153" s="53"/>
      <c r="GTY153" s="8"/>
      <c r="GTZ153" s="45"/>
      <c r="GUA153" s="45"/>
      <c r="GUB153" s="46"/>
      <c r="GUC153" s="44"/>
      <c r="GUD153" s="7"/>
      <c r="GUE153" s="51"/>
      <c r="GUF153" s="52"/>
      <c r="GUG153" s="53"/>
      <c r="GUH153" s="54"/>
      <c r="GUI153" s="52"/>
      <c r="GUJ153" s="53"/>
      <c r="GUK153" s="54"/>
      <c r="GUL153" s="52"/>
      <c r="GUM153" s="53"/>
      <c r="GUN153" s="8"/>
      <c r="GUO153" s="45"/>
      <c r="GUP153" s="45"/>
      <c r="GUQ153" s="46"/>
      <c r="GUR153" s="44"/>
      <c r="GUS153" s="7"/>
      <c r="GUT153" s="51"/>
      <c r="GUU153" s="52"/>
      <c r="GUV153" s="53"/>
      <c r="GUW153" s="54"/>
      <c r="GUX153" s="52"/>
      <c r="GUY153" s="53"/>
      <c r="GUZ153" s="54"/>
      <c r="GVA153" s="52"/>
      <c r="GVB153" s="53"/>
      <c r="GVC153" s="8"/>
      <c r="GVD153" s="45"/>
      <c r="GVE153" s="45"/>
      <c r="GVF153" s="46"/>
      <c r="GVG153" s="44"/>
      <c r="GVH153" s="7"/>
      <c r="GVI153" s="51"/>
      <c r="GVJ153" s="52"/>
      <c r="GVK153" s="53"/>
      <c r="GVL153" s="54"/>
      <c r="GVM153" s="52"/>
      <c r="GVN153" s="53"/>
      <c r="GVO153" s="54"/>
      <c r="GVP153" s="52"/>
      <c r="GVQ153" s="53"/>
      <c r="GVR153" s="8"/>
      <c r="GVS153" s="45"/>
      <c r="GVT153" s="45"/>
      <c r="GVU153" s="46"/>
      <c r="GVV153" s="44"/>
      <c r="GVW153" s="7"/>
      <c r="GVX153" s="51"/>
      <c r="GVY153" s="52"/>
      <c r="GVZ153" s="53"/>
      <c r="GWA153" s="54"/>
      <c r="GWB153" s="52"/>
      <c r="GWC153" s="53"/>
      <c r="GWD153" s="54"/>
      <c r="GWE153" s="52"/>
      <c r="GWF153" s="53"/>
      <c r="GWG153" s="8"/>
      <c r="GWH153" s="45"/>
      <c r="GWI153" s="45"/>
      <c r="GWJ153" s="46"/>
      <c r="GWK153" s="44"/>
      <c r="GWL153" s="7"/>
      <c r="GWM153" s="51"/>
      <c r="GWN153" s="52"/>
      <c r="GWO153" s="53"/>
      <c r="GWP153" s="54"/>
      <c r="GWQ153" s="52"/>
      <c r="GWR153" s="53"/>
      <c r="GWS153" s="54"/>
      <c r="GWT153" s="52"/>
      <c r="GWU153" s="53"/>
      <c r="GWV153" s="8"/>
      <c r="GWW153" s="45"/>
      <c r="GWX153" s="45"/>
      <c r="GWY153" s="46"/>
      <c r="GWZ153" s="44"/>
      <c r="GXA153" s="7"/>
      <c r="GXB153" s="51"/>
      <c r="GXC153" s="52"/>
      <c r="GXD153" s="53"/>
      <c r="GXE153" s="54"/>
      <c r="GXF153" s="52"/>
      <c r="GXG153" s="53"/>
      <c r="GXH153" s="54"/>
      <c r="GXI153" s="52"/>
      <c r="GXJ153" s="53"/>
      <c r="GXK153" s="8"/>
      <c r="GXL153" s="45"/>
      <c r="GXM153" s="45"/>
      <c r="GXN153" s="46"/>
      <c r="GXO153" s="44"/>
      <c r="GXP153" s="7"/>
      <c r="GXQ153" s="51"/>
      <c r="GXR153" s="52"/>
      <c r="GXS153" s="53"/>
      <c r="GXT153" s="54"/>
      <c r="GXU153" s="52"/>
      <c r="GXV153" s="53"/>
      <c r="GXW153" s="54"/>
      <c r="GXX153" s="52"/>
      <c r="GXY153" s="53"/>
      <c r="GXZ153" s="8"/>
      <c r="GYA153" s="45"/>
      <c r="GYB153" s="45"/>
      <c r="GYC153" s="46"/>
      <c r="GYD153" s="44"/>
      <c r="GYE153" s="7"/>
      <c r="GYF153" s="51"/>
      <c r="GYG153" s="52"/>
      <c r="GYH153" s="53"/>
      <c r="GYI153" s="54"/>
      <c r="GYJ153" s="52"/>
      <c r="GYK153" s="53"/>
      <c r="GYL153" s="54"/>
      <c r="GYM153" s="52"/>
      <c r="GYN153" s="53"/>
      <c r="GYO153" s="8"/>
      <c r="GYP153" s="45"/>
      <c r="GYQ153" s="45"/>
      <c r="GYR153" s="46"/>
      <c r="GYS153" s="44"/>
      <c r="GYT153" s="7"/>
      <c r="GYU153" s="51"/>
      <c r="GYV153" s="52"/>
      <c r="GYW153" s="53"/>
      <c r="GYX153" s="54"/>
      <c r="GYY153" s="52"/>
      <c r="GYZ153" s="53"/>
      <c r="GZA153" s="54"/>
      <c r="GZB153" s="52"/>
      <c r="GZC153" s="53"/>
      <c r="GZD153" s="8"/>
      <c r="GZE153" s="45"/>
      <c r="GZF153" s="45"/>
      <c r="GZG153" s="46"/>
      <c r="GZH153" s="44"/>
      <c r="GZI153" s="7"/>
      <c r="GZJ153" s="51"/>
      <c r="GZK153" s="52"/>
      <c r="GZL153" s="53"/>
      <c r="GZM153" s="54"/>
      <c r="GZN153" s="52"/>
      <c r="GZO153" s="53"/>
      <c r="GZP153" s="54"/>
      <c r="GZQ153" s="52"/>
      <c r="GZR153" s="53"/>
      <c r="GZS153" s="8"/>
      <c r="GZT153" s="45"/>
      <c r="GZU153" s="45"/>
      <c r="GZV153" s="46"/>
      <c r="GZW153" s="44"/>
      <c r="GZX153" s="7"/>
      <c r="GZY153" s="51"/>
      <c r="GZZ153" s="52"/>
      <c r="HAA153" s="53"/>
      <c r="HAB153" s="54"/>
      <c r="HAC153" s="52"/>
      <c r="HAD153" s="53"/>
      <c r="HAE153" s="54"/>
      <c r="HAF153" s="52"/>
      <c r="HAG153" s="53"/>
      <c r="HAH153" s="8"/>
      <c r="HAI153" s="45"/>
      <c r="HAJ153" s="45"/>
      <c r="HAK153" s="46"/>
      <c r="HAL153" s="44"/>
      <c r="HAM153" s="7"/>
      <c r="HAN153" s="51"/>
      <c r="HAO153" s="52"/>
      <c r="HAP153" s="53"/>
      <c r="HAQ153" s="54"/>
      <c r="HAR153" s="52"/>
      <c r="HAS153" s="53"/>
      <c r="HAT153" s="54"/>
      <c r="HAU153" s="52"/>
      <c r="HAV153" s="53"/>
      <c r="HAW153" s="8"/>
      <c r="HAX153" s="45"/>
      <c r="HAY153" s="45"/>
      <c r="HAZ153" s="46"/>
      <c r="HBA153" s="44"/>
      <c r="HBB153" s="7"/>
      <c r="HBC153" s="51"/>
      <c r="HBD153" s="52"/>
      <c r="HBE153" s="53"/>
      <c r="HBF153" s="54"/>
      <c r="HBG153" s="52"/>
      <c r="HBH153" s="53"/>
      <c r="HBI153" s="54"/>
      <c r="HBJ153" s="52"/>
      <c r="HBK153" s="53"/>
      <c r="HBL153" s="8"/>
      <c r="HBM153" s="45"/>
      <c r="HBN153" s="45"/>
      <c r="HBO153" s="46"/>
      <c r="HBP153" s="44"/>
      <c r="HBQ153" s="7"/>
      <c r="HBR153" s="51"/>
      <c r="HBS153" s="52"/>
      <c r="HBT153" s="53"/>
      <c r="HBU153" s="54"/>
      <c r="HBV153" s="52"/>
      <c r="HBW153" s="53"/>
      <c r="HBX153" s="54"/>
      <c r="HBY153" s="52"/>
      <c r="HBZ153" s="53"/>
      <c r="HCA153" s="8"/>
      <c r="HCB153" s="45"/>
      <c r="HCC153" s="45"/>
      <c r="HCD153" s="46"/>
      <c r="HCE153" s="44"/>
      <c r="HCF153" s="7"/>
      <c r="HCG153" s="51"/>
      <c r="HCH153" s="52"/>
      <c r="HCI153" s="53"/>
      <c r="HCJ153" s="54"/>
      <c r="HCK153" s="52"/>
      <c r="HCL153" s="53"/>
      <c r="HCM153" s="54"/>
      <c r="HCN153" s="52"/>
      <c r="HCO153" s="53"/>
      <c r="HCP153" s="8"/>
      <c r="HCQ153" s="45"/>
      <c r="HCR153" s="45"/>
      <c r="HCS153" s="46"/>
      <c r="HCT153" s="44"/>
      <c r="HCU153" s="7"/>
      <c r="HCV153" s="51"/>
      <c r="HCW153" s="52"/>
      <c r="HCX153" s="53"/>
      <c r="HCY153" s="54"/>
      <c r="HCZ153" s="52"/>
      <c r="HDA153" s="53"/>
      <c r="HDB153" s="54"/>
      <c r="HDC153" s="52"/>
      <c r="HDD153" s="53"/>
      <c r="HDE153" s="8"/>
      <c r="HDF153" s="45"/>
      <c r="HDG153" s="45"/>
      <c r="HDH153" s="46"/>
      <c r="HDI153" s="44"/>
      <c r="HDJ153" s="7"/>
      <c r="HDK153" s="51"/>
      <c r="HDL153" s="52"/>
      <c r="HDM153" s="53"/>
      <c r="HDN153" s="54"/>
      <c r="HDO153" s="52"/>
      <c r="HDP153" s="53"/>
      <c r="HDQ153" s="54"/>
      <c r="HDR153" s="52"/>
      <c r="HDS153" s="53"/>
      <c r="HDT153" s="8"/>
      <c r="HDU153" s="45"/>
      <c r="HDV153" s="45"/>
      <c r="HDW153" s="46"/>
      <c r="HDX153" s="44"/>
      <c r="HDY153" s="7"/>
      <c r="HDZ153" s="51"/>
      <c r="HEA153" s="52"/>
      <c r="HEB153" s="53"/>
      <c r="HEC153" s="54"/>
      <c r="HED153" s="52"/>
      <c r="HEE153" s="53"/>
      <c r="HEF153" s="54"/>
      <c r="HEG153" s="52"/>
      <c r="HEH153" s="53"/>
      <c r="HEI153" s="8"/>
      <c r="HEJ153" s="45"/>
      <c r="HEK153" s="45"/>
      <c r="HEL153" s="46"/>
      <c r="HEM153" s="44"/>
      <c r="HEN153" s="7"/>
      <c r="HEO153" s="51"/>
      <c r="HEP153" s="52"/>
      <c r="HEQ153" s="53"/>
      <c r="HER153" s="54"/>
      <c r="HES153" s="52"/>
      <c r="HET153" s="53"/>
      <c r="HEU153" s="54"/>
      <c r="HEV153" s="52"/>
      <c r="HEW153" s="53"/>
      <c r="HEX153" s="8"/>
      <c r="HEY153" s="45"/>
      <c r="HEZ153" s="45"/>
      <c r="HFA153" s="46"/>
      <c r="HFB153" s="44"/>
      <c r="HFC153" s="7"/>
      <c r="HFD153" s="51"/>
      <c r="HFE153" s="52"/>
      <c r="HFF153" s="53"/>
      <c r="HFG153" s="54"/>
      <c r="HFH153" s="52"/>
      <c r="HFI153" s="53"/>
      <c r="HFJ153" s="54"/>
      <c r="HFK153" s="52"/>
      <c r="HFL153" s="53"/>
      <c r="HFM153" s="8"/>
      <c r="HFN153" s="45"/>
      <c r="HFO153" s="45"/>
      <c r="HFP153" s="46"/>
      <c r="HFQ153" s="44"/>
      <c r="HFR153" s="7"/>
      <c r="HFS153" s="51"/>
      <c r="HFT153" s="52"/>
      <c r="HFU153" s="53"/>
      <c r="HFV153" s="54"/>
      <c r="HFW153" s="52"/>
      <c r="HFX153" s="53"/>
      <c r="HFY153" s="54"/>
      <c r="HFZ153" s="52"/>
      <c r="HGA153" s="53"/>
      <c r="HGB153" s="8"/>
      <c r="HGC153" s="45"/>
      <c r="HGD153" s="45"/>
      <c r="HGE153" s="46"/>
      <c r="HGF153" s="44"/>
      <c r="HGG153" s="7"/>
      <c r="HGH153" s="51"/>
      <c r="HGI153" s="52"/>
      <c r="HGJ153" s="53"/>
      <c r="HGK153" s="54"/>
      <c r="HGL153" s="52"/>
      <c r="HGM153" s="53"/>
      <c r="HGN153" s="54"/>
      <c r="HGO153" s="52"/>
      <c r="HGP153" s="53"/>
      <c r="HGQ153" s="8"/>
      <c r="HGR153" s="45"/>
      <c r="HGS153" s="45"/>
      <c r="HGT153" s="46"/>
      <c r="HGU153" s="44"/>
      <c r="HGV153" s="7"/>
      <c r="HGW153" s="51"/>
      <c r="HGX153" s="52"/>
      <c r="HGY153" s="53"/>
      <c r="HGZ153" s="54"/>
      <c r="HHA153" s="52"/>
      <c r="HHB153" s="53"/>
      <c r="HHC153" s="54"/>
      <c r="HHD153" s="52"/>
      <c r="HHE153" s="53"/>
      <c r="HHF153" s="8"/>
      <c r="HHG153" s="45"/>
      <c r="HHH153" s="45"/>
      <c r="HHI153" s="46"/>
      <c r="HHJ153" s="44"/>
      <c r="HHK153" s="7"/>
      <c r="HHL153" s="51"/>
      <c r="HHM153" s="52"/>
      <c r="HHN153" s="53"/>
      <c r="HHO153" s="54"/>
      <c r="HHP153" s="52"/>
      <c r="HHQ153" s="53"/>
      <c r="HHR153" s="54"/>
      <c r="HHS153" s="52"/>
      <c r="HHT153" s="53"/>
      <c r="HHU153" s="8"/>
      <c r="HHV153" s="45"/>
      <c r="HHW153" s="45"/>
      <c r="HHX153" s="46"/>
      <c r="HHY153" s="44"/>
      <c r="HHZ153" s="7"/>
      <c r="HIA153" s="51"/>
      <c r="HIB153" s="52"/>
      <c r="HIC153" s="53"/>
      <c r="HID153" s="54"/>
      <c r="HIE153" s="52"/>
      <c r="HIF153" s="53"/>
      <c r="HIG153" s="54"/>
      <c r="HIH153" s="52"/>
      <c r="HII153" s="53"/>
      <c r="HIJ153" s="8"/>
      <c r="HIK153" s="45"/>
      <c r="HIL153" s="45"/>
      <c r="HIM153" s="46"/>
      <c r="HIN153" s="44"/>
      <c r="HIO153" s="7"/>
      <c r="HIP153" s="51"/>
      <c r="HIQ153" s="52"/>
      <c r="HIR153" s="53"/>
      <c r="HIS153" s="54"/>
      <c r="HIT153" s="52"/>
      <c r="HIU153" s="53"/>
      <c r="HIV153" s="54"/>
      <c r="HIW153" s="52"/>
      <c r="HIX153" s="53"/>
      <c r="HIY153" s="8"/>
      <c r="HIZ153" s="45"/>
      <c r="HJA153" s="45"/>
      <c r="HJB153" s="46"/>
      <c r="HJC153" s="44"/>
      <c r="HJD153" s="7"/>
      <c r="HJE153" s="51"/>
      <c r="HJF153" s="52"/>
      <c r="HJG153" s="53"/>
      <c r="HJH153" s="54"/>
      <c r="HJI153" s="52"/>
      <c r="HJJ153" s="53"/>
      <c r="HJK153" s="54"/>
      <c r="HJL153" s="52"/>
      <c r="HJM153" s="53"/>
      <c r="HJN153" s="8"/>
      <c r="HJO153" s="45"/>
      <c r="HJP153" s="45"/>
      <c r="HJQ153" s="46"/>
      <c r="HJR153" s="44"/>
      <c r="HJS153" s="7"/>
      <c r="HJT153" s="51"/>
      <c r="HJU153" s="52"/>
      <c r="HJV153" s="53"/>
      <c r="HJW153" s="54"/>
      <c r="HJX153" s="52"/>
      <c r="HJY153" s="53"/>
      <c r="HJZ153" s="54"/>
      <c r="HKA153" s="52"/>
      <c r="HKB153" s="53"/>
      <c r="HKC153" s="8"/>
      <c r="HKD153" s="45"/>
      <c r="HKE153" s="45"/>
      <c r="HKF153" s="46"/>
      <c r="HKG153" s="44"/>
      <c r="HKH153" s="7"/>
      <c r="HKI153" s="51"/>
      <c r="HKJ153" s="52"/>
      <c r="HKK153" s="53"/>
      <c r="HKL153" s="54"/>
      <c r="HKM153" s="52"/>
      <c r="HKN153" s="53"/>
      <c r="HKO153" s="54"/>
      <c r="HKP153" s="52"/>
      <c r="HKQ153" s="53"/>
      <c r="HKR153" s="8"/>
      <c r="HKS153" s="45"/>
      <c r="HKT153" s="45"/>
      <c r="HKU153" s="46"/>
      <c r="HKV153" s="44"/>
      <c r="HKW153" s="7"/>
      <c r="HKX153" s="51"/>
      <c r="HKY153" s="52"/>
      <c r="HKZ153" s="53"/>
      <c r="HLA153" s="54"/>
      <c r="HLB153" s="52"/>
      <c r="HLC153" s="53"/>
      <c r="HLD153" s="54"/>
      <c r="HLE153" s="52"/>
      <c r="HLF153" s="53"/>
      <c r="HLG153" s="8"/>
      <c r="HLH153" s="45"/>
      <c r="HLI153" s="45"/>
      <c r="HLJ153" s="46"/>
      <c r="HLK153" s="44"/>
      <c r="HLL153" s="7"/>
      <c r="HLM153" s="51"/>
      <c r="HLN153" s="52"/>
      <c r="HLO153" s="53"/>
      <c r="HLP153" s="54"/>
      <c r="HLQ153" s="52"/>
      <c r="HLR153" s="53"/>
      <c r="HLS153" s="54"/>
      <c r="HLT153" s="52"/>
      <c r="HLU153" s="53"/>
      <c r="HLV153" s="8"/>
      <c r="HLW153" s="45"/>
      <c r="HLX153" s="45"/>
      <c r="HLY153" s="46"/>
      <c r="HLZ153" s="44"/>
      <c r="HMA153" s="7"/>
      <c r="HMB153" s="51"/>
      <c r="HMC153" s="52"/>
      <c r="HMD153" s="53"/>
      <c r="HME153" s="54"/>
      <c r="HMF153" s="52"/>
      <c r="HMG153" s="53"/>
      <c r="HMH153" s="54"/>
      <c r="HMI153" s="52"/>
      <c r="HMJ153" s="53"/>
      <c r="HMK153" s="8"/>
      <c r="HML153" s="45"/>
      <c r="HMM153" s="45"/>
      <c r="HMN153" s="46"/>
      <c r="HMO153" s="44"/>
      <c r="HMP153" s="7"/>
      <c r="HMQ153" s="51"/>
      <c r="HMR153" s="52"/>
      <c r="HMS153" s="53"/>
      <c r="HMT153" s="54"/>
      <c r="HMU153" s="52"/>
      <c r="HMV153" s="53"/>
      <c r="HMW153" s="54"/>
      <c r="HMX153" s="52"/>
      <c r="HMY153" s="53"/>
      <c r="HMZ153" s="8"/>
      <c r="HNA153" s="45"/>
      <c r="HNB153" s="45"/>
      <c r="HNC153" s="46"/>
      <c r="HND153" s="44"/>
      <c r="HNE153" s="7"/>
      <c r="HNF153" s="51"/>
      <c r="HNG153" s="52"/>
      <c r="HNH153" s="53"/>
      <c r="HNI153" s="54"/>
      <c r="HNJ153" s="52"/>
      <c r="HNK153" s="53"/>
      <c r="HNL153" s="54"/>
      <c r="HNM153" s="52"/>
      <c r="HNN153" s="53"/>
      <c r="HNO153" s="8"/>
      <c r="HNP153" s="45"/>
      <c r="HNQ153" s="45"/>
      <c r="HNR153" s="46"/>
      <c r="HNS153" s="44"/>
      <c r="HNT153" s="7"/>
      <c r="HNU153" s="51"/>
      <c r="HNV153" s="52"/>
      <c r="HNW153" s="53"/>
      <c r="HNX153" s="54"/>
      <c r="HNY153" s="52"/>
      <c r="HNZ153" s="53"/>
      <c r="HOA153" s="54"/>
      <c r="HOB153" s="52"/>
      <c r="HOC153" s="53"/>
      <c r="HOD153" s="8"/>
      <c r="HOE153" s="45"/>
      <c r="HOF153" s="45"/>
      <c r="HOG153" s="46"/>
      <c r="HOH153" s="44"/>
      <c r="HOI153" s="7"/>
      <c r="HOJ153" s="51"/>
      <c r="HOK153" s="52"/>
      <c r="HOL153" s="53"/>
      <c r="HOM153" s="54"/>
      <c r="HON153" s="52"/>
      <c r="HOO153" s="53"/>
      <c r="HOP153" s="54"/>
      <c r="HOQ153" s="52"/>
      <c r="HOR153" s="53"/>
      <c r="HOS153" s="8"/>
      <c r="HOT153" s="45"/>
      <c r="HOU153" s="45"/>
      <c r="HOV153" s="46"/>
      <c r="HOW153" s="44"/>
      <c r="HOX153" s="7"/>
      <c r="HOY153" s="51"/>
      <c r="HOZ153" s="52"/>
      <c r="HPA153" s="53"/>
      <c r="HPB153" s="54"/>
      <c r="HPC153" s="52"/>
      <c r="HPD153" s="53"/>
      <c r="HPE153" s="54"/>
      <c r="HPF153" s="52"/>
      <c r="HPG153" s="53"/>
      <c r="HPH153" s="8"/>
      <c r="HPI153" s="45"/>
      <c r="HPJ153" s="45"/>
      <c r="HPK153" s="46"/>
      <c r="HPL153" s="44"/>
      <c r="HPM153" s="7"/>
      <c r="HPN153" s="51"/>
      <c r="HPO153" s="52"/>
      <c r="HPP153" s="53"/>
      <c r="HPQ153" s="54"/>
      <c r="HPR153" s="52"/>
      <c r="HPS153" s="53"/>
      <c r="HPT153" s="54"/>
      <c r="HPU153" s="52"/>
      <c r="HPV153" s="53"/>
      <c r="HPW153" s="8"/>
      <c r="HPX153" s="45"/>
      <c r="HPY153" s="45"/>
      <c r="HPZ153" s="46"/>
      <c r="HQA153" s="44"/>
      <c r="HQB153" s="7"/>
      <c r="HQC153" s="51"/>
      <c r="HQD153" s="52"/>
      <c r="HQE153" s="53"/>
      <c r="HQF153" s="54"/>
      <c r="HQG153" s="52"/>
      <c r="HQH153" s="53"/>
      <c r="HQI153" s="54"/>
      <c r="HQJ153" s="52"/>
      <c r="HQK153" s="53"/>
      <c r="HQL153" s="8"/>
      <c r="HQM153" s="45"/>
      <c r="HQN153" s="45"/>
      <c r="HQO153" s="46"/>
      <c r="HQP153" s="44"/>
      <c r="HQQ153" s="7"/>
      <c r="HQR153" s="51"/>
      <c r="HQS153" s="52"/>
      <c r="HQT153" s="53"/>
      <c r="HQU153" s="54"/>
      <c r="HQV153" s="52"/>
      <c r="HQW153" s="53"/>
      <c r="HQX153" s="54"/>
      <c r="HQY153" s="52"/>
      <c r="HQZ153" s="53"/>
      <c r="HRA153" s="8"/>
      <c r="HRB153" s="45"/>
      <c r="HRC153" s="45"/>
      <c r="HRD153" s="46"/>
      <c r="HRE153" s="44"/>
      <c r="HRF153" s="7"/>
      <c r="HRG153" s="51"/>
      <c r="HRH153" s="52"/>
      <c r="HRI153" s="53"/>
      <c r="HRJ153" s="54"/>
      <c r="HRK153" s="52"/>
      <c r="HRL153" s="53"/>
      <c r="HRM153" s="54"/>
      <c r="HRN153" s="52"/>
      <c r="HRO153" s="53"/>
      <c r="HRP153" s="8"/>
      <c r="HRQ153" s="45"/>
      <c r="HRR153" s="45"/>
      <c r="HRS153" s="46"/>
      <c r="HRT153" s="44"/>
      <c r="HRU153" s="7"/>
      <c r="HRV153" s="51"/>
      <c r="HRW153" s="52"/>
      <c r="HRX153" s="53"/>
      <c r="HRY153" s="54"/>
      <c r="HRZ153" s="52"/>
      <c r="HSA153" s="53"/>
      <c r="HSB153" s="54"/>
      <c r="HSC153" s="52"/>
      <c r="HSD153" s="53"/>
      <c r="HSE153" s="8"/>
      <c r="HSF153" s="45"/>
      <c r="HSG153" s="45"/>
      <c r="HSH153" s="46"/>
      <c r="HSI153" s="44"/>
      <c r="HSJ153" s="7"/>
      <c r="HSK153" s="51"/>
      <c r="HSL153" s="52"/>
      <c r="HSM153" s="53"/>
      <c r="HSN153" s="54"/>
      <c r="HSO153" s="52"/>
      <c r="HSP153" s="53"/>
      <c r="HSQ153" s="54"/>
      <c r="HSR153" s="52"/>
      <c r="HSS153" s="53"/>
      <c r="HST153" s="8"/>
      <c r="HSU153" s="45"/>
      <c r="HSV153" s="45"/>
      <c r="HSW153" s="46"/>
      <c r="HSX153" s="44"/>
      <c r="HSY153" s="7"/>
      <c r="HSZ153" s="51"/>
      <c r="HTA153" s="52"/>
      <c r="HTB153" s="53"/>
      <c r="HTC153" s="54"/>
      <c r="HTD153" s="52"/>
      <c r="HTE153" s="53"/>
      <c r="HTF153" s="54"/>
      <c r="HTG153" s="52"/>
      <c r="HTH153" s="53"/>
      <c r="HTI153" s="8"/>
      <c r="HTJ153" s="45"/>
      <c r="HTK153" s="45"/>
      <c r="HTL153" s="46"/>
      <c r="HTM153" s="44"/>
      <c r="HTN153" s="7"/>
      <c r="HTO153" s="51"/>
      <c r="HTP153" s="52"/>
      <c r="HTQ153" s="53"/>
      <c r="HTR153" s="54"/>
      <c r="HTS153" s="52"/>
      <c r="HTT153" s="53"/>
      <c r="HTU153" s="54"/>
      <c r="HTV153" s="52"/>
      <c r="HTW153" s="53"/>
      <c r="HTX153" s="8"/>
      <c r="HTY153" s="45"/>
      <c r="HTZ153" s="45"/>
      <c r="HUA153" s="46"/>
      <c r="HUB153" s="44"/>
      <c r="HUC153" s="7"/>
      <c r="HUD153" s="51"/>
      <c r="HUE153" s="52"/>
      <c r="HUF153" s="53"/>
      <c r="HUG153" s="54"/>
      <c r="HUH153" s="52"/>
      <c r="HUI153" s="53"/>
      <c r="HUJ153" s="54"/>
      <c r="HUK153" s="52"/>
      <c r="HUL153" s="53"/>
      <c r="HUM153" s="8"/>
      <c r="HUN153" s="45"/>
      <c r="HUO153" s="45"/>
      <c r="HUP153" s="46"/>
      <c r="HUQ153" s="44"/>
      <c r="HUR153" s="7"/>
      <c r="HUS153" s="51"/>
      <c r="HUT153" s="52"/>
      <c r="HUU153" s="53"/>
      <c r="HUV153" s="54"/>
      <c r="HUW153" s="52"/>
      <c r="HUX153" s="53"/>
      <c r="HUY153" s="54"/>
      <c r="HUZ153" s="52"/>
      <c r="HVA153" s="53"/>
      <c r="HVB153" s="8"/>
      <c r="HVC153" s="45"/>
      <c r="HVD153" s="45"/>
      <c r="HVE153" s="46"/>
      <c r="HVF153" s="44"/>
      <c r="HVG153" s="7"/>
      <c r="HVH153" s="51"/>
      <c r="HVI153" s="52"/>
      <c r="HVJ153" s="53"/>
      <c r="HVK153" s="54"/>
      <c r="HVL153" s="52"/>
      <c r="HVM153" s="53"/>
      <c r="HVN153" s="54"/>
      <c r="HVO153" s="52"/>
      <c r="HVP153" s="53"/>
      <c r="HVQ153" s="8"/>
      <c r="HVR153" s="45"/>
      <c r="HVS153" s="45"/>
      <c r="HVT153" s="46"/>
      <c r="HVU153" s="44"/>
      <c r="HVV153" s="7"/>
      <c r="HVW153" s="51"/>
      <c r="HVX153" s="52"/>
      <c r="HVY153" s="53"/>
      <c r="HVZ153" s="54"/>
      <c r="HWA153" s="52"/>
      <c r="HWB153" s="53"/>
      <c r="HWC153" s="54"/>
      <c r="HWD153" s="52"/>
      <c r="HWE153" s="53"/>
      <c r="HWF153" s="8"/>
      <c r="HWG153" s="45"/>
      <c r="HWH153" s="45"/>
      <c r="HWI153" s="46"/>
      <c r="HWJ153" s="44"/>
      <c r="HWK153" s="7"/>
      <c r="HWL153" s="51"/>
      <c r="HWM153" s="52"/>
      <c r="HWN153" s="53"/>
      <c r="HWO153" s="54"/>
      <c r="HWP153" s="52"/>
      <c r="HWQ153" s="53"/>
      <c r="HWR153" s="54"/>
      <c r="HWS153" s="52"/>
      <c r="HWT153" s="53"/>
      <c r="HWU153" s="8"/>
      <c r="HWV153" s="45"/>
      <c r="HWW153" s="45"/>
      <c r="HWX153" s="46"/>
      <c r="HWY153" s="44"/>
      <c r="HWZ153" s="7"/>
      <c r="HXA153" s="51"/>
      <c r="HXB153" s="52"/>
      <c r="HXC153" s="53"/>
      <c r="HXD153" s="54"/>
      <c r="HXE153" s="52"/>
      <c r="HXF153" s="53"/>
      <c r="HXG153" s="54"/>
      <c r="HXH153" s="52"/>
      <c r="HXI153" s="53"/>
      <c r="HXJ153" s="8"/>
      <c r="HXK153" s="45"/>
      <c r="HXL153" s="45"/>
      <c r="HXM153" s="46"/>
      <c r="HXN153" s="44"/>
      <c r="HXO153" s="7"/>
      <c r="HXP153" s="51"/>
      <c r="HXQ153" s="52"/>
      <c r="HXR153" s="53"/>
      <c r="HXS153" s="54"/>
      <c r="HXT153" s="52"/>
      <c r="HXU153" s="53"/>
      <c r="HXV153" s="54"/>
      <c r="HXW153" s="52"/>
      <c r="HXX153" s="53"/>
      <c r="HXY153" s="8"/>
      <c r="HXZ153" s="45"/>
      <c r="HYA153" s="45"/>
      <c r="HYB153" s="46"/>
      <c r="HYC153" s="44"/>
      <c r="HYD153" s="7"/>
      <c r="HYE153" s="51"/>
      <c r="HYF153" s="52"/>
      <c r="HYG153" s="53"/>
      <c r="HYH153" s="54"/>
      <c r="HYI153" s="52"/>
      <c r="HYJ153" s="53"/>
      <c r="HYK153" s="54"/>
      <c r="HYL153" s="52"/>
      <c r="HYM153" s="53"/>
      <c r="HYN153" s="8"/>
      <c r="HYO153" s="45"/>
      <c r="HYP153" s="45"/>
      <c r="HYQ153" s="46"/>
      <c r="HYR153" s="44"/>
      <c r="HYS153" s="7"/>
      <c r="HYT153" s="51"/>
      <c r="HYU153" s="52"/>
      <c r="HYV153" s="53"/>
      <c r="HYW153" s="54"/>
      <c r="HYX153" s="52"/>
      <c r="HYY153" s="53"/>
      <c r="HYZ153" s="54"/>
      <c r="HZA153" s="52"/>
      <c r="HZB153" s="53"/>
      <c r="HZC153" s="8"/>
      <c r="HZD153" s="45"/>
      <c r="HZE153" s="45"/>
      <c r="HZF153" s="46"/>
      <c r="HZG153" s="44"/>
      <c r="HZH153" s="7"/>
      <c r="HZI153" s="51"/>
      <c r="HZJ153" s="52"/>
      <c r="HZK153" s="53"/>
      <c r="HZL153" s="54"/>
      <c r="HZM153" s="52"/>
      <c r="HZN153" s="53"/>
      <c r="HZO153" s="54"/>
      <c r="HZP153" s="52"/>
      <c r="HZQ153" s="53"/>
      <c r="HZR153" s="8"/>
      <c r="HZS153" s="45"/>
      <c r="HZT153" s="45"/>
      <c r="HZU153" s="46"/>
      <c r="HZV153" s="44"/>
      <c r="HZW153" s="7"/>
      <c r="HZX153" s="51"/>
      <c r="HZY153" s="52"/>
      <c r="HZZ153" s="53"/>
      <c r="IAA153" s="54"/>
      <c r="IAB153" s="52"/>
      <c r="IAC153" s="53"/>
      <c r="IAD153" s="54"/>
      <c r="IAE153" s="52"/>
      <c r="IAF153" s="53"/>
      <c r="IAG153" s="8"/>
      <c r="IAH153" s="45"/>
      <c r="IAI153" s="45"/>
      <c r="IAJ153" s="46"/>
      <c r="IAK153" s="44"/>
      <c r="IAL153" s="7"/>
      <c r="IAM153" s="51"/>
      <c r="IAN153" s="52"/>
      <c r="IAO153" s="53"/>
      <c r="IAP153" s="54"/>
      <c r="IAQ153" s="52"/>
      <c r="IAR153" s="53"/>
      <c r="IAS153" s="54"/>
      <c r="IAT153" s="52"/>
      <c r="IAU153" s="53"/>
      <c r="IAV153" s="8"/>
      <c r="IAW153" s="45"/>
      <c r="IAX153" s="45"/>
      <c r="IAY153" s="46"/>
      <c r="IAZ153" s="44"/>
      <c r="IBA153" s="7"/>
      <c r="IBB153" s="51"/>
      <c r="IBC153" s="52"/>
      <c r="IBD153" s="53"/>
      <c r="IBE153" s="54"/>
      <c r="IBF153" s="52"/>
      <c r="IBG153" s="53"/>
      <c r="IBH153" s="54"/>
      <c r="IBI153" s="52"/>
      <c r="IBJ153" s="53"/>
      <c r="IBK153" s="8"/>
      <c r="IBL153" s="45"/>
      <c r="IBM153" s="45"/>
      <c r="IBN153" s="46"/>
      <c r="IBO153" s="44"/>
      <c r="IBP153" s="7"/>
      <c r="IBQ153" s="51"/>
      <c r="IBR153" s="52"/>
      <c r="IBS153" s="53"/>
      <c r="IBT153" s="54"/>
      <c r="IBU153" s="52"/>
      <c r="IBV153" s="53"/>
      <c r="IBW153" s="54"/>
      <c r="IBX153" s="52"/>
      <c r="IBY153" s="53"/>
      <c r="IBZ153" s="8"/>
      <c r="ICA153" s="45"/>
      <c r="ICB153" s="45"/>
      <c r="ICC153" s="46"/>
      <c r="ICD153" s="44"/>
      <c r="ICE153" s="7"/>
      <c r="ICF153" s="51"/>
      <c r="ICG153" s="52"/>
      <c r="ICH153" s="53"/>
      <c r="ICI153" s="54"/>
      <c r="ICJ153" s="52"/>
      <c r="ICK153" s="53"/>
      <c r="ICL153" s="54"/>
      <c r="ICM153" s="52"/>
      <c r="ICN153" s="53"/>
      <c r="ICO153" s="8"/>
      <c r="ICP153" s="45"/>
      <c r="ICQ153" s="45"/>
      <c r="ICR153" s="46"/>
      <c r="ICS153" s="44"/>
      <c r="ICT153" s="7"/>
      <c r="ICU153" s="51"/>
      <c r="ICV153" s="52"/>
      <c r="ICW153" s="53"/>
      <c r="ICX153" s="54"/>
      <c r="ICY153" s="52"/>
      <c r="ICZ153" s="53"/>
      <c r="IDA153" s="54"/>
      <c r="IDB153" s="52"/>
      <c r="IDC153" s="53"/>
      <c r="IDD153" s="8"/>
      <c r="IDE153" s="45"/>
      <c r="IDF153" s="45"/>
      <c r="IDG153" s="46"/>
      <c r="IDH153" s="44"/>
      <c r="IDI153" s="7"/>
      <c r="IDJ153" s="51"/>
      <c r="IDK153" s="52"/>
      <c r="IDL153" s="53"/>
      <c r="IDM153" s="54"/>
      <c r="IDN153" s="52"/>
      <c r="IDO153" s="53"/>
      <c r="IDP153" s="54"/>
      <c r="IDQ153" s="52"/>
      <c r="IDR153" s="53"/>
      <c r="IDS153" s="8"/>
      <c r="IDT153" s="45"/>
      <c r="IDU153" s="45"/>
      <c r="IDV153" s="46"/>
      <c r="IDW153" s="44"/>
      <c r="IDX153" s="7"/>
      <c r="IDY153" s="51"/>
      <c r="IDZ153" s="52"/>
      <c r="IEA153" s="53"/>
      <c r="IEB153" s="54"/>
      <c r="IEC153" s="52"/>
      <c r="IED153" s="53"/>
      <c r="IEE153" s="54"/>
      <c r="IEF153" s="52"/>
      <c r="IEG153" s="53"/>
      <c r="IEH153" s="8"/>
      <c r="IEI153" s="45"/>
      <c r="IEJ153" s="45"/>
      <c r="IEK153" s="46"/>
      <c r="IEL153" s="44"/>
      <c r="IEM153" s="7"/>
      <c r="IEN153" s="51"/>
      <c r="IEO153" s="52"/>
      <c r="IEP153" s="53"/>
      <c r="IEQ153" s="54"/>
      <c r="IER153" s="52"/>
      <c r="IES153" s="53"/>
      <c r="IET153" s="54"/>
      <c r="IEU153" s="52"/>
      <c r="IEV153" s="53"/>
      <c r="IEW153" s="8"/>
      <c r="IEX153" s="45"/>
      <c r="IEY153" s="45"/>
      <c r="IEZ153" s="46"/>
      <c r="IFA153" s="44"/>
      <c r="IFB153" s="7"/>
      <c r="IFC153" s="51"/>
      <c r="IFD153" s="52"/>
      <c r="IFE153" s="53"/>
      <c r="IFF153" s="54"/>
      <c r="IFG153" s="52"/>
      <c r="IFH153" s="53"/>
      <c r="IFI153" s="54"/>
      <c r="IFJ153" s="52"/>
      <c r="IFK153" s="53"/>
      <c r="IFL153" s="8"/>
      <c r="IFM153" s="45"/>
      <c r="IFN153" s="45"/>
      <c r="IFO153" s="46"/>
      <c r="IFP153" s="44"/>
      <c r="IFQ153" s="7"/>
      <c r="IFR153" s="51"/>
      <c r="IFS153" s="52"/>
      <c r="IFT153" s="53"/>
      <c r="IFU153" s="54"/>
      <c r="IFV153" s="52"/>
      <c r="IFW153" s="53"/>
      <c r="IFX153" s="54"/>
      <c r="IFY153" s="52"/>
      <c r="IFZ153" s="53"/>
      <c r="IGA153" s="8"/>
      <c r="IGB153" s="45"/>
      <c r="IGC153" s="45"/>
      <c r="IGD153" s="46"/>
      <c r="IGE153" s="44"/>
      <c r="IGF153" s="7"/>
      <c r="IGG153" s="51"/>
      <c r="IGH153" s="52"/>
      <c r="IGI153" s="53"/>
      <c r="IGJ153" s="54"/>
      <c r="IGK153" s="52"/>
      <c r="IGL153" s="53"/>
      <c r="IGM153" s="54"/>
      <c r="IGN153" s="52"/>
      <c r="IGO153" s="53"/>
      <c r="IGP153" s="8"/>
      <c r="IGQ153" s="45"/>
      <c r="IGR153" s="45"/>
      <c r="IGS153" s="46"/>
      <c r="IGT153" s="44"/>
      <c r="IGU153" s="7"/>
      <c r="IGV153" s="51"/>
      <c r="IGW153" s="52"/>
      <c r="IGX153" s="53"/>
      <c r="IGY153" s="54"/>
      <c r="IGZ153" s="52"/>
      <c r="IHA153" s="53"/>
      <c r="IHB153" s="54"/>
      <c r="IHC153" s="52"/>
      <c r="IHD153" s="53"/>
      <c r="IHE153" s="8"/>
      <c r="IHF153" s="45"/>
      <c r="IHG153" s="45"/>
      <c r="IHH153" s="46"/>
      <c r="IHI153" s="44"/>
      <c r="IHJ153" s="7"/>
      <c r="IHK153" s="51"/>
      <c r="IHL153" s="52"/>
      <c r="IHM153" s="53"/>
      <c r="IHN153" s="54"/>
      <c r="IHO153" s="52"/>
      <c r="IHP153" s="53"/>
      <c r="IHQ153" s="54"/>
      <c r="IHR153" s="52"/>
      <c r="IHS153" s="53"/>
      <c r="IHT153" s="8"/>
      <c r="IHU153" s="45"/>
      <c r="IHV153" s="45"/>
      <c r="IHW153" s="46"/>
      <c r="IHX153" s="44"/>
      <c r="IHY153" s="7"/>
      <c r="IHZ153" s="51"/>
      <c r="IIA153" s="52"/>
      <c r="IIB153" s="53"/>
      <c r="IIC153" s="54"/>
      <c r="IID153" s="52"/>
      <c r="IIE153" s="53"/>
      <c r="IIF153" s="54"/>
      <c r="IIG153" s="52"/>
      <c r="IIH153" s="53"/>
      <c r="III153" s="8"/>
      <c r="IIJ153" s="45"/>
      <c r="IIK153" s="45"/>
      <c r="IIL153" s="46"/>
      <c r="IIM153" s="44"/>
      <c r="IIN153" s="7"/>
      <c r="IIO153" s="51"/>
      <c r="IIP153" s="52"/>
      <c r="IIQ153" s="53"/>
      <c r="IIR153" s="54"/>
      <c r="IIS153" s="52"/>
      <c r="IIT153" s="53"/>
      <c r="IIU153" s="54"/>
      <c r="IIV153" s="52"/>
      <c r="IIW153" s="53"/>
      <c r="IIX153" s="8"/>
      <c r="IIY153" s="45"/>
      <c r="IIZ153" s="45"/>
      <c r="IJA153" s="46"/>
      <c r="IJB153" s="44"/>
      <c r="IJC153" s="7"/>
      <c r="IJD153" s="51"/>
      <c r="IJE153" s="52"/>
      <c r="IJF153" s="53"/>
      <c r="IJG153" s="54"/>
      <c r="IJH153" s="52"/>
      <c r="IJI153" s="53"/>
      <c r="IJJ153" s="54"/>
      <c r="IJK153" s="52"/>
      <c r="IJL153" s="53"/>
      <c r="IJM153" s="8"/>
      <c r="IJN153" s="45"/>
      <c r="IJO153" s="45"/>
      <c r="IJP153" s="46"/>
      <c r="IJQ153" s="44"/>
      <c r="IJR153" s="7"/>
      <c r="IJS153" s="51"/>
      <c r="IJT153" s="52"/>
      <c r="IJU153" s="53"/>
      <c r="IJV153" s="54"/>
      <c r="IJW153" s="52"/>
      <c r="IJX153" s="53"/>
      <c r="IJY153" s="54"/>
      <c r="IJZ153" s="52"/>
      <c r="IKA153" s="53"/>
      <c r="IKB153" s="8"/>
      <c r="IKC153" s="45"/>
      <c r="IKD153" s="45"/>
      <c r="IKE153" s="46"/>
      <c r="IKF153" s="44"/>
      <c r="IKG153" s="7"/>
      <c r="IKH153" s="51"/>
      <c r="IKI153" s="52"/>
      <c r="IKJ153" s="53"/>
      <c r="IKK153" s="54"/>
      <c r="IKL153" s="52"/>
      <c r="IKM153" s="53"/>
      <c r="IKN153" s="54"/>
      <c r="IKO153" s="52"/>
      <c r="IKP153" s="53"/>
      <c r="IKQ153" s="8"/>
      <c r="IKR153" s="45"/>
      <c r="IKS153" s="45"/>
      <c r="IKT153" s="46"/>
      <c r="IKU153" s="44"/>
      <c r="IKV153" s="7"/>
      <c r="IKW153" s="51"/>
      <c r="IKX153" s="52"/>
      <c r="IKY153" s="53"/>
      <c r="IKZ153" s="54"/>
      <c r="ILA153" s="52"/>
      <c r="ILB153" s="53"/>
      <c r="ILC153" s="54"/>
      <c r="ILD153" s="52"/>
      <c r="ILE153" s="53"/>
      <c r="ILF153" s="8"/>
      <c r="ILG153" s="45"/>
      <c r="ILH153" s="45"/>
      <c r="ILI153" s="46"/>
      <c r="ILJ153" s="44"/>
      <c r="ILK153" s="7"/>
      <c r="ILL153" s="51"/>
      <c r="ILM153" s="52"/>
      <c r="ILN153" s="53"/>
      <c r="ILO153" s="54"/>
      <c r="ILP153" s="52"/>
      <c r="ILQ153" s="53"/>
      <c r="ILR153" s="54"/>
      <c r="ILS153" s="52"/>
      <c r="ILT153" s="53"/>
      <c r="ILU153" s="8"/>
      <c r="ILV153" s="45"/>
      <c r="ILW153" s="45"/>
      <c r="ILX153" s="46"/>
      <c r="ILY153" s="44"/>
      <c r="ILZ153" s="7"/>
      <c r="IMA153" s="51"/>
      <c r="IMB153" s="52"/>
      <c r="IMC153" s="53"/>
      <c r="IMD153" s="54"/>
      <c r="IME153" s="52"/>
      <c r="IMF153" s="53"/>
      <c r="IMG153" s="54"/>
      <c r="IMH153" s="52"/>
      <c r="IMI153" s="53"/>
      <c r="IMJ153" s="8"/>
      <c r="IMK153" s="45"/>
      <c r="IML153" s="45"/>
      <c r="IMM153" s="46"/>
      <c r="IMN153" s="44"/>
      <c r="IMO153" s="7"/>
      <c r="IMP153" s="51"/>
      <c r="IMQ153" s="52"/>
      <c r="IMR153" s="53"/>
      <c r="IMS153" s="54"/>
      <c r="IMT153" s="52"/>
      <c r="IMU153" s="53"/>
      <c r="IMV153" s="54"/>
      <c r="IMW153" s="52"/>
      <c r="IMX153" s="53"/>
      <c r="IMY153" s="8"/>
      <c r="IMZ153" s="45"/>
      <c r="INA153" s="45"/>
      <c r="INB153" s="46"/>
      <c r="INC153" s="44"/>
      <c r="IND153" s="7"/>
      <c r="INE153" s="51"/>
      <c r="INF153" s="52"/>
      <c r="ING153" s="53"/>
      <c r="INH153" s="54"/>
      <c r="INI153" s="52"/>
      <c r="INJ153" s="53"/>
      <c r="INK153" s="54"/>
      <c r="INL153" s="52"/>
      <c r="INM153" s="53"/>
      <c r="INN153" s="8"/>
      <c r="INO153" s="45"/>
      <c r="INP153" s="45"/>
      <c r="INQ153" s="46"/>
      <c r="INR153" s="44"/>
      <c r="INS153" s="7"/>
      <c r="INT153" s="51"/>
      <c r="INU153" s="52"/>
      <c r="INV153" s="53"/>
      <c r="INW153" s="54"/>
      <c r="INX153" s="52"/>
      <c r="INY153" s="53"/>
      <c r="INZ153" s="54"/>
      <c r="IOA153" s="52"/>
      <c r="IOB153" s="53"/>
      <c r="IOC153" s="8"/>
      <c r="IOD153" s="45"/>
      <c r="IOE153" s="45"/>
      <c r="IOF153" s="46"/>
      <c r="IOG153" s="44"/>
      <c r="IOH153" s="7"/>
      <c r="IOI153" s="51"/>
      <c r="IOJ153" s="52"/>
      <c r="IOK153" s="53"/>
      <c r="IOL153" s="54"/>
      <c r="IOM153" s="52"/>
      <c r="ION153" s="53"/>
      <c r="IOO153" s="54"/>
      <c r="IOP153" s="52"/>
      <c r="IOQ153" s="53"/>
      <c r="IOR153" s="8"/>
      <c r="IOS153" s="45"/>
      <c r="IOT153" s="45"/>
      <c r="IOU153" s="46"/>
      <c r="IOV153" s="44"/>
      <c r="IOW153" s="7"/>
      <c r="IOX153" s="51"/>
      <c r="IOY153" s="52"/>
      <c r="IOZ153" s="53"/>
      <c r="IPA153" s="54"/>
      <c r="IPB153" s="52"/>
      <c r="IPC153" s="53"/>
      <c r="IPD153" s="54"/>
      <c r="IPE153" s="52"/>
      <c r="IPF153" s="53"/>
      <c r="IPG153" s="8"/>
      <c r="IPH153" s="45"/>
      <c r="IPI153" s="45"/>
      <c r="IPJ153" s="46"/>
      <c r="IPK153" s="44"/>
      <c r="IPL153" s="7"/>
      <c r="IPM153" s="51"/>
      <c r="IPN153" s="52"/>
      <c r="IPO153" s="53"/>
      <c r="IPP153" s="54"/>
      <c r="IPQ153" s="52"/>
      <c r="IPR153" s="53"/>
      <c r="IPS153" s="54"/>
      <c r="IPT153" s="52"/>
      <c r="IPU153" s="53"/>
      <c r="IPV153" s="8"/>
      <c r="IPW153" s="45"/>
      <c r="IPX153" s="45"/>
      <c r="IPY153" s="46"/>
      <c r="IPZ153" s="44"/>
      <c r="IQA153" s="7"/>
      <c r="IQB153" s="51"/>
      <c r="IQC153" s="52"/>
      <c r="IQD153" s="53"/>
      <c r="IQE153" s="54"/>
      <c r="IQF153" s="52"/>
      <c r="IQG153" s="53"/>
      <c r="IQH153" s="54"/>
      <c r="IQI153" s="52"/>
      <c r="IQJ153" s="53"/>
      <c r="IQK153" s="8"/>
      <c r="IQL153" s="45"/>
      <c r="IQM153" s="45"/>
      <c r="IQN153" s="46"/>
      <c r="IQO153" s="44"/>
      <c r="IQP153" s="7"/>
      <c r="IQQ153" s="51"/>
      <c r="IQR153" s="52"/>
      <c r="IQS153" s="53"/>
      <c r="IQT153" s="54"/>
      <c r="IQU153" s="52"/>
      <c r="IQV153" s="53"/>
      <c r="IQW153" s="54"/>
      <c r="IQX153" s="52"/>
      <c r="IQY153" s="53"/>
      <c r="IQZ153" s="8"/>
      <c r="IRA153" s="45"/>
      <c r="IRB153" s="45"/>
      <c r="IRC153" s="46"/>
      <c r="IRD153" s="44"/>
      <c r="IRE153" s="7"/>
      <c r="IRF153" s="51"/>
      <c r="IRG153" s="52"/>
      <c r="IRH153" s="53"/>
      <c r="IRI153" s="54"/>
      <c r="IRJ153" s="52"/>
      <c r="IRK153" s="53"/>
      <c r="IRL153" s="54"/>
      <c r="IRM153" s="52"/>
      <c r="IRN153" s="53"/>
      <c r="IRO153" s="8"/>
      <c r="IRP153" s="45"/>
      <c r="IRQ153" s="45"/>
      <c r="IRR153" s="46"/>
      <c r="IRS153" s="44"/>
      <c r="IRT153" s="7"/>
      <c r="IRU153" s="51"/>
      <c r="IRV153" s="52"/>
      <c r="IRW153" s="53"/>
      <c r="IRX153" s="54"/>
      <c r="IRY153" s="52"/>
      <c r="IRZ153" s="53"/>
      <c r="ISA153" s="54"/>
      <c r="ISB153" s="52"/>
      <c r="ISC153" s="53"/>
      <c r="ISD153" s="8"/>
      <c r="ISE153" s="45"/>
      <c r="ISF153" s="45"/>
      <c r="ISG153" s="46"/>
      <c r="ISH153" s="44"/>
      <c r="ISI153" s="7"/>
      <c r="ISJ153" s="51"/>
      <c r="ISK153" s="52"/>
      <c r="ISL153" s="53"/>
      <c r="ISM153" s="54"/>
      <c r="ISN153" s="52"/>
      <c r="ISO153" s="53"/>
      <c r="ISP153" s="54"/>
      <c r="ISQ153" s="52"/>
      <c r="ISR153" s="53"/>
      <c r="ISS153" s="8"/>
      <c r="IST153" s="45"/>
      <c r="ISU153" s="45"/>
      <c r="ISV153" s="46"/>
      <c r="ISW153" s="44"/>
      <c r="ISX153" s="7"/>
      <c r="ISY153" s="51"/>
      <c r="ISZ153" s="52"/>
      <c r="ITA153" s="53"/>
      <c r="ITB153" s="54"/>
      <c r="ITC153" s="52"/>
      <c r="ITD153" s="53"/>
      <c r="ITE153" s="54"/>
      <c r="ITF153" s="52"/>
      <c r="ITG153" s="53"/>
      <c r="ITH153" s="8"/>
      <c r="ITI153" s="45"/>
      <c r="ITJ153" s="45"/>
      <c r="ITK153" s="46"/>
      <c r="ITL153" s="44"/>
      <c r="ITM153" s="7"/>
      <c r="ITN153" s="51"/>
      <c r="ITO153" s="52"/>
      <c r="ITP153" s="53"/>
      <c r="ITQ153" s="54"/>
      <c r="ITR153" s="52"/>
      <c r="ITS153" s="53"/>
      <c r="ITT153" s="54"/>
      <c r="ITU153" s="52"/>
      <c r="ITV153" s="53"/>
      <c r="ITW153" s="8"/>
      <c r="ITX153" s="45"/>
      <c r="ITY153" s="45"/>
      <c r="ITZ153" s="46"/>
      <c r="IUA153" s="44"/>
      <c r="IUB153" s="7"/>
      <c r="IUC153" s="51"/>
      <c r="IUD153" s="52"/>
      <c r="IUE153" s="53"/>
      <c r="IUF153" s="54"/>
      <c r="IUG153" s="52"/>
      <c r="IUH153" s="53"/>
      <c r="IUI153" s="54"/>
      <c r="IUJ153" s="52"/>
      <c r="IUK153" s="53"/>
      <c r="IUL153" s="8"/>
      <c r="IUM153" s="45"/>
      <c r="IUN153" s="45"/>
      <c r="IUO153" s="46"/>
      <c r="IUP153" s="44"/>
      <c r="IUQ153" s="7"/>
      <c r="IUR153" s="51"/>
      <c r="IUS153" s="52"/>
      <c r="IUT153" s="53"/>
      <c r="IUU153" s="54"/>
      <c r="IUV153" s="52"/>
      <c r="IUW153" s="53"/>
      <c r="IUX153" s="54"/>
      <c r="IUY153" s="52"/>
      <c r="IUZ153" s="53"/>
      <c r="IVA153" s="8"/>
      <c r="IVB153" s="45"/>
      <c r="IVC153" s="45"/>
      <c r="IVD153" s="46"/>
      <c r="IVE153" s="44"/>
      <c r="IVF153" s="7"/>
      <c r="IVG153" s="51"/>
      <c r="IVH153" s="52"/>
      <c r="IVI153" s="53"/>
      <c r="IVJ153" s="54"/>
      <c r="IVK153" s="52"/>
      <c r="IVL153" s="53"/>
      <c r="IVM153" s="54"/>
      <c r="IVN153" s="52"/>
      <c r="IVO153" s="53"/>
      <c r="IVP153" s="8"/>
      <c r="IVQ153" s="45"/>
      <c r="IVR153" s="45"/>
      <c r="IVS153" s="46"/>
      <c r="IVT153" s="44"/>
      <c r="IVU153" s="7"/>
      <c r="IVV153" s="51"/>
      <c r="IVW153" s="52"/>
      <c r="IVX153" s="53"/>
      <c r="IVY153" s="54"/>
      <c r="IVZ153" s="52"/>
      <c r="IWA153" s="53"/>
      <c r="IWB153" s="54"/>
      <c r="IWC153" s="52"/>
      <c r="IWD153" s="53"/>
      <c r="IWE153" s="8"/>
      <c r="IWF153" s="45"/>
      <c r="IWG153" s="45"/>
      <c r="IWH153" s="46"/>
      <c r="IWI153" s="44"/>
      <c r="IWJ153" s="7"/>
      <c r="IWK153" s="51"/>
      <c r="IWL153" s="52"/>
      <c r="IWM153" s="53"/>
      <c r="IWN153" s="54"/>
      <c r="IWO153" s="52"/>
      <c r="IWP153" s="53"/>
      <c r="IWQ153" s="54"/>
      <c r="IWR153" s="52"/>
      <c r="IWS153" s="53"/>
      <c r="IWT153" s="8"/>
      <c r="IWU153" s="45"/>
      <c r="IWV153" s="45"/>
      <c r="IWW153" s="46"/>
      <c r="IWX153" s="44"/>
      <c r="IWY153" s="7"/>
      <c r="IWZ153" s="51"/>
      <c r="IXA153" s="52"/>
      <c r="IXB153" s="53"/>
      <c r="IXC153" s="54"/>
      <c r="IXD153" s="52"/>
      <c r="IXE153" s="53"/>
      <c r="IXF153" s="54"/>
      <c r="IXG153" s="52"/>
      <c r="IXH153" s="53"/>
      <c r="IXI153" s="8"/>
      <c r="IXJ153" s="45"/>
      <c r="IXK153" s="45"/>
      <c r="IXL153" s="46"/>
      <c r="IXM153" s="44"/>
      <c r="IXN153" s="7"/>
      <c r="IXO153" s="51"/>
      <c r="IXP153" s="52"/>
      <c r="IXQ153" s="53"/>
      <c r="IXR153" s="54"/>
      <c r="IXS153" s="52"/>
      <c r="IXT153" s="53"/>
      <c r="IXU153" s="54"/>
      <c r="IXV153" s="52"/>
      <c r="IXW153" s="53"/>
      <c r="IXX153" s="8"/>
      <c r="IXY153" s="45"/>
      <c r="IXZ153" s="45"/>
      <c r="IYA153" s="46"/>
      <c r="IYB153" s="44"/>
      <c r="IYC153" s="7"/>
      <c r="IYD153" s="51"/>
      <c r="IYE153" s="52"/>
      <c r="IYF153" s="53"/>
      <c r="IYG153" s="54"/>
      <c r="IYH153" s="52"/>
      <c r="IYI153" s="53"/>
      <c r="IYJ153" s="54"/>
      <c r="IYK153" s="52"/>
      <c r="IYL153" s="53"/>
      <c r="IYM153" s="8"/>
      <c r="IYN153" s="45"/>
      <c r="IYO153" s="45"/>
      <c r="IYP153" s="46"/>
      <c r="IYQ153" s="44"/>
      <c r="IYR153" s="7"/>
      <c r="IYS153" s="51"/>
      <c r="IYT153" s="52"/>
      <c r="IYU153" s="53"/>
      <c r="IYV153" s="54"/>
      <c r="IYW153" s="52"/>
      <c r="IYX153" s="53"/>
      <c r="IYY153" s="54"/>
      <c r="IYZ153" s="52"/>
      <c r="IZA153" s="53"/>
      <c r="IZB153" s="8"/>
      <c r="IZC153" s="45"/>
      <c r="IZD153" s="45"/>
      <c r="IZE153" s="46"/>
      <c r="IZF153" s="44"/>
      <c r="IZG153" s="7"/>
      <c r="IZH153" s="51"/>
      <c r="IZI153" s="52"/>
      <c r="IZJ153" s="53"/>
      <c r="IZK153" s="54"/>
      <c r="IZL153" s="52"/>
      <c r="IZM153" s="53"/>
      <c r="IZN153" s="54"/>
      <c r="IZO153" s="52"/>
      <c r="IZP153" s="53"/>
      <c r="IZQ153" s="8"/>
      <c r="IZR153" s="45"/>
      <c r="IZS153" s="45"/>
      <c r="IZT153" s="46"/>
      <c r="IZU153" s="44"/>
      <c r="IZV153" s="7"/>
      <c r="IZW153" s="51"/>
      <c r="IZX153" s="52"/>
      <c r="IZY153" s="53"/>
      <c r="IZZ153" s="54"/>
      <c r="JAA153" s="52"/>
      <c r="JAB153" s="53"/>
      <c r="JAC153" s="54"/>
      <c r="JAD153" s="52"/>
      <c r="JAE153" s="53"/>
      <c r="JAF153" s="8"/>
      <c r="JAG153" s="45"/>
      <c r="JAH153" s="45"/>
      <c r="JAI153" s="46"/>
      <c r="JAJ153" s="44"/>
      <c r="JAK153" s="7"/>
      <c r="JAL153" s="51"/>
      <c r="JAM153" s="52"/>
      <c r="JAN153" s="53"/>
      <c r="JAO153" s="54"/>
      <c r="JAP153" s="52"/>
      <c r="JAQ153" s="53"/>
      <c r="JAR153" s="54"/>
      <c r="JAS153" s="52"/>
      <c r="JAT153" s="53"/>
      <c r="JAU153" s="8"/>
      <c r="JAV153" s="45"/>
      <c r="JAW153" s="45"/>
      <c r="JAX153" s="46"/>
      <c r="JAY153" s="44"/>
      <c r="JAZ153" s="7"/>
      <c r="JBA153" s="51"/>
      <c r="JBB153" s="52"/>
      <c r="JBC153" s="53"/>
      <c r="JBD153" s="54"/>
      <c r="JBE153" s="52"/>
      <c r="JBF153" s="53"/>
      <c r="JBG153" s="54"/>
      <c r="JBH153" s="52"/>
      <c r="JBI153" s="53"/>
      <c r="JBJ153" s="8"/>
      <c r="JBK153" s="45"/>
      <c r="JBL153" s="45"/>
      <c r="JBM153" s="46"/>
      <c r="JBN153" s="44"/>
      <c r="JBO153" s="7"/>
      <c r="JBP153" s="51"/>
      <c r="JBQ153" s="52"/>
      <c r="JBR153" s="53"/>
      <c r="JBS153" s="54"/>
      <c r="JBT153" s="52"/>
      <c r="JBU153" s="53"/>
      <c r="JBV153" s="54"/>
      <c r="JBW153" s="52"/>
      <c r="JBX153" s="53"/>
      <c r="JBY153" s="8"/>
      <c r="JBZ153" s="45"/>
      <c r="JCA153" s="45"/>
      <c r="JCB153" s="46"/>
      <c r="JCC153" s="44"/>
      <c r="JCD153" s="7"/>
      <c r="JCE153" s="51"/>
      <c r="JCF153" s="52"/>
      <c r="JCG153" s="53"/>
      <c r="JCH153" s="54"/>
      <c r="JCI153" s="52"/>
      <c r="JCJ153" s="53"/>
      <c r="JCK153" s="54"/>
      <c r="JCL153" s="52"/>
      <c r="JCM153" s="53"/>
      <c r="JCN153" s="8"/>
      <c r="JCO153" s="45"/>
      <c r="JCP153" s="45"/>
      <c r="JCQ153" s="46"/>
      <c r="JCR153" s="44"/>
      <c r="JCS153" s="7"/>
      <c r="JCT153" s="51"/>
      <c r="JCU153" s="52"/>
      <c r="JCV153" s="53"/>
      <c r="JCW153" s="54"/>
      <c r="JCX153" s="52"/>
      <c r="JCY153" s="53"/>
      <c r="JCZ153" s="54"/>
      <c r="JDA153" s="52"/>
      <c r="JDB153" s="53"/>
      <c r="JDC153" s="8"/>
      <c r="JDD153" s="45"/>
      <c r="JDE153" s="45"/>
      <c r="JDF153" s="46"/>
      <c r="JDG153" s="44"/>
      <c r="JDH153" s="7"/>
      <c r="JDI153" s="51"/>
      <c r="JDJ153" s="52"/>
      <c r="JDK153" s="53"/>
      <c r="JDL153" s="54"/>
      <c r="JDM153" s="52"/>
      <c r="JDN153" s="53"/>
      <c r="JDO153" s="54"/>
      <c r="JDP153" s="52"/>
      <c r="JDQ153" s="53"/>
      <c r="JDR153" s="8"/>
      <c r="JDS153" s="45"/>
      <c r="JDT153" s="45"/>
      <c r="JDU153" s="46"/>
      <c r="JDV153" s="44"/>
      <c r="JDW153" s="7"/>
      <c r="JDX153" s="51"/>
      <c r="JDY153" s="52"/>
      <c r="JDZ153" s="53"/>
      <c r="JEA153" s="54"/>
      <c r="JEB153" s="52"/>
      <c r="JEC153" s="53"/>
      <c r="JED153" s="54"/>
      <c r="JEE153" s="52"/>
      <c r="JEF153" s="53"/>
      <c r="JEG153" s="8"/>
      <c r="JEH153" s="45"/>
      <c r="JEI153" s="45"/>
      <c r="JEJ153" s="46"/>
      <c r="JEK153" s="44"/>
      <c r="JEL153" s="7"/>
      <c r="JEM153" s="51"/>
      <c r="JEN153" s="52"/>
      <c r="JEO153" s="53"/>
      <c r="JEP153" s="54"/>
      <c r="JEQ153" s="52"/>
      <c r="JER153" s="53"/>
      <c r="JES153" s="54"/>
      <c r="JET153" s="52"/>
      <c r="JEU153" s="53"/>
      <c r="JEV153" s="8"/>
      <c r="JEW153" s="45"/>
      <c r="JEX153" s="45"/>
      <c r="JEY153" s="46"/>
      <c r="JEZ153" s="44"/>
      <c r="JFA153" s="7"/>
      <c r="JFB153" s="51"/>
      <c r="JFC153" s="52"/>
      <c r="JFD153" s="53"/>
      <c r="JFE153" s="54"/>
      <c r="JFF153" s="52"/>
      <c r="JFG153" s="53"/>
      <c r="JFH153" s="54"/>
      <c r="JFI153" s="52"/>
      <c r="JFJ153" s="53"/>
      <c r="JFK153" s="8"/>
      <c r="JFL153" s="45"/>
      <c r="JFM153" s="45"/>
      <c r="JFN153" s="46"/>
      <c r="JFO153" s="44"/>
      <c r="JFP153" s="7"/>
      <c r="JFQ153" s="51"/>
      <c r="JFR153" s="52"/>
      <c r="JFS153" s="53"/>
      <c r="JFT153" s="54"/>
      <c r="JFU153" s="52"/>
      <c r="JFV153" s="53"/>
      <c r="JFW153" s="54"/>
      <c r="JFX153" s="52"/>
      <c r="JFY153" s="53"/>
      <c r="JFZ153" s="8"/>
      <c r="JGA153" s="45"/>
      <c r="JGB153" s="45"/>
      <c r="JGC153" s="46"/>
      <c r="JGD153" s="44"/>
      <c r="JGE153" s="7"/>
      <c r="JGF153" s="51"/>
      <c r="JGG153" s="52"/>
      <c r="JGH153" s="53"/>
      <c r="JGI153" s="54"/>
      <c r="JGJ153" s="52"/>
      <c r="JGK153" s="53"/>
      <c r="JGL153" s="54"/>
      <c r="JGM153" s="52"/>
      <c r="JGN153" s="53"/>
      <c r="JGO153" s="8"/>
      <c r="JGP153" s="45"/>
      <c r="JGQ153" s="45"/>
      <c r="JGR153" s="46"/>
      <c r="JGS153" s="44"/>
      <c r="JGT153" s="7"/>
      <c r="JGU153" s="51"/>
      <c r="JGV153" s="52"/>
      <c r="JGW153" s="53"/>
      <c r="JGX153" s="54"/>
      <c r="JGY153" s="52"/>
      <c r="JGZ153" s="53"/>
      <c r="JHA153" s="54"/>
      <c r="JHB153" s="52"/>
      <c r="JHC153" s="53"/>
      <c r="JHD153" s="8"/>
      <c r="JHE153" s="45"/>
      <c r="JHF153" s="45"/>
      <c r="JHG153" s="46"/>
      <c r="JHH153" s="44"/>
      <c r="JHI153" s="7"/>
      <c r="JHJ153" s="51"/>
      <c r="JHK153" s="52"/>
      <c r="JHL153" s="53"/>
      <c r="JHM153" s="54"/>
      <c r="JHN153" s="52"/>
      <c r="JHO153" s="53"/>
      <c r="JHP153" s="54"/>
      <c r="JHQ153" s="52"/>
      <c r="JHR153" s="53"/>
      <c r="JHS153" s="8"/>
      <c r="JHT153" s="45"/>
      <c r="JHU153" s="45"/>
      <c r="JHV153" s="46"/>
      <c r="JHW153" s="44"/>
      <c r="JHX153" s="7"/>
      <c r="JHY153" s="51"/>
      <c r="JHZ153" s="52"/>
      <c r="JIA153" s="53"/>
      <c r="JIB153" s="54"/>
      <c r="JIC153" s="52"/>
      <c r="JID153" s="53"/>
      <c r="JIE153" s="54"/>
      <c r="JIF153" s="52"/>
      <c r="JIG153" s="53"/>
      <c r="JIH153" s="8"/>
      <c r="JII153" s="45"/>
      <c r="JIJ153" s="45"/>
      <c r="JIK153" s="46"/>
      <c r="JIL153" s="44"/>
      <c r="JIM153" s="7"/>
      <c r="JIN153" s="51"/>
      <c r="JIO153" s="52"/>
      <c r="JIP153" s="53"/>
      <c r="JIQ153" s="54"/>
      <c r="JIR153" s="52"/>
      <c r="JIS153" s="53"/>
      <c r="JIT153" s="54"/>
      <c r="JIU153" s="52"/>
      <c r="JIV153" s="53"/>
      <c r="JIW153" s="8"/>
      <c r="JIX153" s="45"/>
      <c r="JIY153" s="45"/>
      <c r="JIZ153" s="46"/>
      <c r="JJA153" s="44"/>
      <c r="JJB153" s="7"/>
      <c r="JJC153" s="51"/>
      <c r="JJD153" s="52"/>
      <c r="JJE153" s="53"/>
      <c r="JJF153" s="54"/>
      <c r="JJG153" s="52"/>
      <c r="JJH153" s="53"/>
      <c r="JJI153" s="54"/>
      <c r="JJJ153" s="52"/>
      <c r="JJK153" s="53"/>
      <c r="JJL153" s="8"/>
      <c r="JJM153" s="45"/>
      <c r="JJN153" s="45"/>
      <c r="JJO153" s="46"/>
      <c r="JJP153" s="44"/>
      <c r="JJQ153" s="7"/>
      <c r="JJR153" s="51"/>
      <c r="JJS153" s="52"/>
      <c r="JJT153" s="53"/>
      <c r="JJU153" s="54"/>
      <c r="JJV153" s="52"/>
      <c r="JJW153" s="53"/>
      <c r="JJX153" s="54"/>
      <c r="JJY153" s="52"/>
      <c r="JJZ153" s="53"/>
      <c r="JKA153" s="8"/>
      <c r="JKB153" s="45"/>
      <c r="JKC153" s="45"/>
      <c r="JKD153" s="46"/>
      <c r="JKE153" s="44"/>
      <c r="JKF153" s="7"/>
      <c r="JKG153" s="51"/>
      <c r="JKH153" s="52"/>
      <c r="JKI153" s="53"/>
      <c r="JKJ153" s="54"/>
      <c r="JKK153" s="52"/>
      <c r="JKL153" s="53"/>
      <c r="JKM153" s="54"/>
      <c r="JKN153" s="52"/>
      <c r="JKO153" s="53"/>
      <c r="JKP153" s="8"/>
      <c r="JKQ153" s="45"/>
      <c r="JKR153" s="45"/>
      <c r="JKS153" s="46"/>
      <c r="JKT153" s="44"/>
      <c r="JKU153" s="7"/>
      <c r="JKV153" s="51"/>
      <c r="JKW153" s="52"/>
      <c r="JKX153" s="53"/>
      <c r="JKY153" s="54"/>
      <c r="JKZ153" s="52"/>
      <c r="JLA153" s="53"/>
      <c r="JLB153" s="54"/>
      <c r="JLC153" s="52"/>
      <c r="JLD153" s="53"/>
      <c r="JLE153" s="8"/>
      <c r="JLF153" s="45"/>
      <c r="JLG153" s="45"/>
      <c r="JLH153" s="46"/>
      <c r="JLI153" s="44"/>
      <c r="JLJ153" s="7"/>
      <c r="JLK153" s="51"/>
      <c r="JLL153" s="52"/>
      <c r="JLM153" s="53"/>
      <c r="JLN153" s="54"/>
      <c r="JLO153" s="52"/>
      <c r="JLP153" s="53"/>
      <c r="JLQ153" s="54"/>
      <c r="JLR153" s="52"/>
      <c r="JLS153" s="53"/>
      <c r="JLT153" s="8"/>
      <c r="JLU153" s="45"/>
      <c r="JLV153" s="45"/>
      <c r="JLW153" s="46"/>
      <c r="JLX153" s="44"/>
      <c r="JLY153" s="7"/>
      <c r="JLZ153" s="51"/>
      <c r="JMA153" s="52"/>
      <c r="JMB153" s="53"/>
      <c r="JMC153" s="54"/>
      <c r="JMD153" s="52"/>
      <c r="JME153" s="53"/>
      <c r="JMF153" s="54"/>
      <c r="JMG153" s="52"/>
      <c r="JMH153" s="53"/>
      <c r="JMI153" s="8"/>
      <c r="JMJ153" s="45"/>
      <c r="JMK153" s="45"/>
      <c r="JML153" s="46"/>
      <c r="JMM153" s="44"/>
      <c r="JMN153" s="7"/>
      <c r="JMO153" s="51"/>
      <c r="JMP153" s="52"/>
      <c r="JMQ153" s="53"/>
      <c r="JMR153" s="54"/>
      <c r="JMS153" s="52"/>
      <c r="JMT153" s="53"/>
      <c r="JMU153" s="54"/>
      <c r="JMV153" s="52"/>
      <c r="JMW153" s="53"/>
      <c r="JMX153" s="8"/>
      <c r="JMY153" s="45"/>
      <c r="JMZ153" s="45"/>
      <c r="JNA153" s="46"/>
      <c r="JNB153" s="44"/>
      <c r="JNC153" s="7"/>
      <c r="JND153" s="51"/>
      <c r="JNE153" s="52"/>
      <c r="JNF153" s="53"/>
      <c r="JNG153" s="54"/>
      <c r="JNH153" s="52"/>
      <c r="JNI153" s="53"/>
      <c r="JNJ153" s="54"/>
      <c r="JNK153" s="52"/>
      <c r="JNL153" s="53"/>
      <c r="JNM153" s="8"/>
      <c r="JNN153" s="45"/>
      <c r="JNO153" s="45"/>
      <c r="JNP153" s="46"/>
      <c r="JNQ153" s="44"/>
      <c r="JNR153" s="7"/>
      <c r="JNS153" s="51"/>
      <c r="JNT153" s="52"/>
      <c r="JNU153" s="53"/>
      <c r="JNV153" s="54"/>
      <c r="JNW153" s="52"/>
      <c r="JNX153" s="53"/>
      <c r="JNY153" s="54"/>
      <c r="JNZ153" s="52"/>
      <c r="JOA153" s="53"/>
      <c r="JOB153" s="8"/>
      <c r="JOC153" s="45"/>
      <c r="JOD153" s="45"/>
      <c r="JOE153" s="46"/>
      <c r="JOF153" s="44"/>
      <c r="JOG153" s="7"/>
      <c r="JOH153" s="51"/>
      <c r="JOI153" s="52"/>
      <c r="JOJ153" s="53"/>
      <c r="JOK153" s="54"/>
      <c r="JOL153" s="52"/>
      <c r="JOM153" s="53"/>
      <c r="JON153" s="54"/>
      <c r="JOO153" s="52"/>
      <c r="JOP153" s="53"/>
      <c r="JOQ153" s="8"/>
      <c r="JOR153" s="45"/>
      <c r="JOS153" s="45"/>
      <c r="JOT153" s="46"/>
      <c r="JOU153" s="44"/>
      <c r="JOV153" s="7"/>
      <c r="JOW153" s="51"/>
      <c r="JOX153" s="52"/>
      <c r="JOY153" s="53"/>
      <c r="JOZ153" s="54"/>
      <c r="JPA153" s="52"/>
      <c r="JPB153" s="53"/>
      <c r="JPC153" s="54"/>
      <c r="JPD153" s="52"/>
      <c r="JPE153" s="53"/>
      <c r="JPF153" s="8"/>
      <c r="JPG153" s="45"/>
      <c r="JPH153" s="45"/>
      <c r="JPI153" s="46"/>
      <c r="JPJ153" s="44"/>
      <c r="JPK153" s="7"/>
      <c r="JPL153" s="51"/>
      <c r="JPM153" s="52"/>
      <c r="JPN153" s="53"/>
      <c r="JPO153" s="54"/>
      <c r="JPP153" s="52"/>
      <c r="JPQ153" s="53"/>
      <c r="JPR153" s="54"/>
      <c r="JPS153" s="52"/>
      <c r="JPT153" s="53"/>
      <c r="JPU153" s="8"/>
      <c r="JPV153" s="45"/>
      <c r="JPW153" s="45"/>
      <c r="JPX153" s="46"/>
      <c r="JPY153" s="44"/>
      <c r="JPZ153" s="7"/>
      <c r="JQA153" s="51"/>
      <c r="JQB153" s="52"/>
      <c r="JQC153" s="53"/>
      <c r="JQD153" s="54"/>
      <c r="JQE153" s="52"/>
      <c r="JQF153" s="53"/>
      <c r="JQG153" s="54"/>
      <c r="JQH153" s="52"/>
      <c r="JQI153" s="53"/>
      <c r="JQJ153" s="8"/>
      <c r="JQK153" s="45"/>
      <c r="JQL153" s="45"/>
      <c r="JQM153" s="46"/>
      <c r="JQN153" s="44"/>
      <c r="JQO153" s="7"/>
      <c r="JQP153" s="51"/>
      <c r="JQQ153" s="52"/>
      <c r="JQR153" s="53"/>
      <c r="JQS153" s="54"/>
      <c r="JQT153" s="52"/>
      <c r="JQU153" s="53"/>
      <c r="JQV153" s="54"/>
      <c r="JQW153" s="52"/>
      <c r="JQX153" s="53"/>
      <c r="JQY153" s="8"/>
      <c r="JQZ153" s="45"/>
      <c r="JRA153" s="45"/>
      <c r="JRB153" s="46"/>
      <c r="JRC153" s="44"/>
      <c r="JRD153" s="7"/>
      <c r="JRE153" s="51"/>
      <c r="JRF153" s="52"/>
      <c r="JRG153" s="53"/>
      <c r="JRH153" s="54"/>
      <c r="JRI153" s="52"/>
      <c r="JRJ153" s="53"/>
      <c r="JRK153" s="54"/>
      <c r="JRL153" s="52"/>
      <c r="JRM153" s="53"/>
      <c r="JRN153" s="8"/>
      <c r="JRO153" s="45"/>
      <c r="JRP153" s="45"/>
      <c r="JRQ153" s="46"/>
      <c r="JRR153" s="44"/>
      <c r="JRS153" s="7"/>
      <c r="JRT153" s="51"/>
      <c r="JRU153" s="52"/>
      <c r="JRV153" s="53"/>
      <c r="JRW153" s="54"/>
      <c r="JRX153" s="52"/>
      <c r="JRY153" s="53"/>
      <c r="JRZ153" s="54"/>
      <c r="JSA153" s="52"/>
      <c r="JSB153" s="53"/>
      <c r="JSC153" s="8"/>
      <c r="JSD153" s="45"/>
      <c r="JSE153" s="45"/>
      <c r="JSF153" s="46"/>
      <c r="JSG153" s="44"/>
      <c r="JSH153" s="7"/>
      <c r="JSI153" s="51"/>
      <c r="JSJ153" s="52"/>
      <c r="JSK153" s="53"/>
      <c r="JSL153" s="54"/>
      <c r="JSM153" s="52"/>
      <c r="JSN153" s="53"/>
      <c r="JSO153" s="54"/>
      <c r="JSP153" s="52"/>
      <c r="JSQ153" s="53"/>
      <c r="JSR153" s="8"/>
      <c r="JSS153" s="45"/>
      <c r="JST153" s="45"/>
      <c r="JSU153" s="46"/>
      <c r="JSV153" s="44"/>
      <c r="JSW153" s="7"/>
      <c r="JSX153" s="51"/>
      <c r="JSY153" s="52"/>
      <c r="JSZ153" s="53"/>
      <c r="JTA153" s="54"/>
      <c r="JTB153" s="52"/>
      <c r="JTC153" s="53"/>
      <c r="JTD153" s="54"/>
      <c r="JTE153" s="52"/>
      <c r="JTF153" s="53"/>
      <c r="JTG153" s="8"/>
      <c r="JTH153" s="45"/>
      <c r="JTI153" s="45"/>
      <c r="JTJ153" s="46"/>
      <c r="JTK153" s="44"/>
      <c r="JTL153" s="7"/>
      <c r="JTM153" s="51"/>
      <c r="JTN153" s="52"/>
      <c r="JTO153" s="53"/>
      <c r="JTP153" s="54"/>
      <c r="JTQ153" s="52"/>
      <c r="JTR153" s="53"/>
      <c r="JTS153" s="54"/>
      <c r="JTT153" s="52"/>
      <c r="JTU153" s="53"/>
      <c r="JTV153" s="8"/>
      <c r="JTW153" s="45"/>
      <c r="JTX153" s="45"/>
      <c r="JTY153" s="46"/>
      <c r="JTZ153" s="44"/>
      <c r="JUA153" s="7"/>
      <c r="JUB153" s="51"/>
      <c r="JUC153" s="52"/>
      <c r="JUD153" s="53"/>
      <c r="JUE153" s="54"/>
      <c r="JUF153" s="52"/>
      <c r="JUG153" s="53"/>
      <c r="JUH153" s="54"/>
      <c r="JUI153" s="52"/>
      <c r="JUJ153" s="53"/>
      <c r="JUK153" s="8"/>
      <c r="JUL153" s="45"/>
      <c r="JUM153" s="45"/>
      <c r="JUN153" s="46"/>
      <c r="JUO153" s="44"/>
      <c r="JUP153" s="7"/>
      <c r="JUQ153" s="51"/>
      <c r="JUR153" s="52"/>
      <c r="JUS153" s="53"/>
      <c r="JUT153" s="54"/>
      <c r="JUU153" s="52"/>
      <c r="JUV153" s="53"/>
      <c r="JUW153" s="54"/>
      <c r="JUX153" s="52"/>
      <c r="JUY153" s="53"/>
      <c r="JUZ153" s="8"/>
      <c r="JVA153" s="45"/>
      <c r="JVB153" s="45"/>
      <c r="JVC153" s="46"/>
      <c r="JVD153" s="44"/>
      <c r="JVE153" s="7"/>
      <c r="JVF153" s="51"/>
      <c r="JVG153" s="52"/>
      <c r="JVH153" s="53"/>
      <c r="JVI153" s="54"/>
      <c r="JVJ153" s="52"/>
      <c r="JVK153" s="53"/>
      <c r="JVL153" s="54"/>
      <c r="JVM153" s="52"/>
      <c r="JVN153" s="53"/>
      <c r="JVO153" s="8"/>
      <c r="JVP153" s="45"/>
      <c r="JVQ153" s="45"/>
      <c r="JVR153" s="46"/>
      <c r="JVS153" s="44"/>
      <c r="JVT153" s="7"/>
      <c r="JVU153" s="51"/>
      <c r="JVV153" s="52"/>
      <c r="JVW153" s="53"/>
      <c r="JVX153" s="54"/>
      <c r="JVY153" s="52"/>
      <c r="JVZ153" s="53"/>
      <c r="JWA153" s="54"/>
      <c r="JWB153" s="52"/>
      <c r="JWC153" s="53"/>
      <c r="JWD153" s="8"/>
      <c r="JWE153" s="45"/>
      <c r="JWF153" s="45"/>
      <c r="JWG153" s="46"/>
      <c r="JWH153" s="44"/>
      <c r="JWI153" s="7"/>
      <c r="JWJ153" s="51"/>
      <c r="JWK153" s="52"/>
      <c r="JWL153" s="53"/>
      <c r="JWM153" s="54"/>
      <c r="JWN153" s="52"/>
      <c r="JWO153" s="53"/>
      <c r="JWP153" s="54"/>
      <c r="JWQ153" s="52"/>
      <c r="JWR153" s="53"/>
      <c r="JWS153" s="8"/>
      <c r="JWT153" s="45"/>
      <c r="JWU153" s="45"/>
      <c r="JWV153" s="46"/>
      <c r="JWW153" s="44"/>
      <c r="JWX153" s="7"/>
      <c r="JWY153" s="51"/>
      <c r="JWZ153" s="52"/>
      <c r="JXA153" s="53"/>
      <c r="JXB153" s="54"/>
      <c r="JXC153" s="52"/>
      <c r="JXD153" s="53"/>
      <c r="JXE153" s="54"/>
      <c r="JXF153" s="52"/>
      <c r="JXG153" s="53"/>
      <c r="JXH153" s="8"/>
      <c r="JXI153" s="45"/>
      <c r="JXJ153" s="45"/>
      <c r="JXK153" s="46"/>
      <c r="JXL153" s="44"/>
      <c r="JXM153" s="7"/>
      <c r="JXN153" s="51"/>
      <c r="JXO153" s="52"/>
      <c r="JXP153" s="53"/>
      <c r="JXQ153" s="54"/>
      <c r="JXR153" s="52"/>
      <c r="JXS153" s="53"/>
      <c r="JXT153" s="54"/>
      <c r="JXU153" s="52"/>
      <c r="JXV153" s="53"/>
      <c r="JXW153" s="8"/>
      <c r="JXX153" s="45"/>
      <c r="JXY153" s="45"/>
      <c r="JXZ153" s="46"/>
      <c r="JYA153" s="44"/>
      <c r="JYB153" s="7"/>
      <c r="JYC153" s="51"/>
      <c r="JYD153" s="52"/>
      <c r="JYE153" s="53"/>
      <c r="JYF153" s="54"/>
      <c r="JYG153" s="52"/>
      <c r="JYH153" s="53"/>
      <c r="JYI153" s="54"/>
      <c r="JYJ153" s="52"/>
      <c r="JYK153" s="53"/>
      <c r="JYL153" s="8"/>
      <c r="JYM153" s="45"/>
      <c r="JYN153" s="45"/>
      <c r="JYO153" s="46"/>
      <c r="JYP153" s="44"/>
      <c r="JYQ153" s="7"/>
      <c r="JYR153" s="51"/>
      <c r="JYS153" s="52"/>
      <c r="JYT153" s="53"/>
      <c r="JYU153" s="54"/>
      <c r="JYV153" s="52"/>
      <c r="JYW153" s="53"/>
      <c r="JYX153" s="54"/>
      <c r="JYY153" s="52"/>
      <c r="JYZ153" s="53"/>
      <c r="JZA153" s="8"/>
      <c r="JZB153" s="45"/>
      <c r="JZC153" s="45"/>
      <c r="JZD153" s="46"/>
      <c r="JZE153" s="44"/>
      <c r="JZF153" s="7"/>
      <c r="JZG153" s="51"/>
      <c r="JZH153" s="52"/>
      <c r="JZI153" s="53"/>
      <c r="JZJ153" s="54"/>
      <c r="JZK153" s="52"/>
      <c r="JZL153" s="53"/>
      <c r="JZM153" s="54"/>
      <c r="JZN153" s="52"/>
      <c r="JZO153" s="53"/>
      <c r="JZP153" s="8"/>
      <c r="JZQ153" s="45"/>
      <c r="JZR153" s="45"/>
      <c r="JZS153" s="46"/>
      <c r="JZT153" s="44"/>
      <c r="JZU153" s="7"/>
      <c r="JZV153" s="51"/>
      <c r="JZW153" s="52"/>
      <c r="JZX153" s="53"/>
      <c r="JZY153" s="54"/>
      <c r="JZZ153" s="52"/>
      <c r="KAA153" s="53"/>
      <c r="KAB153" s="54"/>
      <c r="KAC153" s="52"/>
      <c r="KAD153" s="53"/>
      <c r="KAE153" s="8"/>
      <c r="KAF153" s="45"/>
      <c r="KAG153" s="45"/>
      <c r="KAH153" s="46"/>
      <c r="KAI153" s="44"/>
      <c r="KAJ153" s="7"/>
      <c r="KAK153" s="51"/>
      <c r="KAL153" s="52"/>
      <c r="KAM153" s="53"/>
      <c r="KAN153" s="54"/>
      <c r="KAO153" s="52"/>
      <c r="KAP153" s="53"/>
      <c r="KAQ153" s="54"/>
      <c r="KAR153" s="52"/>
      <c r="KAS153" s="53"/>
      <c r="KAT153" s="8"/>
      <c r="KAU153" s="45"/>
      <c r="KAV153" s="45"/>
      <c r="KAW153" s="46"/>
      <c r="KAX153" s="44"/>
      <c r="KAY153" s="7"/>
      <c r="KAZ153" s="51"/>
      <c r="KBA153" s="52"/>
      <c r="KBB153" s="53"/>
      <c r="KBC153" s="54"/>
      <c r="KBD153" s="52"/>
      <c r="KBE153" s="53"/>
      <c r="KBF153" s="54"/>
      <c r="KBG153" s="52"/>
      <c r="KBH153" s="53"/>
      <c r="KBI153" s="8"/>
      <c r="KBJ153" s="45"/>
      <c r="KBK153" s="45"/>
      <c r="KBL153" s="46"/>
      <c r="KBM153" s="44"/>
      <c r="KBN153" s="7"/>
      <c r="KBO153" s="51"/>
      <c r="KBP153" s="52"/>
      <c r="KBQ153" s="53"/>
      <c r="KBR153" s="54"/>
      <c r="KBS153" s="52"/>
      <c r="KBT153" s="53"/>
      <c r="KBU153" s="54"/>
      <c r="KBV153" s="52"/>
      <c r="KBW153" s="53"/>
      <c r="KBX153" s="8"/>
      <c r="KBY153" s="45"/>
      <c r="KBZ153" s="45"/>
      <c r="KCA153" s="46"/>
      <c r="KCB153" s="44"/>
      <c r="KCC153" s="7"/>
      <c r="KCD153" s="51"/>
      <c r="KCE153" s="52"/>
      <c r="KCF153" s="53"/>
      <c r="KCG153" s="54"/>
      <c r="KCH153" s="52"/>
      <c r="KCI153" s="53"/>
      <c r="KCJ153" s="54"/>
      <c r="KCK153" s="52"/>
      <c r="KCL153" s="53"/>
      <c r="KCM153" s="8"/>
      <c r="KCN153" s="45"/>
      <c r="KCO153" s="45"/>
      <c r="KCP153" s="46"/>
      <c r="KCQ153" s="44"/>
      <c r="KCR153" s="7"/>
      <c r="KCS153" s="51"/>
      <c r="KCT153" s="52"/>
      <c r="KCU153" s="53"/>
      <c r="KCV153" s="54"/>
      <c r="KCW153" s="52"/>
      <c r="KCX153" s="53"/>
      <c r="KCY153" s="54"/>
      <c r="KCZ153" s="52"/>
      <c r="KDA153" s="53"/>
      <c r="KDB153" s="8"/>
      <c r="KDC153" s="45"/>
      <c r="KDD153" s="45"/>
      <c r="KDE153" s="46"/>
      <c r="KDF153" s="44"/>
      <c r="KDG153" s="7"/>
      <c r="KDH153" s="51"/>
      <c r="KDI153" s="52"/>
      <c r="KDJ153" s="53"/>
      <c r="KDK153" s="54"/>
      <c r="KDL153" s="52"/>
      <c r="KDM153" s="53"/>
      <c r="KDN153" s="54"/>
      <c r="KDO153" s="52"/>
      <c r="KDP153" s="53"/>
      <c r="KDQ153" s="8"/>
      <c r="KDR153" s="45"/>
      <c r="KDS153" s="45"/>
      <c r="KDT153" s="46"/>
      <c r="KDU153" s="44"/>
      <c r="KDV153" s="7"/>
      <c r="KDW153" s="51"/>
      <c r="KDX153" s="52"/>
      <c r="KDY153" s="53"/>
      <c r="KDZ153" s="54"/>
      <c r="KEA153" s="52"/>
      <c r="KEB153" s="53"/>
      <c r="KEC153" s="54"/>
      <c r="KED153" s="52"/>
      <c r="KEE153" s="53"/>
      <c r="KEF153" s="8"/>
      <c r="KEG153" s="45"/>
      <c r="KEH153" s="45"/>
      <c r="KEI153" s="46"/>
      <c r="KEJ153" s="44"/>
      <c r="KEK153" s="7"/>
      <c r="KEL153" s="51"/>
      <c r="KEM153" s="52"/>
      <c r="KEN153" s="53"/>
      <c r="KEO153" s="54"/>
      <c r="KEP153" s="52"/>
      <c r="KEQ153" s="53"/>
      <c r="KER153" s="54"/>
      <c r="KES153" s="52"/>
      <c r="KET153" s="53"/>
      <c r="KEU153" s="8"/>
      <c r="KEV153" s="45"/>
      <c r="KEW153" s="45"/>
      <c r="KEX153" s="46"/>
      <c r="KEY153" s="44"/>
      <c r="KEZ153" s="7"/>
      <c r="KFA153" s="51"/>
      <c r="KFB153" s="52"/>
      <c r="KFC153" s="53"/>
      <c r="KFD153" s="54"/>
      <c r="KFE153" s="52"/>
      <c r="KFF153" s="53"/>
      <c r="KFG153" s="54"/>
      <c r="KFH153" s="52"/>
      <c r="KFI153" s="53"/>
      <c r="KFJ153" s="8"/>
      <c r="KFK153" s="45"/>
      <c r="KFL153" s="45"/>
      <c r="KFM153" s="46"/>
      <c r="KFN153" s="44"/>
      <c r="KFO153" s="7"/>
      <c r="KFP153" s="51"/>
      <c r="KFQ153" s="52"/>
      <c r="KFR153" s="53"/>
      <c r="KFS153" s="54"/>
      <c r="KFT153" s="52"/>
      <c r="KFU153" s="53"/>
      <c r="KFV153" s="54"/>
      <c r="KFW153" s="52"/>
      <c r="KFX153" s="53"/>
      <c r="KFY153" s="8"/>
      <c r="KFZ153" s="45"/>
      <c r="KGA153" s="45"/>
      <c r="KGB153" s="46"/>
      <c r="KGC153" s="44"/>
      <c r="KGD153" s="7"/>
      <c r="KGE153" s="51"/>
      <c r="KGF153" s="52"/>
      <c r="KGG153" s="53"/>
      <c r="KGH153" s="54"/>
      <c r="KGI153" s="52"/>
      <c r="KGJ153" s="53"/>
      <c r="KGK153" s="54"/>
      <c r="KGL153" s="52"/>
      <c r="KGM153" s="53"/>
      <c r="KGN153" s="8"/>
      <c r="KGO153" s="45"/>
      <c r="KGP153" s="45"/>
      <c r="KGQ153" s="46"/>
      <c r="KGR153" s="44"/>
      <c r="KGS153" s="7"/>
      <c r="KGT153" s="51"/>
      <c r="KGU153" s="52"/>
      <c r="KGV153" s="53"/>
      <c r="KGW153" s="54"/>
      <c r="KGX153" s="52"/>
      <c r="KGY153" s="53"/>
      <c r="KGZ153" s="54"/>
      <c r="KHA153" s="52"/>
      <c r="KHB153" s="53"/>
      <c r="KHC153" s="8"/>
      <c r="KHD153" s="45"/>
      <c r="KHE153" s="45"/>
      <c r="KHF153" s="46"/>
      <c r="KHG153" s="44"/>
      <c r="KHH153" s="7"/>
      <c r="KHI153" s="51"/>
      <c r="KHJ153" s="52"/>
      <c r="KHK153" s="53"/>
      <c r="KHL153" s="54"/>
      <c r="KHM153" s="52"/>
      <c r="KHN153" s="53"/>
      <c r="KHO153" s="54"/>
      <c r="KHP153" s="52"/>
      <c r="KHQ153" s="53"/>
      <c r="KHR153" s="8"/>
      <c r="KHS153" s="45"/>
      <c r="KHT153" s="45"/>
      <c r="KHU153" s="46"/>
      <c r="KHV153" s="44"/>
      <c r="KHW153" s="7"/>
      <c r="KHX153" s="51"/>
      <c r="KHY153" s="52"/>
      <c r="KHZ153" s="53"/>
      <c r="KIA153" s="54"/>
      <c r="KIB153" s="52"/>
      <c r="KIC153" s="53"/>
      <c r="KID153" s="54"/>
      <c r="KIE153" s="52"/>
      <c r="KIF153" s="53"/>
      <c r="KIG153" s="8"/>
      <c r="KIH153" s="45"/>
      <c r="KII153" s="45"/>
      <c r="KIJ153" s="46"/>
      <c r="KIK153" s="44"/>
      <c r="KIL153" s="7"/>
      <c r="KIM153" s="51"/>
      <c r="KIN153" s="52"/>
      <c r="KIO153" s="53"/>
      <c r="KIP153" s="54"/>
      <c r="KIQ153" s="52"/>
      <c r="KIR153" s="53"/>
      <c r="KIS153" s="54"/>
      <c r="KIT153" s="52"/>
      <c r="KIU153" s="53"/>
      <c r="KIV153" s="8"/>
      <c r="KIW153" s="45"/>
      <c r="KIX153" s="45"/>
      <c r="KIY153" s="46"/>
      <c r="KIZ153" s="44"/>
      <c r="KJA153" s="7"/>
      <c r="KJB153" s="51"/>
      <c r="KJC153" s="52"/>
      <c r="KJD153" s="53"/>
      <c r="KJE153" s="54"/>
      <c r="KJF153" s="52"/>
      <c r="KJG153" s="53"/>
      <c r="KJH153" s="54"/>
      <c r="KJI153" s="52"/>
      <c r="KJJ153" s="53"/>
      <c r="KJK153" s="8"/>
      <c r="KJL153" s="45"/>
      <c r="KJM153" s="45"/>
      <c r="KJN153" s="46"/>
      <c r="KJO153" s="44"/>
      <c r="KJP153" s="7"/>
      <c r="KJQ153" s="51"/>
      <c r="KJR153" s="52"/>
      <c r="KJS153" s="53"/>
      <c r="KJT153" s="54"/>
      <c r="KJU153" s="52"/>
      <c r="KJV153" s="53"/>
      <c r="KJW153" s="54"/>
      <c r="KJX153" s="52"/>
      <c r="KJY153" s="53"/>
      <c r="KJZ153" s="8"/>
      <c r="KKA153" s="45"/>
      <c r="KKB153" s="45"/>
      <c r="KKC153" s="46"/>
      <c r="KKD153" s="44"/>
      <c r="KKE153" s="7"/>
      <c r="KKF153" s="51"/>
      <c r="KKG153" s="52"/>
      <c r="KKH153" s="53"/>
      <c r="KKI153" s="54"/>
      <c r="KKJ153" s="52"/>
      <c r="KKK153" s="53"/>
      <c r="KKL153" s="54"/>
      <c r="KKM153" s="52"/>
      <c r="KKN153" s="53"/>
      <c r="KKO153" s="8"/>
      <c r="KKP153" s="45"/>
      <c r="KKQ153" s="45"/>
      <c r="KKR153" s="46"/>
      <c r="KKS153" s="44"/>
      <c r="KKT153" s="7"/>
      <c r="KKU153" s="51"/>
      <c r="KKV153" s="52"/>
      <c r="KKW153" s="53"/>
      <c r="KKX153" s="54"/>
      <c r="KKY153" s="52"/>
      <c r="KKZ153" s="53"/>
      <c r="KLA153" s="54"/>
      <c r="KLB153" s="52"/>
      <c r="KLC153" s="53"/>
      <c r="KLD153" s="8"/>
      <c r="KLE153" s="45"/>
      <c r="KLF153" s="45"/>
      <c r="KLG153" s="46"/>
      <c r="KLH153" s="44"/>
      <c r="KLI153" s="7"/>
      <c r="KLJ153" s="51"/>
      <c r="KLK153" s="52"/>
      <c r="KLL153" s="53"/>
      <c r="KLM153" s="54"/>
      <c r="KLN153" s="52"/>
      <c r="KLO153" s="53"/>
      <c r="KLP153" s="54"/>
      <c r="KLQ153" s="52"/>
      <c r="KLR153" s="53"/>
      <c r="KLS153" s="8"/>
      <c r="KLT153" s="45"/>
      <c r="KLU153" s="45"/>
      <c r="KLV153" s="46"/>
      <c r="KLW153" s="44"/>
      <c r="KLX153" s="7"/>
      <c r="KLY153" s="51"/>
      <c r="KLZ153" s="52"/>
      <c r="KMA153" s="53"/>
      <c r="KMB153" s="54"/>
      <c r="KMC153" s="52"/>
      <c r="KMD153" s="53"/>
      <c r="KME153" s="54"/>
      <c r="KMF153" s="52"/>
      <c r="KMG153" s="53"/>
      <c r="KMH153" s="8"/>
      <c r="KMI153" s="45"/>
      <c r="KMJ153" s="45"/>
      <c r="KMK153" s="46"/>
      <c r="KML153" s="44"/>
      <c r="KMM153" s="7"/>
      <c r="KMN153" s="51"/>
      <c r="KMO153" s="52"/>
      <c r="KMP153" s="53"/>
      <c r="KMQ153" s="54"/>
      <c r="KMR153" s="52"/>
      <c r="KMS153" s="53"/>
      <c r="KMT153" s="54"/>
      <c r="KMU153" s="52"/>
      <c r="KMV153" s="53"/>
      <c r="KMW153" s="8"/>
      <c r="KMX153" s="45"/>
      <c r="KMY153" s="45"/>
      <c r="KMZ153" s="46"/>
      <c r="KNA153" s="44"/>
      <c r="KNB153" s="7"/>
      <c r="KNC153" s="51"/>
      <c r="KND153" s="52"/>
      <c r="KNE153" s="53"/>
      <c r="KNF153" s="54"/>
      <c r="KNG153" s="52"/>
      <c r="KNH153" s="53"/>
      <c r="KNI153" s="54"/>
      <c r="KNJ153" s="52"/>
      <c r="KNK153" s="53"/>
      <c r="KNL153" s="8"/>
      <c r="KNM153" s="45"/>
      <c r="KNN153" s="45"/>
      <c r="KNO153" s="46"/>
      <c r="KNP153" s="44"/>
      <c r="KNQ153" s="7"/>
      <c r="KNR153" s="51"/>
      <c r="KNS153" s="52"/>
      <c r="KNT153" s="53"/>
      <c r="KNU153" s="54"/>
      <c r="KNV153" s="52"/>
      <c r="KNW153" s="53"/>
      <c r="KNX153" s="54"/>
      <c r="KNY153" s="52"/>
      <c r="KNZ153" s="53"/>
      <c r="KOA153" s="8"/>
      <c r="KOB153" s="45"/>
      <c r="KOC153" s="45"/>
      <c r="KOD153" s="46"/>
      <c r="KOE153" s="44"/>
      <c r="KOF153" s="7"/>
      <c r="KOG153" s="51"/>
      <c r="KOH153" s="52"/>
      <c r="KOI153" s="53"/>
      <c r="KOJ153" s="54"/>
      <c r="KOK153" s="52"/>
      <c r="KOL153" s="53"/>
      <c r="KOM153" s="54"/>
      <c r="KON153" s="52"/>
      <c r="KOO153" s="53"/>
      <c r="KOP153" s="8"/>
      <c r="KOQ153" s="45"/>
      <c r="KOR153" s="45"/>
      <c r="KOS153" s="46"/>
      <c r="KOT153" s="44"/>
      <c r="KOU153" s="7"/>
      <c r="KOV153" s="51"/>
      <c r="KOW153" s="52"/>
      <c r="KOX153" s="53"/>
      <c r="KOY153" s="54"/>
      <c r="KOZ153" s="52"/>
      <c r="KPA153" s="53"/>
      <c r="KPB153" s="54"/>
      <c r="KPC153" s="52"/>
      <c r="KPD153" s="53"/>
      <c r="KPE153" s="8"/>
      <c r="KPF153" s="45"/>
      <c r="KPG153" s="45"/>
      <c r="KPH153" s="46"/>
      <c r="KPI153" s="44"/>
      <c r="KPJ153" s="7"/>
      <c r="KPK153" s="51"/>
      <c r="KPL153" s="52"/>
      <c r="KPM153" s="53"/>
      <c r="KPN153" s="54"/>
      <c r="KPO153" s="52"/>
      <c r="KPP153" s="53"/>
      <c r="KPQ153" s="54"/>
      <c r="KPR153" s="52"/>
      <c r="KPS153" s="53"/>
      <c r="KPT153" s="8"/>
      <c r="KPU153" s="45"/>
      <c r="KPV153" s="45"/>
      <c r="KPW153" s="46"/>
      <c r="KPX153" s="44"/>
      <c r="KPY153" s="7"/>
      <c r="KPZ153" s="51"/>
      <c r="KQA153" s="52"/>
      <c r="KQB153" s="53"/>
      <c r="KQC153" s="54"/>
      <c r="KQD153" s="52"/>
      <c r="KQE153" s="53"/>
      <c r="KQF153" s="54"/>
      <c r="KQG153" s="52"/>
      <c r="KQH153" s="53"/>
      <c r="KQI153" s="8"/>
      <c r="KQJ153" s="45"/>
      <c r="KQK153" s="45"/>
      <c r="KQL153" s="46"/>
      <c r="KQM153" s="44"/>
      <c r="KQN153" s="7"/>
      <c r="KQO153" s="51"/>
      <c r="KQP153" s="52"/>
      <c r="KQQ153" s="53"/>
      <c r="KQR153" s="54"/>
      <c r="KQS153" s="52"/>
      <c r="KQT153" s="53"/>
      <c r="KQU153" s="54"/>
      <c r="KQV153" s="52"/>
      <c r="KQW153" s="53"/>
      <c r="KQX153" s="8"/>
      <c r="KQY153" s="45"/>
      <c r="KQZ153" s="45"/>
      <c r="KRA153" s="46"/>
      <c r="KRB153" s="44"/>
      <c r="KRC153" s="7"/>
      <c r="KRD153" s="51"/>
      <c r="KRE153" s="52"/>
      <c r="KRF153" s="53"/>
      <c r="KRG153" s="54"/>
      <c r="KRH153" s="52"/>
      <c r="KRI153" s="53"/>
      <c r="KRJ153" s="54"/>
      <c r="KRK153" s="52"/>
      <c r="KRL153" s="53"/>
      <c r="KRM153" s="8"/>
      <c r="KRN153" s="45"/>
      <c r="KRO153" s="45"/>
      <c r="KRP153" s="46"/>
      <c r="KRQ153" s="44"/>
      <c r="KRR153" s="7"/>
      <c r="KRS153" s="51"/>
      <c r="KRT153" s="52"/>
      <c r="KRU153" s="53"/>
      <c r="KRV153" s="54"/>
      <c r="KRW153" s="52"/>
      <c r="KRX153" s="53"/>
      <c r="KRY153" s="54"/>
      <c r="KRZ153" s="52"/>
      <c r="KSA153" s="53"/>
      <c r="KSB153" s="8"/>
      <c r="KSC153" s="45"/>
      <c r="KSD153" s="45"/>
      <c r="KSE153" s="46"/>
      <c r="KSF153" s="44"/>
      <c r="KSG153" s="7"/>
      <c r="KSH153" s="51"/>
      <c r="KSI153" s="52"/>
      <c r="KSJ153" s="53"/>
      <c r="KSK153" s="54"/>
      <c r="KSL153" s="52"/>
      <c r="KSM153" s="53"/>
      <c r="KSN153" s="54"/>
      <c r="KSO153" s="52"/>
      <c r="KSP153" s="53"/>
      <c r="KSQ153" s="8"/>
      <c r="KSR153" s="45"/>
      <c r="KSS153" s="45"/>
      <c r="KST153" s="46"/>
      <c r="KSU153" s="44"/>
      <c r="KSV153" s="7"/>
      <c r="KSW153" s="51"/>
      <c r="KSX153" s="52"/>
      <c r="KSY153" s="53"/>
      <c r="KSZ153" s="54"/>
      <c r="KTA153" s="52"/>
      <c r="KTB153" s="53"/>
      <c r="KTC153" s="54"/>
      <c r="KTD153" s="52"/>
      <c r="KTE153" s="53"/>
      <c r="KTF153" s="8"/>
      <c r="KTG153" s="45"/>
      <c r="KTH153" s="45"/>
      <c r="KTI153" s="46"/>
      <c r="KTJ153" s="44"/>
      <c r="KTK153" s="7"/>
      <c r="KTL153" s="51"/>
      <c r="KTM153" s="52"/>
      <c r="KTN153" s="53"/>
      <c r="KTO153" s="54"/>
      <c r="KTP153" s="52"/>
      <c r="KTQ153" s="53"/>
      <c r="KTR153" s="54"/>
      <c r="KTS153" s="52"/>
      <c r="KTT153" s="53"/>
      <c r="KTU153" s="8"/>
      <c r="KTV153" s="45"/>
      <c r="KTW153" s="45"/>
      <c r="KTX153" s="46"/>
      <c r="KTY153" s="44"/>
      <c r="KTZ153" s="7"/>
      <c r="KUA153" s="51"/>
      <c r="KUB153" s="52"/>
      <c r="KUC153" s="53"/>
      <c r="KUD153" s="54"/>
      <c r="KUE153" s="52"/>
      <c r="KUF153" s="53"/>
      <c r="KUG153" s="54"/>
      <c r="KUH153" s="52"/>
      <c r="KUI153" s="53"/>
      <c r="KUJ153" s="8"/>
      <c r="KUK153" s="45"/>
      <c r="KUL153" s="45"/>
      <c r="KUM153" s="46"/>
      <c r="KUN153" s="44"/>
      <c r="KUO153" s="7"/>
      <c r="KUP153" s="51"/>
      <c r="KUQ153" s="52"/>
      <c r="KUR153" s="53"/>
      <c r="KUS153" s="54"/>
      <c r="KUT153" s="52"/>
      <c r="KUU153" s="53"/>
      <c r="KUV153" s="54"/>
      <c r="KUW153" s="52"/>
      <c r="KUX153" s="53"/>
      <c r="KUY153" s="8"/>
      <c r="KUZ153" s="45"/>
      <c r="KVA153" s="45"/>
      <c r="KVB153" s="46"/>
      <c r="KVC153" s="44"/>
      <c r="KVD153" s="7"/>
      <c r="KVE153" s="51"/>
      <c r="KVF153" s="52"/>
      <c r="KVG153" s="53"/>
      <c r="KVH153" s="54"/>
      <c r="KVI153" s="52"/>
      <c r="KVJ153" s="53"/>
      <c r="KVK153" s="54"/>
      <c r="KVL153" s="52"/>
      <c r="KVM153" s="53"/>
      <c r="KVN153" s="8"/>
      <c r="KVO153" s="45"/>
      <c r="KVP153" s="45"/>
      <c r="KVQ153" s="46"/>
      <c r="KVR153" s="44"/>
      <c r="KVS153" s="7"/>
      <c r="KVT153" s="51"/>
      <c r="KVU153" s="52"/>
      <c r="KVV153" s="53"/>
      <c r="KVW153" s="54"/>
      <c r="KVX153" s="52"/>
      <c r="KVY153" s="53"/>
      <c r="KVZ153" s="54"/>
      <c r="KWA153" s="52"/>
      <c r="KWB153" s="53"/>
      <c r="KWC153" s="8"/>
      <c r="KWD153" s="45"/>
      <c r="KWE153" s="45"/>
      <c r="KWF153" s="46"/>
      <c r="KWG153" s="44"/>
      <c r="KWH153" s="7"/>
      <c r="KWI153" s="51"/>
      <c r="KWJ153" s="52"/>
      <c r="KWK153" s="53"/>
      <c r="KWL153" s="54"/>
      <c r="KWM153" s="52"/>
      <c r="KWN153" s="53"/>
      <c r="KWO153" s="54"/>
      <c r="KWP153" s="52"/>
      <c r="KWQ153" s="53"/>
      <c r="KWR153" s="8"/>
      <c r="KWS153" s="45"/>
      <c r="KWT153" s="45"/>
      <c r="KWU153" s="46"/>
      <c r="KWV153" s="44"/>
      <c r="KWW153" s="7"/>
      <c r="KWX153" s="51"/>
      <c r="KWY153" s="52"/>
      <c r="KWZ153" s="53"/>
      <c r="KXA153" s="54"/>
      <c r="KXB153" s="52"/>
      <c r="KXC153" s="53"/>
      <c r="KXD153" s="54"/>
      <c r="KXE153" s="52"/>
      <c r="KXF153" s="53"/>
      <c r="KXG153" s="8"/>
      <c r="KXH153" s="45"/>
      <c r="KXI153" s="45"/>
      <c r="KXJ153" s="46"/>
      <c r="KXK153" s="44"/>
      <c r="KXL153" s="7"/>
      <c r="KXM153" s="51"/>
      <c r="KXN153" s="52"/>
      <c r="KXO153" s="53"/>
      <c r="KXP153" s="54"/>
      <c r="KXQ153" s="52"/>
      <c r="KXR153" s="53"/>
      <c r="KXS153" s="54"/>
      <c r="KXT153" s="52"/>
      <c r="KXU153" s="53"/>
      <c r="KXV153" s="8"/>
      <c r="KXW153" s="45"/>
      <c r="KXX153" s="45"/>
      <c r="KXY153" s="46"/>
      <c r="KXZ153" s="44"/>
      <c r="KYA153" s="7"/>
      <c r="KYB153" s="51"/>
      <c r="KYC153" s="52"/>
      <c r="KYD153" s="53"/>
      <c r="KYE153" s="54"/>
      <c r="KYF153" s="52"/>
      <c r="KYG153" s="53"/>
      <c r="KYH153" s="54"/>
      <c r="KYI153" s="52"/>
      <c r="KYJ153" s="53"/>
      <c r="KYK153" s="8"/>
      <c r="KYL153" s="45"/>
      <c r="KYM153" s="45"/>
      <c r="KYN153" s="46"/>
      <c r="KYO153" s="44"/>
      <c r="KYP153" s="7"/>
      <c r="KYQ153" s="51"/>
      <c r="KYR153" s="52"/>
      <c r="KYS153" s="53"/>
      <c r="KYT153" s="54"/>
      <c r="KYU153" s="52"/>
      <c r="KYV153" s="53"/>
      <c r="KYW153" s="54"/>
      <c r="KYX153" s="52"/>
      <c r="KYY153" s="53"/>
      <c r="KYZ153" s="8"/>
      <c r="KZA153" s="45"/>
      <c r="KZB153" s="45"/>
      <c r="KZC153" s="46"/>
      <c r="KZD153" s="44"/>
      <c r="KZE153" s="7"/>
      <c r="KZF153" s="51"/>
      <c r="KZG153" s="52"/>
      <c r="KZH153" s="53"/>
      <c r="KZI153" s="54"/>
      <c r="KZJ153" s="52"/>
      <c r="KZK153" s="53"/>
      <c r="KZL153" s="54"/>
      <c r="KZM153" s="52"/>
      <c r="KZN153" s="53"/>
      <c r="KZO153" s="8"/>
      <c r="KZP153" s="45"/>
      <c r="KZQ153" s="45"/>
      <c r="KZR153" s="46"/>
      <c r="KZS153" s="44"/>
      <c r="KZT153" s="7"/>
      <c r="KZU153" s="51"/>
      <c r="KZV153" s="52"/>
      <c r="KZW153" s="53"/>
      <c r="KZX153" s="54"/>
      <c r="KZY153" s="52"/>
      <c r="KZZ153" s="53"/>
      <c r="LAA153" s="54"/>
      <c r="LAB153" s="52"/>
      <c r="LAC153" s="53"/>
      <c r="LAD153" s="8"/>
      <c r="LAE153" s="45"/>
      <c r="LAF153" s="45"/>
      <c r="LAG153" s="46"/>
      <c r="LAH153" s="44"/>
      <c r="LAI153" s="7"/>
      <c r="LAJ153" s="51"/>
      <c r="LAK153" s="52"/>
      <c r="LAL153" s="53"/>
      <c r="LAM153" s="54"/>
      <c r="LAN153" s="52"/>
      <c r="LAO153" s="53"/>
      <c r="LAP153" s="54"/>
      <c r="LAQ153" s="52"/>
      <c r="LAR153" s="53"/>
      <c r="LAS153" s="8"/>
      <c r="LAT153" s="45"/>
      <c r="LAU153" s="45"/>
      <c r="LAV153" s="46"/>
      <c r="LAW153" s="44"/>
      <c r="LAX153" s="7"/>
      <c r="LAY153" s="51"/>
      <c r="LAZ153" s="52"/>
      <c r="LBA153" s="53"/>
      <c r="LBB153" s="54"/>
      <c r="LBC153" s="52"/>
      <c r="LBD153" s="53"/>
      <c r="LBE153" s="54"/>
      <c r="LBF153" s="52"/>
      <c r="LBG153" s="53"/>
      <c r="LBH153" s="8"/>
      <c r="LBI153" s="45"/>
      <c r="LBJ153" s="45"/>
      <c r="LBK153" s="46"/>
      <c r="LBL153" s="44"/>
      <c r="LBM153" s="7"/>
      <c r="LBN153" s="51"/>
      <c r="LBO153" s="52"/>
      <c r="LBP153" s="53"/>
      <c r="LBQ153" s="54"/>
      <c r="LBR153" s="52"/>
      <c r="LBS153" s="53"/>
      <c r="LBT153" s="54"/>
      <c r="LBU153" s="52"/>
      <c r="LBV153" s="53"/>
      <c r="LBW153" s="8"/>
      <c r="LBX153" s="45"/>
      <c r="LBY153" s="45"/>
      <c r="LBZ153" s="46"/>
      <c r="LCA153" s="44"/>
      <c r="LCB153" s="7"/>
      <c r="LCC153" s="51"/>
      <c r="LCD153" s="52"/>
      <c r="LCE153" s="53"/>
      <c r="LCF153" s="54"/>
      <c r="LCG153" s="52"/>
      <c r="LCH153" s="53"/>
      <c r="LCI153" s="54"/>
      <c r="LCJ153" s="52"/>
      <c r="LCK153" s="53"/>
      <c r="LCL153" s="8"/>
      <c r="LCM153" s="45"/>
      <c r="LCN153" s="45"/>
      <c r="LCO153" s="46"/>
      <c r="LCP153" s="44"/>
      <c r="LCQ153" s="7"/>
      <c r="LCR153" s="51"/>
      <c r="LCS153" s="52"/>
      <c r="LCT153" s="53"/>
      <c r="LCU153" s="54"/>
      <c r="LCV153" s="52"/>
      <c r="LCW153" s="53"/>
      <c r="LCX153" s="54"/>
      <c r="LCY153" s="52"/>
      <c r="LCZ153" s="53"/>
      <c r="LDA153" s="8"/>
      <c r="LDB153" s="45"/>
      <c r="LDC153" s="45"/>
      <c r="LDD153" s="46"/>
      <c r="LDE153" s="44"/>
      <c r="LDF153" s="7"/>
      <c r="LDG153" s="51"/>
      <c r="LDH153" s="52"/>
      <c r="LDI153" s="53"/>
      <c r="LDJ153" s="54"/>
      <c r="LDK153" s="52"/>
      <c r="LDL153" s="53"/>
      <c r="LDM153" s="54"/>
      <c r="LDN153" s="52"/>
      <c r="LDO153" s="53"/>
      <c r="LDP153" s="8"/>
      <c r="LDQ153" s="45"/>
      <c r="LDR153" s="45"/>
      <c r="LDS153" s="46"/>
      <c r="LDT153" s="44"/>
      <c r="LDU153" s="7"/>
      <c r="LDV153" s="51"/>
      <c r="LDW153" s="52"/>
      <c r="LDX153" s="53"/>
      <c r="LDY153" s="54"/>
      <c r="LDZ153" s="52"/>
      <c r="LEA153" s="53"/>
      <c r="LEB153" s="54"/>
      <c r="LEC153" s="52"/>
      <c r="LED153" s="53"/>
      <c r="LEE153" s="8"/>
      <c r="LEF153" s="45"/>
      <c r="LEG153" s="45"/>
      <c r="LEH153" s="46"/>
      <c r="LEI153" s="44"/>
      <c r="LEJ153" s="7"/>
      <c r="LEK153" s="51"/>
      <c r="LEL153" s="52"/>
      <c r="LEM153" s="53"/>
      <c r="LEN153" s="54"/>
      <c r="LEO153" s="52"/>
      <c r="LEP153" s="53"/>
      <c r="LEQ153" s="54"/>
      <c r="LER153" s="52"/>
      <c r="LES153" s="53"/>
      <c r="LET153" s="8"/>
      <c r="LEU153" s="45"/>
      <c r="LEV153" s="45"/>
      <c r="LEW153" s="46"/>
      <c r="LEX153" s="44"/>
      <c r="LEY153" s="7"/>
      <c r="LEZ153" s="51"/>
      <c r="LFA153" s="52"/>
      <c r="LFB153" s="53"/>
      <c r="LFC153" s="54"/>
      <c r="LFD153" s="52"/>
      <c r="LFE153" s="53"/>
      <c r="LFF153" s="54"/>
      <c r="LFG153" s="52"/>
      <c r="LFH153" s="53"/>
      <c r="LFI153" s="8"/>
      <c r="LFJ153" s="45"/>
      <c r="LFK153" s="45"/>
      <c r="LFL153" s="46"/>
      <c r="LFM153" s="44"/>
      <c r="LFN153" s="7"/>
      <c r="LFO153" s="51"/>
      <c r="LFP153" s="52"/>
      <c r="LFQ153" s="53"/>
      <c r="LFR153" s="54"/>
      <c r="LFS153" s="52"/>
      <c r="LFT153" s="53"/>
      <c r="LFU153" s="54"/>
      <c r="LFV153" s="52"/>
      <c r="LFW153" s="53"/>
      <c r="LFX153" s="8"/>
      <c r="LFY153" s="45"/>
      <c r="LFZ153" s="45"/>
      <c r="LGA153" s="46"/>
      <c r="LGB153" s="44"/>
      <c r="LGC153" s="7"/>
      <c r="LGD153" s="51"/>
      <c r="LGE153" s="52"/>
      <c r="LGF153" s="53"/>
      <c r="LGG153" s="54"/>
      <c r="LGH153" s="52"/>
      <c r="LGI153" s="53"/>
      <c r="LGJ153" s="54"/>
      <c r="LGK153" s="52"/>
      <c r="LGL153" s="53"/>
      <c r="LGM153" s="8"/>
      <c r="LGN153" s="45"/>
      <c r="LGO153" s="45"/>
      <c r="LGP153" s="46"/>
      <c r="LGQ153" s="44"/>
      <c r="LGR153" s="7"/>
      <c r="LGS153" s="51"/>
      <c r="LGT153" s="52"/>
      <c r="LGU153" s="53"/>
      <c r="LGV153" s="54"/>
      <c r="LGW153" s="52"/>
      <c r="LGX153" s="53"/>
      <c r="LGY153" s="54"/>
      <c r="LGZ153" s="52"/>
      <c r="LHA153" s="53"/>
      <c r="LHB153" s="8"/>
      <c r="LHC153" s="45"/>
      <c r="LHD153" s="45"/>
      <c r="LHE153" s="46"/>
      <c r="LHF153" s="44"/>
      <c r="LHG153" s="7"/>
      <c r="LHH153" s="51"/>
      <c r="LHI153" s="52"/>
      <c r="LHJ153" s="53"/>
      <c r="LHK153" s="54"/>
      <c r="LHL153" s="52"/>
      <c r="LHM153" s="53"/>
      <c r="LHN153" s="54"/>
      <c r="LHO153" s="52"/>
      <c r="LHP153" s="53"/>
      <c r="LHQ153" s="8"/>
      <c r="LHR153" s="45"/>
      <c r="LHS153" s="45"/>
      <c r="LHT153" s="46"/>
      <c r="LHU153" s="44"/>
      <c r="LHV153" s="7"/>
      <c r="LHW153" s="51"/>
      <c r="LHX153" s="52"/>
      <c r="LHY153" s="53"/>
      <c r="LHZ153" s="54"/>
      <c r="LIA153" s="52"/>
      <c r="LIB153" s="53"/>
      <c r="LIC153" s="54"/>
      <c r="LID153" s="52"/>
      <c r="LIE153" s="53"/>
      <c r="LIF153" s="8"/>
      <c r="LIG153" s="45"/>
      <c r="LIH153" s="45"/>
      <c r="LII153" s="46"/>
      <c r="LIJ153" s="44"/>
      <c r="LIK153" s="7"/>
      <c r="LIL153" s="51"/>
      <c r="LIM153" s="52"/>
      <c r="LIN153" s="53"/>
      <c r="LIO153" s="54"/>
      <c r="LIP153" s="52"/>
      <c r="LIQ153" s="53"/>
      <c r="LIR153" s="54"/>
      <c r="LIS153" s="52"/>
      <c r="LIT153" s="53"/>
      <c r="LIU153" s="8"/>
      <c r="LIV153" s="45"/>
      <c r="LIW153" s="45"/>
      <c r="LIX153" s="46"/>
      <c r="LIY153" s="44"/>
      <c r="LIZ153" s="7"/>
      <c r="LJA153" s="51"/>
      <c r="LJB153" s="52"/>
      <c r="LJC153" s="53"/>
      <c r="LJD153" s="54"/>
      <c r="LJE153" s="52"/>
      <c r="LJF153" s="53"/>
      <c r="LJG153" s="54"/>
      <c r="LJH153" s="52"/>
      <c r="LJI153" s="53"/>
      <c r="LJJ153" s="8"/>
      <c r="LJK153" s="45"/>
      <c r="LJL153" s="45"/>
      <c r="LJM153" s="46"/>
      <c r="LJN153" s="44"/>
      <c r="LJO153" s="7"/>
      <c r="LJP153" s="51"/>
      <c r="LJQ153" s="52"/>
      <c r="LJR153" s="53"/>
      <c r="LJS153" s="54"/>
      <c r="LJT153" s="52"/>
      <c r="LJU153" s="53"/>
      <c r="LJV153" s="54"/>
      <c r="LJW153" s="52"/>
      <c r="LJX153" s="53"/>
      <c r="LJY153" s="8"/>
      <c r="LJZ153" s="45"/>
      <c r="LKA153" s="45"/>
      <c r="LKB153" s="46"/>
      <c r="LKC153" s="44"/>
      <c r="LKD153" s="7"/>
      <c r="LKE153" s="51"/>
      <c r="LKF153" s="52"/>
      <c r="LKG153" s="53"/>
      <c r="LKH153" s="54"/>
      <c r="LKI153" s="52"/>
      <c r="LKJ153" s="53"/>
      <c r="LKK153" s="54"/>
      <c r="LKL153" s="52"/>
      <c r="LKM153" s="53"/>
      <c r="LKN153" s="8"/>
      <c r="LKO153" s="45"/>
      <c r="LKP153" s="45"/>
      <c r="LKQ153" s="46"/>
      <c r="LKR153" s="44"/>
      <c r="LKS153" s="7"/>
      <c r="LKT153" s="51"/>
      <c r="LKU153" s="52"/>
      <c r="LKV153" s="53"/>
      <c r="LKW153" s="54"/>
      <c r="LKX153" s="52"/>
      <c r="LKY153" s="53"/>
      <c r="LKZ153" s="54"/>
      <c r="LLA153" s="52"/>
      <c r="LLB153" s="53"/>
      <c r="LLC153" s="8"/>
      <c r="LLD153" s="45"/>
      <c r="LLE153" s="45"/>
      <c r="LLF153" s="46"/>
      <c r="LLG153" s="44"/>
      <c r="LLH153" s="7"/>
      <c r="LLI153" s="51"/>
      <c r="LLJ153" s="52"/>
      <c r="LLK153" s="53"/>
      <c r="LLL153" s="54"/>
      <c r="LLM153" s="52"/>
      <c r="LLN153" s="53"/>
      <c r="LLO153" s="54"/>
      <c r="LLP153" s="52"/>
      <c r="LLQ153" s="53"/>
      <c r="LLR153" s="8"/>
      <c r="LLS153" s="45"/>
      <c r="LLT153" s="45"/>
      <c r="LLU153" s="46"/>
      <c r="LLV153" s="44"/>
      <c r="LLW153" s="7"/>
      <c r="LLX153" s="51"/>
      <c r="LLY153" s="52"/>
      <c r="LLZ153" s="53"/>
      <c r="LMA153" s="54"/>
      <c r="LMB153" s="52"/>
      <c r="LMC153" s="53"/>
      <c r="LMD153" s="54"/>
      <c r="LME153" s="52"/>
      <c r="LMF153" s="53"/>
      <c r="LMG153" s="8"/>
      <c r="LMH153" s="45"/>
      <c r="LMI153" s="45"/>
      <c r="LMJ153" s="46"/>
      <c r="LMK153" s="44"/>
      <c r="LML153" s="7"/>
      <c r="LMM153" s="51"/>
      <c r="LMN153" s="52"/>
      <c r="LMO153" s="53"/>
      <c r="LMP153" s="54"/>
      <c r="LMQ153" s="52"/>
      <c r="LMR153" s="53"/>
      <c r="LMS153" s="54"/>
      <c r="LMT153" s="52"/>
      <c r="LMU153" s="53"/>
      <c r="LMV153" s="8"/>
      <c r="LMW153" s="45"/>
      <c r="LMX153" s="45"/>
      <c r="LMY153" s="46"/>
      <c r="LMZ153" s="44"/>
      <c r="LNA153" s="7"/>
      <c r="LNB153" s="51"/>
      <c r="LNC153" s="52"/>
      <c r="LND153" s="53"/>
      <c r="LNE153" s="54"/>
      <c r="LNF153" s="52"/>
      <c r="LNG153" s="53"/>
      <c r="LNH153" s="54"/>
      <c r="LNI153" s="52"/>
      <c r="LNJ153" s="53"/>
      <c r="LNK153" s="8"/>
      <c r="LNL153" s="45"/>
      <c r="LNM153" s="45"/>
      <c r="LNN153" s="46"/>
      <c r="LNO153" s="44"/>
      <c r="LNP153" s="7"/>
      <c r="LNQ153" s="51"/>
      <c r="LNR153" s="52"/>
      <c r="LNS153" s="53"/>
      <c r="LNT153" s="54"/>
      <c r="LNU153" s="52"/>
      <c r="LNV153" s="53"/>
      <c r="LNW153" s="54"/>
      <c r="LNX153" s="52"/>
      <c r="LNY153" s="53"/>
      <c r="LNZ153" s="8"/>
      <c r="LOA153" s="45"/>
      <c r="LOB153" s="45"/>
      <c r="LOC153" s="46"/>
      <c r="LOD153" s="44"/>
      <c r="LOE153" s="7"/>
      <c r="LOF153" s="51"/>
      <c r="LOG153" s="52"/>
      <c r="LOH153" s="53"/>
      <c r="LOI153" s="54"/>
      <c r="LOJ153" s="52"/>
      <c r="LOK153" s="53"/>
      <c r="LOL153" s="54"/>
      <c r="LOM153" s="52"/>
      <c r="LON153" s="53"/>
      <c r="LOO153" s="8"/>
      <c r="LOP153" s="45"/>
      <c r="LOQ153" s="45"/>
      <c r="LOR153" s="46"/>
      <c r="LOS153" s="44"/>
      <c r="LOT153" s="7"/>
      <c r="LOU153" s="51"/>
      <c r="LOV153" s="52"/>
      <c r="LOW153" s="53"/>
      <c r="LOX153" s="54"/>
      <c r="LOY153" s="52"/>
      <c r="LOZ153" s="53"/>
      <c r="LPA153" s="54"/>
      <c r="LPB153" s="52"/>
      <c r="LPC153" s="53"/>
      <c r="LPD153" s="8"/>
      <c r="LPE153" s="45"/>
      <c r="LPF153" s="45"/>
      <c r="LPG153" s="46"/>
      <c r="LPH153" s="44"/>
      <c r="LPI153" s="7"/>
      <c r="LPJ153" s="51"/>
      <c r="LPK153" s="52"/>
      <c r="LPL153" s="53"/>
      <c r="LPM153" s="54"/>
      <c r="LPN153" s="52"/>
      <c r="LPO153" s="53"/>
      <c r="LPP153" s="54"/>
      <c r="LPQ153" s="52"/>
      <c r="LPR153" s="53"/>
      <c r="LPS153" s="8"/>
      <c r="LPT153" s="45"/>
      <c r="LPU153" s="45"/>
      <c r="LPV153" s="46"/>
      <c r="LPW153" s="44"/>
      <c r="LPX153" s="7"/>
      <c r="LPY153" s="51"/>
      <c r="LPZ153" s="52"/>
      <c r="LQA153" s="53"/>
      <c r="LQB153" s="54"/>
      <c r="LQC153" s="52"/>
      <c r="LQD153" s="53"/>
      <c r="LQE153" s="54"/>
      <c r="LQF153" s="52"/>
      <c r="LQG153" s="53"/>
      <c r="LQH153" s="8"/>
      <c r="LQI153" s="45"/>
      <c r="LQJ153" s="45"/>
      <c r="LQK153" s="46"/>
      <c r="LQL153" s="44"/>
      <c r="LQM153" s="7"/>
      <c r="LQN153" s="51"/>
      <c r="LQO153" s="52"/>
      <c r="LQP153" s="53"/>
      <c r="LQQ153" s="54"/>
      <c r="LQR153" s="52"/>
      <c r="LQS153" s="53"/>
      <c r="LQT153" s="54"/>
      <c r="LQU153" s="52"/>
      <c r="LQV153" s="53"/>
      <c r="LQW153" s="8"/>
      <c r="LQX153" s="45"/>
      <c r="LQY153" s="45"/>
      <c r="LQZ153" s="46"/>
      <c r="LRA153" s="44"/>
      <c r="LRB153" s="7"/>
      <c r="LRC153" s="51"/>
      <c r="LRD153" s="52"/>
      <c r="LRE153" s="53"/>
      <c r="LRF153" s="54"/>
      <c r="LRG153" s="52"/>
      <c r="LRH153" s="53"/>
      <c r="LRI153" s="54"/>
      <c r="LRJ153" s="52"/>
      <c r="LRK153" s="53"/>
      <c r="LRL153" s="8"/>
      <c r="LRM153" s="45"/>
      <c r="LRN153" s="45"/>
      <c r="LRO153" s="46"/>
      <c r="LRP153" s="44"/>
      <c r="LRQ153" s="7"/>
      <c r="LRR153" s="51"/>
      <c r="LRS153" s="52"/>
      <c r="LRT153" s="53"/>
      <c r="LRU153" s="54"/>
      <c r="LRV153" s="52"/>
      <c r="LRW153" s="53"/>
      <c r="LRX153" s="54"/>
      <c r="LRY153" s="52"/>
      <c r="LRZ153" s="53"/>
      <c r="LSA153" s="8"/>
      <c r="LSB153" s="45"/>
      <c r="LSC153" s="45"/>
      <c r="LSD153" s="46"/>
      <c r="LSE153" s="44"/>
      <c r="LSF153" s="7"/>
      <c r="LSG153" s="51"/>
      <c r="LSH153" s="52"/>
      <c r="LSI153" s="53"/>
      <c r="LSJ153" s="54"/>
      <c r="LSK153" s="52"/>
      <c r="LSL153" s="53"/>
      <c r="LSM153" s="54"/>
      <c r="LSN153" s="52"/>
      <c r="LSO153" s="53"/>
      <c r="LSP153" s="8"/>
      <c r="LSQ153" s="45"/>
      <c r="LSR153" s="45"/>
      <c r="LSS153" s="46"/>
      <c r="LST153" s="44"/>
      <c r="LSU153" s="7"/>
      <c r="LSV153" s="51"/>
      <c r="LSW153" s="52"/>
      <c r="LSX153" s="53"/>
      <c r="LSY153" s="54"/>
      <c r="LSZ153" s="52"/>
      <c r="LTA153" s="53"/>
      <c r="LTB153" s="54"/>
      <c r="LTC153" s="52"/>
      <c r="LTD153" s="53"/>
      <c r="LTE153" s="8"/>
      <c r="LTF153" s="45"/>
      <c r="LTG153" s="45"/>
      <c r="LTH153" s="46"/>
      <c r="LTI153" s="44"/>
      <c r="LTJ153" s="7"/>
      <c r="LTK153" s="51"/>
      <c r="LTL153" s="52"/>
      <c r="LTM153" s="53"/>
      <c r="LTN153" s="54"/>
      <c r="LTO153" s="52"/>
      <c r="LTP153" s="53"/>
      <c r="LTQ153" s="54"/>
      <c r="LTR153" s="52"/>
      <c r="LTS153" s="53"/>
      <c r="LTT153" s="8"/>
      <c r="LTU153" s="45"/>
      <c r="LTV153" s="45"/>
      <c r="LTW153" s="46"/>
      <c r="LTX153" s="44"/>
      <c r="LTY153" s="7"/>
      <c r="LTZ153" s="51"/>
      <c r="LUA153" s="52"/>
      <c r="LUB153" s="53"/>
      <c r="LUC153" s="54"/>
      <c r="LUD153" s="52"/>
      <c r="LUE153" s="53"/>
      <c r="LUF153" s="54"/>
      <c r="LUG153" s="52"/>
      <c r="LUH153" s="53"/>
      <c r="LUI153" s="8"/>
      <c r="LUJ153" s="45"/>
      <c r="LUK153" s="45"/>
      <c r="LUL153" s="46"/>
      <c r="LUM153" s="44"/>
      <c r="LUN153" s="7"/>
      <c r="LUO153" s="51"/>
      <c r="LUP153" s="52"/>
      <c r="LUQ153" s="53"/>
      <c r="LUR153" s="54"/>
      <c r="LUS153" s="52"/>
      <c r="LUT153" s="53"/>
      <c r="LUU153" s="54"/>
      <c r="LUV153" s="52"/>
      <c r="LUW153" s="53"/>
      <c r="LUX153" s="8"/>
      <c r="LUY153" s="45"/>
      <c r="LUZ153" s="45"/>
      <c r="LVA153" s="46"/>
      <c r="LVB153" s="44"/>
      <c r="LVC153" s="7"/>
      <c r="LVD153" s="51"/>
      <c r="LVE153" s="52"/>
      <c r="LVF153" s="53"/>
      <c r="LVG153" s="54"/>
      <c r="LVH153" s="52"/>
      <c r="LVI153" s="53"/>
      <c r="LVJ153" s="54"/>
      <c r="LVK153" s="52"/>
      <c r="LVL153" s="53"/>
      <c r="LVM153" s="8"/>
      <c r="LVN153" s="45"/>
      <c r="LVO153" s="45"/>
      <c r="LVP153" s="46"/>
      <c r="LVQ153" s="44"/>
      <c r="LVR153" s="7"/>
      <c r="LVS153" s="51"/>
      <c r="LVT153" s="52"/>
      <c r="LVU153" s="53"/>
      <c r="LVV153" s="54"/>
      <c r="LVW153" s="52"/>
      <c r="LVX153" s="53"/>
      <c r="LVY153" s="54"/>
      <c r="LVZ153" s="52"/>
      <c r="LWA153" s="53"/>
      <c r="LWB153" s="8"/>
      <c r="LWC153" s="45"/>
      <c r="LWD153" s="45"/>
      <c r="LWE153" s="46"/>
      <c r="LWF153" s="44"/>
      <c r="LWG153" s="7"/>
      <c r="LWH153" s="51"/>
      <c r="LWI153" s="52"/>
      <c r="LWJ153" s="53"/>
      <c r="LWK153" s="54"/>
      <c r="LWL153" s="52"/>
      <c r="LWM153" s="53"/>
      <c r="LWN153" s="54"/>
      <c r="LWO153" s="52"/>
      <c r="LWP153" s="53"/>
      <c r="LWQ153" s="8"/>
      <c r="LWR153" s="45"/>
      <c r="LWS153" s="45"/>
      <c r="LWT153" s="46"/>
      <c r="LWU153" s="44"/>
      <c r="LWV153" s="7"/>
      <c r="LWW153" s="51"/>
      <c r="LWX153" s="52"/>
      <c r="LWY153" s="53"/>
      <c r="LWZ153" s="54"/>
      <c r="LXA153" s="52"/>
      <c r="LXB153" s="53"/>
      <c r="LXC153" s="54"/>
      <c r="LXD153" s="52"/>
      <c r="LXE153" s="53"/>
      <c r="LXF153" s="8"/>
      <c r="LXG153" s="45"/>
      <c r="LXH153" s="45"/>
      <c r="LXI153" s="46"/>
      <c r="LXJ153" s="44"/>
      <c r="LXK153" s="7"/>
      <c r="LXL153" s="51"/>
      <c r="LXM153" s="52"/>
      <c r="LXN153" s="53"/>
      <c r="LXO153" s="54"/>
      <c r="LXP153" s="52"/>
      <c r="LXQ153" s="53"/>
      <c r="LXR153" s="54"/>
      <c r="LXS153" s="52"/>
      <c r="LXT153" s="53"/>
      <c r="LXU153" s="8"/>
      <c r="LXV153" s="45"/>
      <c r="LXW153" s="45"/>
      <c r="LXX153" s="46"/>
      <c r="LXY153" s="44"/>
      <c r="LXZ153" s="7"/>
      <c r="LYA153" s="51"/>
      <c r="LYB153" s="52"/>
      <c r="LYC153" s="53"/>
      <c r="LYD153" s="54"/>
      <c r="LYE153" s="52"/>
      <c r="LYF153" s="53"/>
      <c r="LYG153" s="54"/>
      <c r="LYH153" s="52"/>
      <c r="LYI153" s="53"/>
      <c r="LYJ153" s="8"/>
      <c r="LYK153" s="45"/>
      <c r="LYL153" s="45"/>
      <c r="LYM153" s="46"/>
      <c r="LYN153" s="44"/>
      <c r="LYO153" s="7"/>
      <c r="LYP153" s="51"/>
      <c r="LYQ153" s="52"/>
      <c r="LYR153" s="53"/>
      <c r="LYS153" s="54"/>
      <c r="LYT153" s="52"/>
      <c r="LYU153" s="53"/>
      <c r="LYV153" s="54"/>
      <c r="LYW153" s="52"/>
      <c r="LYX153" s="53"/>
      <c r="LYY153" s="8"/>
      <c r="LYZ153" s="45"/>
      <c r="LZA153" s="45"/>
      <c r="LZB153" s="46"/>
      <c r="LZC153" s="44"/>
      <c r="LZD153" s="7"/>
      <c r="LZE153" s="51"/>
      <c r="LZF153" s="52"/>
      <c r="LZG153" s="53"/>
      <c r="LZH153" s="54"/>
      <c r="LZI153" s="52"/>
      <c r="LZJ153" s="53"/>
      <c r="LZK153" s="54"/>
      <c r="LZL153" s="52"/>
      <c r="LZM153" s="53"/>
      <c r="LZN153" s="8"/>
      <c r="LZO153" s="45"/>
      <c r="LZP153" s="45"/>
      <c r="LZQ153" s="46"/>
      <c r="LZR153" s="44"/>
      <c r="LZS153" s="7"/>
      <c r="LZT153" s="51"/>
      <c r="LZU153" s="52"/>
      <c r="LZV153" s="53"/>
      <c r="LZW153" s="54"/>
      <c r="LZX153" s="52"/>
      <c r="LZY153" s="53"/>
      <c r="LZZ153" s="54"/>
      <c r="MAA153" s="52"/>
      <c r="MAB153" s="53"/>
      <c r="MAC153" s="8"/>
      <c r="MAD153" s="45"/>
      <c r="MAE153" s="45"/>
      <c r="MAF153" s="46"/>
      <c r="MAG153" s="44"/>
      <c r="MAH153" s="7"/>
      <c r="MAI153" s="51"/>
      <c r="MAJ153" s="52"/>
      <c r="MAK153" s="53"/>
      <c r="MAL153" s="54"/>
      <c r="MAM153" s="52"/>
      <c r="MAN153" s="53"/>
      <c r="MAO153" s="54"/>
      <c r="MAP153" s="52"/>
      <c r="MAQ153" s="53"/>
      <c r="MAR153" s="8"/>
      <c r="MAS153" s="45"/>
      <c r="MAT153" s="45"/>
      <c r="MAU153" s="46"/>
      <c r="MAV153" s="44"/>
      <c r="MAW153" s="7"/>
      <c r="MAX153" s="51"/>
      <c r="MAY153" s="52"/>
      <c r="MAZ153" s="53"/>
      <c r="MBA153" s="54"/>
      <c r="MBB153" s="52"/>
      <c r="MBC153" s="53"/>
      <c r="MBD153" s="54"/>
      <c r="MBE153" s="52"/>
      <c r="MBF153" s="53"/>
      <c r="MBG153" s="8"/>
      <c r="MBH153" s="45"/>
      <c r="MBI153" s="45"/>
      <c r="MBJ153" s="46"/>
      <c r="MBK153" s="44"/>
      <c r="MBL153" s="7"/>
      <c r="MBM153" s="51"/>
      <c r="MBN153" s="52"/>
      <c r="MBO153" s="53"/>
      <c r="MBP153" s="54"/>
      <c r="MBQ153" s="52"/>
      <c r="MBR153" s="53"/>
      <c r="MBS153" s="54"/>
      <c r="MBT153" s="52"/>
      <c r="MBU153" s="53"/>
      <c r="MBV153" s="8"/>
      <c r="MBW153" s="45"/>
      <c r="MBX153" s="45"/>
      <c r="MBY153" s="46"/>
      <c r="MBZ153" s="44"/>
      <c r="MCA153" s="7"/>
      <c r="MCB153" s="51"/>
      <c r="MCC153" s="52"/>
      <c r="MCD153" s="53"/>
      <c r="MCE153" s="54"/>
      <c r="MCF153" s="52"/>
      <c r="MCG153" s="53"/>
      <c r="MCH153" s="54"/>
      <c r="MCI153" s="52"/>
      <c r="MCJ153" s="53"/>
      <c r="MCK153" s="8"/>
      <c r="MCL153" s="45"/>
      <c r="MCM153" s="45"/>
      <c r="MCN153" s="46"/>
      <c r="MCO153" s="44"/>
      <c r="MCP153" s="7"/>
      <c r="MCQ153" s="51"/>
      <c r="MCR153" s="52"/>
      <c r="MCS153" s="53"/>
      <c r="MCT153" s="54"/>
      <c r="MCU153" s="52"/>
      <c r="MCV153" s="53"/>
      <c r="MCW153" s="54"/>
      <c r="MCX153" s="52"/>
      <c r="MCY153" s="53"/>
      <c r="MCZ153" s="8"/>
      <c r="MDA153" s="45"/>
      <c r="MDB153" s="45"/>
      <c r="MDC153" s="46"/>
      <c r="MDD153" s="44"/>
      <c r="MDE153" s="7"/>
      <c r="MDF153" s="51"/>
      <c r="MDG153" s="52"/>
      <c r="MDH153" s="53"/>
      <c r="MDI153" s="54"/>
      <c r="MDJ153" s="52"/>
      <c r="MDK153" s="53"/>
      <c r="MDL153" s="54"/>
      <c r="MDM153" s="52"/>
      <c r="MDN153" s="53"/>
      <c r="MDO153" s="8"/>
      <c r="MDP153" s="45"/>
      <c r="MDQ153" s="45"/>
      <c r="MDR153" s="46"/>
      <c r="MDS153" s="44"/>
      <c r="MDT153" s="7"/>
      <c r="MDU153" s="51"/>
      <c r="MDV153" s="52"/>
      <c r="MDW153" s="53"/>
      <c r="MDX153" s="54"/>
      <c r="MDY153" s="52"/>
      <c r="MDZ153" s="53"/>
      <c r="MEA153" s="54"/>
      <c r="MEB153" s="52"/>
      <c r="MEC153" s="53"/>
      <c r="MED153" s="8"/>
      <c r="MEE153" s="45"/>
      <c r="MEF153" s="45"/>
      <c r="MEG153" s="46"/>
      <c r="MEH153" s="44"/>
      <c r="MEI153" s="7"/>
      <c r="MEJ153" s="51"/>
      <c r="MEK153" s="52"/>
      <c r="MEL153" s="53"/>
      <c r="MEM153" s="54"/>
      <c r="MEN153" s="52"/>
      <c r="MEO153" s="53"/>
      <c r="MEP153" s="54"/>
      <c r="MEQ153" s="52"/>
      <c r="MER153" s="53"/>
      <c r="MES153" s="8"/>
      <c r="MET153" s="45"/>
      <c r="MEU153" s="45"/>
      <c r="MEV153" s="46"/>
      <c r="MEW153" s="44"/>
      <c r="MEX153" s="7"/>
      <c r="MEY153" s="51"/>
      <c r="MEZ153" s="52"/>
      <c r="MFA153" s="53"/>
      <c r="MFB153" s="54"/>
      <c r="MFC153" s="52"/>
      <c r="MFD153" s="53"/>
      <c r="MFE153" s="54"/>
      <c r="MFF153" s="52"/>
      <c r="MFG153" s="53"/>
      <c r="MFH153" s="8"/>
      <c r="MFI153" s="45"/>
      <c r="MFJ153" s="45"/>
      <c r="MFK153" s="46"/>
      <c r="MFL153" s="44"/>
      <c r="MFM153" s="7"/>
      <c r="MFN153" s="51"/>
      <c r="MFO153" s="52"/>
      <c r="MFP153" s="53"/>
      <c r="MFQ153" s="54"/>
      <c r="MFR153" s="52"/>
      <c r="MFS153" s="53"/>
      <c r="MFT153" s="54"/>
      <c r="MFU153" s="52"/>
      <c r="MFV153" s="53"/>
      <c r="MFW153" s="8"/>
      <c r="MFX153" s="45"/>
      <c r="MFY153" s="45"/>
      <c r="MFZ153" s="46"/>
      <c r="MGA153" s="44"/>
      <c r="MGB153" s="7"/>
      <c r="MGC153" s="51"/>
      <c r="MGD153" s="52"/>
      <c r="MGE153" s="53"/>
      <c r="MGF153" s="54"/>
      <c r="MGG153" s="52"/>
      <c r="MGH153" s="53"/>
      <c r="MGI153" s="54"/>
      <c r="MGJ153" s="52"/>
      <c r="MGK153" s="53"/>
      <c r="MGL153" s="8"/>
      <c r="MGM153" s="45"/>
      <c r="MGN153" s="45"/>
      <c r="MGO153" s="46"/>
      <c r="MGP153" s="44"/>
      <c r="MGQ153" s="7"/>
      <c r="MGR153" s="51"/>
      <c r="MGS153" s="52"/>
      <c r="MGT153" s="53"/>
      <c r="MGU153" s="54"/>
      <c r="MGV153" s="52"/>
      <c r="MGW153" s="53"/>
      <c r="MGX153" s="54"/>
      <c r="MGY153" s="52"/>
      <c r="MGZ153" s="53"/>
      <c r="MHA153" s="8"/>
      <c r="MHB153" s="45"/>
      <c r="MHC153" s="45"/>
      <c r="MHD153" s="46"/>
      <c r="MHE153" s="44"/>
      <c r="MHF153" s="7"/>
      <c r="MHG153" s="51"/>
      <c r="MHH153" s="52"/>
      <c r="MHI153" s="53"/>
      <c r="MHJ153" s="54"/>
      <c r="MHK153" s="52"/>
      <c r="MHL153" s="53"/>
      <c r="MHM153" s="54"/>
      <c r="MHN153" s="52"/>
      <c r="MHO153" s="53"/>
      <c r="MHP153" s="8"/>
      <c r="MHQ153" s="45"/>
      <c r="MHR153" s="45"/>
      <c r="MHS153" s="46"/>
      <c r="MHT153" s="44"/>
      <c r="MHU153" s="7"/>
      <c r="MHV153" s="51"/>
      <c r="MHW153" s="52"/>
      <c r="MHX153" s="53"/>
      <c r="MHY153" s="54"/>
      <c r="MHZ153" s="52"/>
      <c r="MIA153" s="53"/>
      <c r="MIB153" s="54"/>
      <c r="MIC153" s="52"/>
      <c r="MID153" s="53"/>
      <c r="MIE153" s="8"/>
      <c r="MIF153" s="45"/>
      <c r="MIG153" s="45"/>
      <c r="MIH153" s="46"/>
      <c r="MII153" s="44"/>
      <c r="MIJ153" s="7"/>
      <c r="MIK153" s="51"/>
      <c r="MIL153" s="52"/>
      <c r="MIM153" s="53"/>
      <c r="MIN153" s="54"/>
      <c r="MIO153" s="52"/>
      <c r="MIP153" s="53"/>
      <c r="MIQ153" s="54"/>
      <c r="MIR153" s="52"/>
      <c r="MIS153" s="53"/>
      <c r="MIT153" s="8"/>
      <c r="MIU153" s="45"/>
      <c r="MIV153" s="45"/>
      <c r="MIW153" s="46"/>
      <c r="MIX153" s="44"/>
      <c r="MIY153" s="7"/>
      <c r="MIZ153" s="51"/>
      <c r="MJA153" s="52"/>
      <c r="MJB153" s="53"/>
      <c r="MJC153" s="54"/>
      <c r="MJD153" s="52"/>
      <c r="MJE153" s="53"/>
      <c r="MJF153" s="54"/>
      <c r="MJG153" s="52"/>
      <c r="MJH153" s="53"/>
      <c r="MJI153" s="8"/>
      <c r="MJJ153" s="45"/>
      <c r="MJK153" s="45"/>
      <c r="MJL153" s="46"/>
      <c r="MJM153" s="44"/>
      <c r="MJN153" s="7"/>
      <c r="MJO153" s="51"/>
      <c r="MJP153" s="52"/>
      <c r="MJQ153" s="53"/>
      <c r="MJR153" s="54"/>
      <c r="MJS153" s="52"/>
      <c r="MJT153" s="53"/>
      <c r="MJU153" s="54"/>
      <c r="MJV153" s="52"/>
      <c r="MJW153" s="53"/>
      <c r="MJX153" s="8"/>
      <c r="MJY153" s="45"/>
      <c r="MJZ153" s="45"/>
      <c r="MKA153" s="46"/>
      <c r="MKB153" s="44"/>
      <c r="MKC153" s="7"/>
      <c r="MKD153" s="51"/>
      <c r="MKE153" s="52"/>
      <c r="MKF153" s="53"/>
    </row>
    <row r="154" spans="1:9080">
      <c r="A154" s="44"/>
      <c r="B154" s="7"/>
      <c r="C154" s="51"/>
      <c r="D154" s="52"/>
      <c r="E154" s="53"/>
      <c r="F154" s="54"/>
      <c r="G154" s="52"/>
      <c r="H154" s="53"/>
      <c r="I154" s="54"/>
      <c r="J154" s="52"/>
      <c r="K154" s="53"/>
      <c r="L154" s="8"/>
      <c r="M154" s="45"/>
      <c r="N154" s="45"/>
      <c r="O154" s="46"/>
      <c r="NB154" s="54"/>
      <c r="NC154" s="52"/>
      <c r="ND154" s="53"/>
      <c r="NE154" s="54"/>
      <c r="NF154" s="52"/>
      <c r="NG154" s="53"/>
      <c r="NH154" s="8"/>
      <c r="NI154" s="45"/>
      <c r="NJ154" s="45"/>
      <c r="NK154" s="46"/>
      <c r="NL154" s="44"/>
      <c r="NM154" s="7"/>
      <c r="NN154" s="51"/>
      <c r="NO154" s="52"/>
      <c r="NP154" s="53"/>
      <c r="NQ154" s="54"/>
      <c r="NR154" s="52"/>
      <c r="NS154" s="53"/>
      <c r="NT154" s="54"/>
      <c r="NU154" s="52"/>
      <c r="NV154" s="53"/>
      <c r="NW154" s="8"/>
      <c r="NX154" s="45"/>
      <c r="NY154" s="45"/>
      <c r="NZ154" s="46"/>
      <c r="OA154" s="44"/>
      <c r="OB154" s="7"/>
      <c r="OC154" s="51"/>
      <c r="OD154" s="52"/>
      <c r="OE154" s="53"/>
      <c r="OF154" s="54"/>
      <c r="OG154" s="52"/>
      <c r="OH154" s="53"/>
      <c r="OI154" s="54"/>
      <c r="OJ154" s="52"/>
      <c r="OK154" s="53"/>
      <c r="OL154" s="8"/>
      <c r="OM154" s="45"/>
      <c r="ON154" s="45"/>
      <c r="OO154" s="46"/>
      <c r="OP154" s="44"/>
      <c r="OQ154" s="7"/>
      <c r="OR154" s="51"/>
      <c r="OS154" s="52"/>
      <c r="OT154" s="53"/>
      <c r="OU154" s="54"/>
      <c r="OV154" s="52"/>
      <c r="OW154" s="53"/>
      <c r="OX154" s="54"/>
      <c r="OY154" s="52"/>
      <c r="OZ154" s="53"/>
      <c r="PA154" s="8"/>
      <c r="PB154" s="45"/>
      <c r="PC154" s="45"/>
      <c r="PD154" s="46"/>
      <c r="PE154" s="44"/>
      <c r="PF154" s="7"/>
      <c r="PG154" s="51"/>
      <c r="PH154" s="52"/>
      <c r="PI154" s="53"/>
      <c r="PJ154" s="54"/>
      <c r="PK154" s="52"/>
      <c r="PL154" s="53"/>
      <c r="PM154" s="54"/>
      <c r="PN154" s="52"/>
      <c r="PO154" s="53"/>
      <c r="PP154" s="8"/>
      <c r="PQ154" s="45"/>
      <c r="PR154" s="45"/>
      <c r="PS154" s="46"/>
      <c r="PT154" s="44"/>
      <c r="PU154" s="7"/>
      <c r="PV154" s="51"/>
      <c r="PW154" s="52"/>
      <c r="PX154" s="53"/>
      <c r="PY154" s="54"/>
      <c r="PZ154" s="52"/>
      <c r="QA154" s="53"/>
      <c r="QB154" s="54"/>
      <c r="QC154" s="52"/>
      <c r="QD154" s="53"/>
      <c r="QE154" s="8"/>
      <c r="QF154" s="45"/>
      <c r="QG154" s="45"/>
      <c r="QH154" s="46"/>
      <c r="QI154" s="44"/>
      <c r="QJ154" s="7"/>
      <c r="QK154" s="51"/>
      <c r="QL154" s="52"/>
      <c r="QM154" s="53"/>
      <c r="QN154" s="54"/>
      <c r="QO154" s="52"/>
      <c r="QP154" s="53"/>
      <c r="QQ154" s="54"/>
      <c r="QR154" s="52"/>
      <c r="QS154" s="53"/>
      <c r="QT154" s="8"/>
      <c r="QU154" s="45"/>
      <c r="QV154" s="45"/>
      <c r="QW154" s="46"/>
      <c r="QX154" s="44"/>
      <c r="QY154" s="7"/>
      <c r="QZ154" s="51"/>
      <c r="RA154" s="52"/>
      <c r="RB154" s="53"/>
      <c r="RC154" s="54"/>
      <c r="RD154" s="52"/>
      <c r="RE154" s="53"/>
      <c r="RF154" s="54"/>
      <c r="RG154" s="52"/>
      <c r="RH154" s="53"/>
      <c r="RI154" s="8"/>
      <c r="RJ154" s="45"/>
      <c r="RK154" s="45"/>
      <c r="RL154" s="46"/>
      <c r="RM154" s="44"/>
      <c r="RN154" s="7"/>
      <c r="RO154" s="51"/>
      <c r="RP154" s="52"/>
      <c r="RQ154" s="53"/>
      <c r="RR154" s="54"/>
      <c r="RS154" s="52"/>
      <c r="RT154" s="53"/>
      <c r="RU154" s="54"/>
      <c r="RV154" s="52"/>
      <c r="RW154" s="53"/>
      <c r="RX154" s="8"/>
      <c r="RY154" s="45"/>
      <c r="RZ154" s="45"/>
      <c r="SA154" s="46"/>
      <c r="SB154" s="44"/>
      <c r="SC154" s="7"/>
      <c r="SD154" s="51"/>
      <c r="SE154" s="52"/>
      <c r="SF154" s="53"/>
      <c r="SG154" s="54"/>
      <c r="SH154" s="52"/>
      <c r="SI154" s="53"/>
      <c r="SJ154" s="54"/>
      <c r="SK154" s="52"/>
      <c r="SL154" s="53"/>
      <c r="SM154" s="8"/>
      <c r="SN154" s="45"/>
      <c r="SO154" s="45"/>
      <c r="SP154" s="46"/>
      <c r="SQ154" s="44"/>
      <c r="SR154" s="7"/>
      <c r="SS154" s="51"/>
      <c r="ST154" s="52"/>
      <c r="SU154" s="53"/>
      <c r="SV154" s="54"/>
      <c r="SW154" s="52"/>
      <c r="SX154" s="53"/>
      <c r="SY154" s="54"/>
      <c r="SZ154" s="52"/>
      <c r="TA154" s="53"/>
      <c r="TB154" s="8"/>
      <c r="TC154" s="45"/>
      <c r="TD154" s="45"/>
      <c r="TE154" s="46"/>
      <c r="TF154" s="44"/>
      <c r="TG154" s="7"/>
      <c r="TH154" s="51"/>
      <c r="TI154" s="52"/>
      <c r="TJ154" s="53"/>
      <c r="TK154" s="54"/>
      <c r="TL154" s="52"/>
      <c r="TM154" s="53"/>
      <c r="TN154" s="54"/>
      <c r="TO154" s="52"/>
      <c r="TP154" s="53"/>
      <c r="TQ154" s="8"/>
      <c r="TR154" s="45"/>
      <c r="TS154" s="45"/>
      <c r="TT154" s="46"/>
      <c r="TU154" s="44"/>
      <c r="TV154" s="7"/>
      <c r="TW154" s="51"/>
      <c r="TX154" s="52"/>
      <c r="TY154" s="53"/>
      <c r="TZ154" s="54"/>
      <c r="UA154" s="52"/>
      <c r="UB154" s="53"/>
      <c r="UC154" s="54"/>
      <c r="UD154" s="52"/>
      <c r="UE154" s="53"/>
      <c r="UF154" s="8"/>
      <c r="UG154" s="45"/>
      <c r="UH154" s="45"/>
      <c r="UI154" s="46"/>
      <c r="UJ154" s="44"/>
      <c r="UK154" s="7"/>
      <c r="UL154" s="51"/>
      <c r="UM154" s="52"/>
      <c r="UN154" s="53"/>
      <c r="UO154" s="54"/>
      <c r="UP154" s="52"/>
      <c r="UQ154" s="53"/>
      <c r="UR154" s="54"/>
      <c r="US154" s="52"/>
      <c r="UT154" s="53"/>
      <c r="UU154" s="8"/>
      <c r="UV154" s="45"/>
      <c r="UW154" s="45"/>
      <c r="UX154" s="46"/>
      <c r="UY154" s="44"/>
      <c r="UZ154" s="7"/>
      <c r="VA154" s="51"/>
      <c r="VB154" s="52"/>
      <c r="VC154" s="53"/>
      <c r="VD154" s="54"/>
      <c r="VE154" s="52"/>
      <c r="VF154" s="53"/>
      <c r="VG154" s="54"/>
      <c r="VH154" s="52"/>
      <c r="VI154" s="53"/>
      <c r="VJ154" s="8"/>
      <c r="VK154" s="45"/>
      <c r="VL154" s="45"/>
      <c r="VM154" s="46"/>
      <c r="VN154" s="44"/>
      <c r="VO154" s="7"/>
      <c r="VP154" s="51"/>
      <c r="VQ154" s="52"/>
      <c r="VR154" s="53"/>
      <c r="VS154" s="54"/>
      <c r="VT154" s="52"/>
      <c r="VU154" s="53"/>
      <c r="VV154" s="54"/>
      <c r="VW154" s="52"/>
      <c r="VX154" s="53"/>
      <c r="VY154" s="8"/>
      <c r="VZ154" s="45"/>
      <c r="WA154" s="45"/>
      <c r="WB154" s="46"/>
      <c r="WC154" s="44"/>
      <c r="WD154" s="7"/>
      <c r="WE154" s="51"/>
      <c r="WF154" s="52"/>
      <c r="WG154" s="53"/>
      <c r="WH154" s="54"/>
      <c r="WI154" s="52"/>
      <c r="WJ154" s="53"/>
      <c r="WK154" s="54"/>
      <c r="WL154" s="52"/>
      <c r="WM154" s="53"/>
      <c r="WN154" s="8"/>
      <c r="WO154" s="45"/>
      <c r="WP154" s="45"/>
      <c r="WQ154" s="46"/>
      <c r="WR154" s="44"/>
      <c r="WS154" s="7"/>
      <c r="WT154" s="51"/>
      <c r="WU154" s="52"/>
      <c r="WV154" s="53"/>
      <c r="WW154" s="54"/>
      <c r="WX154" s="52"/>
      <c r="WY154" s="53"/>
      <c r="WZ154" s="54"/>
      <c r="XA154" s="52"/>
      <c r="XB154" s="53"/>
      <c r="XC154" s="8"/>
      <c r="XD154" s="45"/>
      <c r="XE154" s="45"/>
      <c r="XF154" s="46"/>
      <c r="XG154" s="44"/>
      <c r="XH154" s="7"/>
      <c r="XI154" s="51"/>
      <c r="XJ154" s="52"/>
      <c r="XK154" s="53"/>
      <c r="XL154" s="54"/>
      <c r="XM154" s="52"/>
      <c r="XN154" s="53"/>
      <c r="XO154" s="54"/>
      <c r="XP154" s="52"/>
      <c r="XQ154" s="53"/>
      <c r="XR154" s="8"/>
      <c r="XS154" s="45"/>
      <c r="XT154" s="45"/>
      <c r="XU154" s="46"/>
      <c r="XV154" s="44"/>
      <c r="XW154" s="7"/>
      <c r="XX154" s="51"/>
      <c r="XY154" s="52"/>
      <c r="XZ154" s="53"/>
      <c r="YA154" s="54"/>
      <c r="YB154" s="52"/>
      <c r="YC154" s="53"/>
      <c r="YD154" s="54"/>
      <c r="YE154" s="52"/>
      <c r="YF154" s="53"/>
      <c r="YG154" s="8"/>
      <c r="YH154" s="45"/>
      <c r="YI154" s="45"/>
      <c r="YJ154" s="46"/>
      <c r="YK154" s="44"/>
      <c r="YL154" s="7"/>
      <c r="YM154" s="51"/>
      <c r="YN154" s="52"/>
      <c r="YO154" s="53"/>
      <c r="YP154" s="54"/>
      <c r="YQ154" s="52"/>
      <c r="YR154" s="53"/>
      <c r="YS154" s="54"/>
      <c r="YT154" s="52"/>
      <c r="YU154" s="53"/>
      <c r="YV154" s="8"/>
      <c r="YW154" s="45"/>
      <c r="YX154" s="45"/>
      <c r="YY154" s="46"/>
      <c r="YZ154" s="44"/>
      <c r="ZA154" s="7"/>
      <c r="ZB154" s="51"/>
      <c r="ZC154" s="52"/>
      <c r="ZD154" s="53"/>
      <c r="ZE154" s="54"/>
      <c r="ZF154" s="52"/>
      <c r="ZG154" s="53"/>
      <c r="ZH154" s="54"/>
      <c r="ZI154" s="52"/>
      <c r="ZJ154" s="53"/>
      <c r="ZK154" s="8"/>
      <c r="ZL154" s="45"/>
      <c r="ZM154" s="45"/>
      <c r="ZN154" s="46"/>
      <c r="ZO154" s="44"/>
      <c r="ZP154" s="7"/>
      <c r="ZQ154" s="51"/>
      <c r="ZR154" s="52"/>
      <c r="ZS154" s="53"/>
      <c r="ZT154" s="54"/>
      <c r="ZU154" s="52"/>
      <c r="ZV154" s="53"/>
      <c r="ZW154" s="54"/>
      <c r="ZX154" s="52"/>
      <c r="ZY154" s="53"/>
      <c r="ZZ154" s="8"/>
      <c r="AAA154" s="45"/>
      <c r="AAB154" s="45"/>
      <c r="AAC154" s="46"/>
      <c r="AAD154" s="44"/>
      <c r="AAE154" s="7"/>
      <c r="AAF154" s="51"/>
      <c r="AAG154" s="52"/>
      <c r="AAH154" s="53"/>
      <c r="AAI154" s="54"/>
      <c r="AAJ154" s="52"/>
      <c r="AAK154" s="53"/>
      <c r="AAL154" s="54"/>
      <c r="AAM154" s="52"/>
      <c r="AAN154" s="53"/>
      <c r="AAO154" s="8"/>
      <c r="AAP154" s="45"/>
      <c r="AAQ154" s="45"/>
      <c r="AAR154" s="46"/>
      <c r="AAS154" s="44"/>
      <c r="AAT154" s="7"/>
      <c r="AAU154" s="51"/>
      <c r="AAV154" s="52"/>
      <c r="AAW154" s="53"/>
      <c r="AAX154" s="54"/>
      <c r="AAY154" s="52"/>
      <c r="AAZ154" s="53"/>
      <c r="ABA154" s="54"/>
      <c r="ABB154" s="52"/>
      <c r="ABC154" s="53"/>
      <c r="ABD154" s="8"/>
      <c r="ABE154" s="45"/>
      <c r="ABF154" s="45"/>
      <c r="ABG154" s="46"/>
      <c r="ABH154" s="44"/>
      <c r="ABI154" s="7"/>
      <c r="ABJ154" s="51"/>
      <c r="ABK154" s="52"/>
      <c r="ABL154" s="53"/>
      <c r="ABM154" s="54"/>
      <c r="ABN154" s="52"/>
      <c r="ABO154" s="53"/>
      <c r="ABP154" s="54"/>
      <c r="ABQ154" s="52"/>
      <c r="ABR154" s="53"/>
      <c r="ABS154" s="8"/>
      <c r="ABT154" s="45"/>
      <c r="ABU154" s="45"/>
      <c r="ABV154" s="46"/>
      <c r="ABW154" s="44"/>
      <c r="ABX154" s="7"/>
      <c r="ABY154" s="51"/>
      <c r="ABZ154" s="52"/>
      <c r="ACA154" s="53"/>
      <c r="ACB154" s="54"/>
      <c r="ACC154" s="52"/>
      <c r="ACD154" s="53"/>
      <c r="ACE154" s="54"/>
      <c r="ACF154" s="52"/>
      <c r="ACG154" s="53"/>
      <c r="ACH154" s="8"/>
      <c r="ACI154" s="45"/>
      <c r="ACJ154" s="45"/>
      <c r="ACK154" s="46"/>
      <c r="ACL154" s="44"/>
      <c r="ACM154" s="7"/>
      <c r="ACN154" s="51"/>
      <c r="ACO154" s="52"/>
      <c r="ACP154" s="53"/>
      <c r="ACQ154" s="54"/>
      <c r="ACR154" s="52"/>
      <c r="ACS154" s="53"/>
      <c r="ACT154" s="54"/>
      <c r="ACU154" s="52"/>
      <c r="ACV154" s="53"/>
      <c r="ACW154" s="8"/>
      <c r="ACX154" s="45"/>
      <c r="ACY154" s="45"/>
      <c r="ACZ154" s="46"/>
      <c r="ADA154" s="44"/>
      <c r="ADB154" s="7"/>
      <c r="ADC154" s="51"/>
      <c r="ADD154" s="52"/>
      <c r="ADE154" s="53"/>
      <c r="ADF154" s="54"/>
      <c r="ADG154" s="52"/>
      <c r="ADH154" s="53"/>
      <c r="ADI154" s="54"/>
      <c r="ADJ154" s="52"/>
      <c r="ADK154" s="53"/>
      <c r="ADL154" s="8"/>
      <c r="ADM154" s="45"/>
      <c r="ADN154" s="45"/>
      <c r="ADO154" s="46"/>
      <c r="ADP154" s="44"/>
      <c r="ADQ154" s="7"/>
      <c r="ADR154" s="51"/>
      <c r="ADS154" s="52"/>
      <c r="ADT154" s="53"/>
      <c r="ADU154" s="54"/>
      <c r="ADV154" s="52"/>
      <c r="ADW154" s="53"/>
      <c r="ADX154" s="54"/>
      <c r="ADY154" s="52"/>
      <c r="ADZ154" s="53"/>
      <c r="AEA154" s="8"/>
      <c r="AEB154" s="45"/>
      <c r="AEC154" s="45"/>
      <c r="AED154" s="46"/>
      <c r="AEE154" s="44"/>
      <c r="AEF154" s="7"/>
      <c r="AEG154" s="51"/>
      <c r="AEH154" s="52"/>
      <c r="AEI154" s="53"/>
      <c r="AEJ154" s="54"/>
      <c r="AEK154" s="52"/>
      <c r="AEL154" s="53"/>
      <c r="AEM154" s="54"/>
      <c r="AEN154" s="52"/>
      <c r="AEO154" s="53"/>
      <c r="AEP154" s="8"/>
      <c r="AEQ154" s="45"/>
      <c r="AER154" s="45"/>
      <c r="AES154" s="46"/>
      <c r="AET154" s="44"/>
      <c r="AEU154" s="7"/>
      <c r="AEV154" s="51"/>
      <c r="AEW154" s="52"/>
      <c r="AEX154" s="53"/>
      <c r="AEY154" s="54"/>
      <c r="AEZ154" s="52"/>
      <c r="AFA154" s="53"/>
      <c r="AFB154" s="54"/>
      <c r="AFC154" s="52"/>
      <c r="AFD154" s="53"/>
      <c r="AFE154" s="8"/>
      <c r="AFF154" s="45"/>
      <c r="AFG154" s="45"/>
      <c r="AFH154" s="46"/>
      <c r="AFI154" s="44"/>
      <c r="AFJ154" s="7"/>
      <c r="AFK154" s="51"/>
      <c r="AFL154" s="52"/>
      <c r="AFM154" s="53"/>
      <c r="AFN154" s="54"/>
      <c r="AFO154" s="52"/>
      <c r="AFP154" s="53"/>
      <c r="AFQ154" s="54"/>
      <c r="AFR154" s="52"/>
      <c r="AFS154" s="53"/>
      <c r="AFT154" s="8"/>
      <c r="AFU154" s="45"/>
      <c r="AFV154" s="45"/>
      <c r="AFW154" s="46"/>
      <c r="AFX154" s="44"/>
      <c r="AFY154" s="7"/>
      <c r="AFZ154" s="51"/>
      <c r="AGA154" s="52"/>
      <c r="AGB154" s="53"/>
      <c r="AGC154" s="54"/>
      <c r="AGD154" s="52"/>
      <c r="AGE154" s="53"/>
      <c r="AGF154" s="54"/>
      <c r="AGG154" s="52"/>
      <c r="AGH154" s="53"/>
      <c r="AGI154" s="8"/>
      <c r="AGJ154" s="45"/>
      <c r="AGK154" s="45"/>
      <c r="AGL154" s="46"/>
      <c r="AGM154" s="44"/>
      <c r="AGN154" s="7"/>
      <c r="AGO154" s="51"/>
      <c r="AGP154" s="52"/>
      <c r="AGQ154" s="53"/>
      <c r="AGR154" s="54"/>
      <c r="AGS154" s="52"/>
      <c r="AGT154" s="53"/>
      <c r="AGU154" s="54"/>
      <c r="AGV154" s="52"/>
      <c r="AGW154" s="53"/>
      <c r="AGX154" s="8"/>
      <c r="AGY154" s="45"/>
      <c r="AGZ154" s="45"/>
      <c r="AHA154" s="46"/>
      <c r="AHB154" s="44"/>
      <c r="AHC154" s="7"/>
      <c r="AHD154" s="51"/>
      <c r="AHE154" s="52"/>
      <c r="AHF154" s="53"/>
      <c r="AHG154" s="54"/>
      <c r="AHH154" s="52"/>
      <c r="AHI154" s="53"/>
      <c r="AHJ154" s="54"/>
      <c r="AHK154" s="52"/>
      <c r="AHL154" s="53"/>
      <c r="AHM154" s="8"/>
      <c r="AHN154" s="45"/>
      <c r="AHO154" s="45"/>
      <c r="AHP154" s="46"/>
      <c r="AHQ154" s="44"/>
      <c r="AHR154" s="7"/>
      <c r="AHS154" s="51"/>
      <c r="AHT154" s="52"/>
      <c r="AHU154" s="53"/>
      <c r="AHV154" s="54"/>
      <c r="AHW154" s="52"/>
      <c r="AHX154" s="53"/>
      <c r="AHY154" s="54"/>
      <c r="AHZ154" s="52"/>
      <c r="AIA154" s="53"/>
      <c r="AIB154" s="8"/>
      <c r="AIC154" s="45"/>
      <c r="AID154" s="45"/>
      <c r="AIE154" s="46"/>
      <c r="AIF154" s="44"/>
      <c r="AIG154" s="7"/>
      <c r="AIH154" s="51"/>
      <c r="AII154" s="52"/>
      <c r="AIJ154" s="53"/>
      <c r="AIK154" s="54"/>
      <c r="AIL154" s="52"/>
      <c r="AIM154" s="53"/>
      <c r="AIN154" s="54"/>
      <c r="AIO154" s="52"/>
      <c r="AIP154" s="53"/>
      <c r="AIQ154" s="8"/>
      <c r="AIR154" s="45"/>
      <c r="AIS154" s="45"/>
      <c r="AIT154" s="46"/>
      <c r="AIU154" s="44"/>
      <c r="AIV154" s="7"/>
      <c r="AIW154" s="51"/>
      <c r="AIX154" s="52"/>
      <c r="AIY154" s="53"/>
      <c r="AIZ154" s="54"/>
      <c r="AJA154" s="52"/>
      <c r="AJB154" s="53"/>
      <c r="AJC154" s="54"/>
      <c r="AJD154" s="52"/>
      <c r="AJE154" s="53"/>
      <c r="AJF154" s="8"/>
      <c r="AJG154" s="45"/>
      <c r="AJH154" s="45"/>
      <c r="AJI154" s="46"/>
      <c r="AJJ154" s="44"/>
      <c r="AJK154" s="7"/>
      <c r="AJL154" s="51"/>
      <c r="AJM154" s="52"/>
      <c r="AJN154" s="53"/>
      <c r="AJO154" s="54"/>
      <c r="AJP154" s="52"/>
      <c r="AJQ154" s="53"/>
      <c r="AJR154" s="54"/>
      <c r="AJS154" s="52"/>
      <c r="AJT154" s="53"/>
      <c r="AJU154" s="8"/>
      <c r="AJV154" s="45"/>
      <c r="AJW154" s="45"/>
      <c r="AJX154" s="46"/>
      <c r="AJY154" s="44"/>
      <c r="AJZ154" s="7"/>
      <c r="AKA154" s="51"/>
      <c r="AKB154" s="52"/>
      <c r="AKC154" s="53"/>
      <c r="AKD154" s="54"/>
      <c r="AKE154" s="52"/>
      <c r="AKF154" s="53"/>
      <c r="AKG154" s="54"/>
      <c r="AKH154" s="52"/>
      <c r="AKI154" s="53"/>
      <c r="AKJ154" s="8"/>
      <c r="AKK154" s="45"/>
      <c r="AKL154" s="45"/>
      <c r="AKM154" s="46"/>
      <c r="AKN154" s="44"/>
      <c r="AKO154" s="7"/>
      <c r="AKP154" s="51"/>
      <c r="AKQ154" s="52"/>
      <c r="AKR154" s="53"/>
      <c r="AKS154" s="54"/>
      <c r="AKT154" s="52"/>
      <c r="AKU154" s="53"/>
      <c r="AKV154" s="54"/>
      <c r="AKW154" s="52"/>
      <c r="AKX154" s="53"/>
      <c r="AKY154" s="8"/>
      <c r="AKZ154" s="45"/>
      <c r="ALA154" s="45"/>
      <c r="ALB154" s="46"/>
      <c r="ALC154" s="44"/>
      <c r="ALD154" s="7"/>
      <c r="ALE154" s="51"/>
      <c r="ALF154" s="52"/>
      <c r="ALG154" s="53"/>
      <c r="ALH154" s="54"/>
      <c r="ALI154" s="52"/>
      <c r="ALJ154" s="53"/>
      <c r="ALK154" s="54"/>
      <c r="ALL154" s="52"/>
      <c r="ALM154" s="53"/>
      <c r="ALN154" s="8"/>
      <c r="ALO154" s="45"/>
      <c r="ALP154" s="45"/>
      <c r="ALQ154" s="46"/>
      <c r="ALR154" s="44"/>
      <c r="ALS154" s="7"/>
      <c r="ALT154" s="51"/>
      <c r="ALU154" s="52"/>
      <c r="ALV154" s="53"/>
      <c r="ALW154" s="54"/>
      <c r="ALX154" s="52"/>
      <c r="ALY154" s="53"/>
      <c r="ALZ154" s="54"/>
      <c r="AMA154" s="52"/>
      <c r="AMB154" s="53"/>
      <c r="AMC154" s="8"/>
      <c r="AMD154" s="45"/>
      <c r="AME154" s="45"/>
      <c r="AMF154" s="46"/>
      <c r="AMG154" s="44"/>
      <c r="AMH154" s="7"/>
      <c r="AMI154" s="51"/>
      <c r="AMJ154" s="52"/>
      <c r="AMK154" s="53"/>
      <c r="AML154" s="54"/>
      <c r="AMM154" s="52"/>
      <c r="AMN154" s="53"/>
      <c r="AMO154" s="54"/>
      <c r="AMP154" s="52"/>
      <c r="AMQ154" s="53"/>
      <c r="AMR154" s="8"/>
      <c r="AMS154" s="45"/>
      <c r="AMT154" s="45"/>
      <c r="AMU154" s="46"/>
      <c r="AMV154" s="44"/>
      <c r="AMW154" s="7"/>
      <c r="AMX154" s="51"/>
      <c r="AMY154" s="52"/>
      <c r="AMZ154" s="53"/>
      <c r="ANA154" s="54"/>
      <c r="ANB154" s="52"/>
      <c r="ANC154" s="53"/>
      <c r="AND154" s="54"/>
      <c r="ANE154" s="52"/>
      <c r="ANF154" s="53"/>
      <c r="ANG154" s="8"/>
      <c r="ANH154" s="45"/>
      <c r="ANI154" s="45"/>
      <c r="ANJ154" s="46"/>
      <c r="ANK154" s="44"/>
      <c r="ANL154" s="7"/>
      <c r="ANM154" s="51"/>
      <c r="ANN154" s="52"/>
      <c r="ANO154" s="53"/>
      <c r="ANP154" s="54"/>
      <c r="ANQ154" s="52"/>
      <c r="ANR154" s="53"/>
      <c r="ANS154" s="54"/>
      <c r="ANT154" s="52"/>
      <c r="ANU154" s="53"/>
      <c r="ANV154" s="8"/>
      <c r="ANW154" s="45"/>
      <c r="ANX154" s="45"/>
      <c r="ANY154" s="46"/>
      <c r="ANZ154" s="44"/>
      <c r="AOA154" s="7"/>
      <c r="AOB154" s="51"/>
      <c r="AOC154" s="52"/>
      <c r="AOD154" s="53"/>
      <c r="AOE154" s="54"/>
      <c r="AOF154" s="52"/>
      <c r="AOG154" s="53"/>
      <c r="AOH154" s="54"/>
      <c r="AOI154" s="52"/>
      <c r="AOJ154" s="53"/>
      <c r="AOK154" s="8"/>
      <c r="AOL154" s="45"/>
      <c r="AOM154" s="45"/>
      <c r="AON154" s="46"/>
      <c r="AOO154" s="44"/>
      <c r="AOP154" s="7"/>
      <c r="AOQ154" s="51"/>
      <c r="AOR154" s="52"/>
      <c r="AOS154" s="53"/>
      <c r="AOT154" s="54"/>
      <c r="AOU154" s="52"/>
      <c r="AOV154" s="53"/>
      <c r="AOW154" s="54"/>
      <c r="AOX154" s="52"/>
      <c r="AOY154" s="53"/>
      <c r="AOZ154" s="8"/>
      <c r="APA154" s="45"/>
      <c r="APB154" s="45"/>
      <c r="APC154" s="46"/>
      <c r="APD154" s="44"/>
      <c r="APE154" s="7"/>
      <c r="APF154" s="51"/>
      <c r="APG154" s="52"/>
      <c r="APH154" s="53"/>
      <c r="API154" s="54"/>
      <c r="APJ154" s="52"/>
      <c r="APK154" s="53"/>
      <c r="APL154" s="54"/>
      <c r="APM154" s="52"/>
      <c r="APN154" s="53"/>
      <c r="APO154" s="8"/>
      <c r="APP154" s="45"/>
      <c r="APQ154" s="45"/>
      <c r="APR154" s="46"/>
      <c r="APS154" s="44"/>
      <c r="APT154" s="7"/>
      <c r="APU154" s="51"/>
      <c r="APV154" s="52"/>
      <c r="APW154" s="53"/>
      <c r="APX154" s="54"/>
      <c r="APY154" s="52"/>
      <c r="APZ154" s="53"/>
      <c r="AQA154" s="54"/>
      <c r="AQB154" s="52"/>
      <c r="AQC154" s="53"/>
      <c r="AQD154" s="8"/>
      <c r="AQE154" s="45"/>
      <c r="AQF154" s="45"/>
      <c r="AQG154" s="46"/>
      <c r="AQH154" s="44"/>
      <c r="AQI154" s="7"/>
      <c r="AQJ154" s="51"/>
      <c r="AQK154" s="52"/>
      <c r="AQL154" s="53"/>
      <c r="AQM154" s="54"/>
      <c r="AQN154" s="52"/>
      <c r="AQO154" s="53"/>
      <c r="AQP154" s="54"/>
      <c r="AQQ154" s="52"/>
      <c r="AQR154" s="53"/>
      <c r="AQS154" s="8"/>
      <c r="AQT154" s="45"/>
      <c r="AQU154" s="45"/>
      <c r="AQV154" s="46"/>
      <c r="AQW154" s="44"/>
      <c r="AQX154" s="7"/>
      <c r="AQY154" s="51"/>
      <c r="AQZ154" s="52"/>
      <c r="ARA154" s="53"/>
      <c r="ARB154" s="54"/>
      <c r="ARC154" s="52"/>
      <c r="ARD154" s="53"/>
      <c r="ARE154" s="54"/>
      <c r="ARF154" s="52"/>
      <c r="ARG154" s="53"/>
      <c r="ARH154" s="8"/>
      <c r="ARI154" s="45"/>
      <c r="ARJ154" s="45"/>
      <c r="ARK154" s="46"/>
      <c r="ARL154" s="44"/>
      <c r="ARM154" s="7"/>
      <c r="ARN154" s="51"/>
      <c r="ARO154" s="52"/>
      <c r="ARP154" s="53"/>
      <c r="ARQ154" s="54"/>
      <c r="ARR154" s="52"/>
      <c r="ARS154" s="53"/>
      <c r="ART154" s="54"/>
      <c r="ARU154" s="52"/>
      <c r="ARV154" s="53"/>
      <c r="ARW154" s="8"/>
      <c r="ARX154" s="45"/>
      <c r="ARY154" s="45"/>
      <c r="ARZ154" s="46"/>
      <c r="ASA154" s="44"/>
      <c r="ASB154" s="7"/>
      <c r="ASC154" s="51"/>
      <c r="ASD154" s="52"/>
      <c r="ASE154" s="53"/>
      <c r="ASF154" s="54"/>
      <c r="ASG154" s="52"/>
      <c r="ASH154" s="53"/>
      <c r="ASI154" s="54"/>
      <c r="ASJ154" s="52"/>
      <c r="ASK154" s="53"/>
      <c r="ASL154" s="8"/>
      <c r="ASM154" s="45"/>
      <c r="ASN154" s="45"/>
      <c r="ASO154" s="46"/>
      <c r="ASP154" s="44"/>
      <c r="ASQ154" s="7"/>
      <c r="ASR154" s="51"/>
      <c r="ASS154" s="52"/>
      <c r="AST154" s="53"/>
      <c r="ASU154" s="54"/>
      <c r="ASV154" s="52"/>
      <c r="ASW154" s="53"/>
      <c r="ASX154" s="54"/>
      <c r="ASY154" s="52"/>
      <c r="ASZ154" s="53"/>
      <c r="ATA154" s="8"/>
      <c r="ATB154" s="45"/>
      <c r="ATC154" s="45"/>
      <c r="ATD154" s="46"/>
      <c r="ATE154" s="44"/>
      <c r="ATF154" s="7"/>
      <c r="ATG154" s="51"/>
      <c r="ATH154" s="52"/>
      <c r="ATI154" s="53"/>
      <c r="ATJ154" s="54"/>
      <c r="ATK154" s="52"/>
      <c r="ATL154" s="53"/>
      <c r="ATM154" s="54"/>
      <c r="ATN154" s="52"/>
      <c r="ATO154" s="53"/>
      <c r="ATP154" s="8"/>
      <c r="ATQ154" s="45"/>
      <c r="ATR154" s="45"/>
      <c r="ATS154" s="46"/>
      <c r="ATT154" s="44"/>
      <c r="ATU154" s="7"/>
      <c r="ATV154" s="51"/>
      <c r="ATW154" s="52"/>
      <c r="ATX154" s="53"/>
      <c r="ATY154" s="54"/>
      <c r="ATZ154" s="52"/>
      <c r="AUA154" s="53"/>
      <c r="AUB154" s="54"/>
      <c r="AUC154" s="52"/>
      <c r="AUD154" s="53"/>
      <c r="AUE154" s="8"/>
      <c r="AUF154" s="45"/>
      <c r="AUG154" s="45"/>
      <c r="AUH154" s="46"/>
      <c r="AUI154" s="44"/>
      <c r="AUJ154" s="7"/>
      <c r="AUK154" s="51"/>
      <c r="AUL154" s="52"/>
      <c r="AUM154" s="53"/>
      <c r="AUN154" s="54"/>
      <c r="AUO154" s="52"/>
      <c r="AUP154" s="53"/>
      <c r="AUQ154" s="54"/>
      <c r="AUR154" s="52"/>
      <c r="AUS154" s="53"/>
      <c r="AUT154" s="8"/>
      <c r="AUU154" s="45"/>
      <c r="AUV154" s="45"/>
      <c r="AUW154" s="46"/>
      <c r="AUX154" s="44"/>
      <c r="AUY154" s="7"/>
      <c r="AUZ154" s="51"/>
      <c r="AVA154" s="52"/>
      <c r="AVB154" s="53"/>
      <c r="AVC154" s="54"/>
      <c r="AVD154" s="52"/>
      <c r="AVE154" s="53"/>
      <c r="AVF154" s="54"/>
      <c r="AVG154" s="52"/>
      <c r="AVH154" s="53"/>
      <c r="AVI154" s="8"/>
      <c r="AVJ154" s="45"/>
      <c r="AVK154" s="45"/>
      <c r="AVL154" s="46"/>
      <c r="AVM154" s="44"/>
      <c r="AVN154" s="7"/>
      <c r="AVO154" s="51"/>
      <c r="AVP154" s="52"/>
      <c r="AVQ154" s="53"/>
      <c r="AVR154" s="54"/>
      <c r="AVS154" s="52"/>
      <c r="AVT154" s="53"/>
      <c r="AVU154" s="54"/>
      <c r="AVV154" s="52"/>
      <c r="AVW154" s="53"/>
      <c r="AVX154" s="8"/>
      <c r="AVY154" s="45"/>
      <c r="AVZ154" s="45"/>
      <c r="AWA154" s="46"/>
      <c r="AWB154" s="44"/>
      <c r="AWC154" s="7"/>
      <c r="AWD154" s="51"/>
      <c r="AWE154" s="52"/>
      <c r="AWF154" s="53"/>
      <c r="AWG154" s="54"/>
      <c r="AWH154" s="52"/>
      <c r="AWI154" s="53"/>
      <c r="AWJ154" s="54"/>
      <c r="AWK154" s="52"/>
      <c r="AWL154" s="53"/>
      <c r="AWM154" s="8"/>
      <c r="AWN154" s="45"/>
      <c r="AWO154" s="45"/>
      <c r="AWP154" s="46"/>
      <c r="AWQ154" s="44"/>
      <c r="AWR154" s="7"/>
      <c r="AWS154" s="51"/>
      <c r="AWT154" s="52"/>
      <c r="AWU154" s="53"/>
      <c r="AWV154" s="54"/>
      <c r="AWW154" s="52"/>
      <c r="AWX154" s="53"/>
      <c r="AWY154" s="54"/>
      <c r="AWZ154" s="52"/>
      <c r="AXA154" s="53"/>
      <c r="AXB154" s="8"/>
      <c r="AXC154" s="45"/>
      <c r="AXD154" s="45"/>
      <c r="AXE154" s="46"/>
      <c r="AXF154" s="44"/>
      <c r="AXG154" s="7"/>
      <c r="AXH154" s="51"/>
      <c r="AXI154" s="52"/>
      <c r="AXJ154" s="53"/>
      <c r="AXK154" s="54"/>
      <c r="AXL154" s="52"/>
      <c r="AXM154" s="53"/>
      <c r="AXN154" s="54"/>
      <c r="AXO154" s="52"/>
      <c r="AXP154" s="53"/>
      <c r="AXQ154" s="8"/>
      <c r="AXR154" s="45"/>
      <c r="AXS154" s="45"/>
      <c r="AXT154" s="46"/>
      <c r="AXU154" s="44"/>
      <c r="AXV154" s="7"/>
      <c r="AXW154" s="51"/>
      <c r="AXX154" s="52"/>
      <c r="AXY154" s="53"/>
      <c r="AXZ154" s="54"/>
      <c r="AYA154" s="52"/>
      <c r="AYB154" s="53"/>
      <c r="AYC154" s="54"/>
      <c r="AYD154" s="52"/>
      <c r="AYE154" s="53"/>
      <c r="AYF154" s="8"/>
      <c r="AYG154" s="45"/>
      <c r="AYH154" s="45"/>
      <c r="AYI154" s="46"/>
      <c r="AYJ154" s="44"/>
      <c r="AYK154" s="7"/>
      <c r="AYL154" s="51"/>
      <c r="AYM154" s="52"/>
      <c r="AYN154" s="53"/>
      <c r="AYO154" s="54"/>
      <c r="AYP154" s="52"/>
      <c r="AYQ154" s="53"/>
      <c r="AYR154" s="54"/>
      <c r="AYS154" s="52"/>
      <c r="AYT154" s="53"/>
      <c r="AYU154" s="8"/>
      <c r="AYV154" s="45"/>
      <c r="AYW154" s="45"/>
      <c r="AYX154" s="46"/>
      <c r="AYY154" s="44"/>
      <c r="AYZ154" s="7"/>
      <c r="AZA154" s="51"/>
      <c r="AZB154" s="52"/>
      <c r="AZC154" s="53"/>
      <c r="AZD154" s="54"/>
      <c r="AZE154" s="52"/>
      <c r="AZF154" s="53"/>
      <c r="AZG154" s="54"/>
      <c r="AZH154" s="52"/>
      <c r="AZI154" s="53"/>
      <c r="AZJ154" s="8"/>
      <c r="AZK154" s="45"/>
      <c r="AZL154" s="45"/>
      <c r="AZM154" s="46"/>
      <c r="AZN154" s="44"/>
      <c r="AZO154" s="7"/>
      <c r="AZP154" s="51"/>
      <c r="AZQ154" s="52"/>
      <c r="AZR154" s="53"/>
      <c r="AZS154" s="54"/>
      <c r="AZT154" s="52"/>
      <c r="AZU154" s="53"/>
      <c r="AZV154" s="54"/>
      <c r="AZW154" s="52"/>
      <c r="AZX154" s="53"/>
      <c r="AZY154" s="8"/>
      <c r="AZZ154" s="45"/>
      <c r="BAA154" s="45"/>
      <c r="BAB154" s="46"/>
      <c r="BAC154" s="44"/>
      <c r="BAD154" s="7"/>
      <c r="BAE154" s="51"/>
      <c r="BAF154" s="52"/>
      <c r="BAG154" s="53"/>
      <c r="BAH154" s="54"/>
      <c r="BAI154" s="52"/>
      <c r="BAJ154" s="53"/>
      <c r="BAK154" s="54"/>
      <c r="BAL154" s="52"/>
      <c r="BAM154" s="53"/>
      <c r="BAN154" s="8"/>
      <c r="BAO154" s="45"/>
      <c r="BAP154" s="45"/>
      <c r="BAQ154" s="46"/>
      <c r="BAR154" s="44"/>
      <c r="BAS154" s="7"/>
      <c r="BAT154" s="51"/>
      <c r="BAU154" s="52"/>
      <c r="BAV154" s="53"/>
      <c r="BAW154" s="54"/>
      <c r="BAX154" s="52"/>
      <c r="BAY154" s="53"/>
      <c r="BAZ154" s="54"/>
      <c r="BBA154" s="52"/>
      <c r="BBB154" s="53"/>
      <c r="BBC154" s="8"/>
      <c r="BBD154" s="45"/>
      <c r="BBE154" s="45"/>
      <c r="BBF154" s="46"/>
      <c r="BBG154" s="44"/>
      <c r="BBH154" s="7"/>
      <c r="BBI154" s="51"/>
      <c r="BBJ154" s="52"/>
      <c r="BBK154" s="53"/>
      <c r="BBL154" s="54"/>
      <c r="BBM154" s="52"/>
      <c r="BBN154" s="53"/>
      <c r="BBO154" s="54"/>
      <c r="BBP154" s="52"/>
      <c r="BBQ154" s="53"/>
      <c r="BBR154" s="8"/>
      <c r="BBS154" s="45"/>
      <c r="BBT154" s="45"/>
      <c r="BBU154" s="46"/>
      <c r="BBV154" s="44"/>
      <c r="BBW154" s="7"/>
      <c r="BBX154" s="51"/>
      <c r="BBY154" s="52"/>
      <c r="BBZ154" s="53"/>
      <c r="BCA154" s="54"/>
      <c r="BCB154" s="52"/>
      <c r="BCC154" s="53"/>
      <c r="BCD154" s="54"/>
      <c r="BCE154" s="52"/>
      <c r="BCF154" s="53"/>
      <c r="BCG154" s="8"/>
      <c r="BCH154" s="45"/>
      <c r="BCI154" s="45"/>
      <c r="BCJ154" s="46"/>
      <c r="BCK154" s="44"/>
      <c r="BCL154" s="7"/>
      <c r="BCM154" s="51"/>
      <c r="BCN154" s="52"/>
      <c r="BCO154" s="53"/>
      <c r="BCP154" s="54"/>
      <c r="BCQ154" s="52"/>
      <c r="BCR154" s="53"/>
      <c r="BCS154" s="54"/>
      <c r="BCT154" s="52"/>
      <c r="BCU154" s="53"/>
      <c r="BCV154" s="8"/>
      <c r="BCW154" s="45"/>
      <c r="BCX154" s="45"/>
      <c r="BCY154" s="46"/>
      <c r="BCZ154" s="44"/>
      <c r="BDA154" s="7"/>
      <c r="BDB154" s="51"/>
      <c r="BDC154" s="52"/>
      <c r="BDD154" s="53"/>
      <c r="BDE154" s="54"/>
      <c r="BDF154" s="52"/>
      <c r="BDG154" s="53"/>
      <c r="BDH154" s="54"/>
      <c r="BDI154" s="52"/>
      <c r="BDJ154" s="53"/>
      <c r="BDK154" s="8"/>
      <c r="BDL154" s="45"/>
      <c r="BDM154" s="45"/>
      <c r="BDN154" s="46"/>
      <c r="BDO154" s="44"/>
      <c r="BDP154" s="7"/>
      <c r="BDQ154" s="51"/>
      <c r="BDR154" s="52"/>
      <c r="BDS154" s="53"/>
      <c r="BDT154" s="54"/>
      <c r="BDU154" s="52"/>
      <c r="BDV154" s="53"/>
      <c r="BDW154" s="54"/>
      <c r="BDX154" s="52"/>
      <c r="BDY154" s="53"/>
      <c r="BDZ154" s="8"/>
      <c r="BEA154" s="45"/>
      <c r="BEB154" s="45"/>
      <c r="BEC154" s="46"/>
      <c r="BED154" s="44"/>
      <c r="BEE154" s="7"/>
      <c r="BEF154" s="51"/>
      <c r="BEG154" s="52"/>
      <c r="BEH154" s="53"/>
      <c r="BEI154" s="54"/>
      <c r="BEJ154" s="52"/>
      <c r="BEK154" s="53"/>
      <c r="BEL154" s="54"/>
      <c r="BEM154" s="52"/>
      <c r="BEN154" s="53"/>
      <c r="BEO154" s="8"/>
      <c r="BEP154" s="45"/>
      <c r="BEQ154" s="45"/>
      <c r="BER154" s="46"/>
      <c r="BES154" s="44"/>
      <c r="BET154" s="7"/>
      <c r="BEU154" s="51"/>
      <c r="BEV154" s="52"/>
      <c r="BEW154" s="53"/>
      <c r="BEX154" s="54"/>
      <c r="BEY154" s="52"/>
      <c r="BEZ154" s="53"/>
      <c r="BFA154" s="54"/>
      <c r="BFB154" s="52"/>
      <c r="BFC154" s="53"/>
      <c r="BFD154" s="8"/>
      <c r="BFE154" s="45"/>
      <c r="BFF154" s="45"/>
      <c r="BFG154" s="46"/>
      <c r="BFH154" s="44"/>
      <c r="BFI154" s="7"/>
      <c r="BFJ154" s="51"/>
      <c r="BFK154" s="52"/>
      <c r="BFL154" s="53"/>
      <c r="BFM154" s="54"/>
      <c r="BFN154" s="52"/>
      <c r="BFO154" s="53"/>
      <c r="BFP154" s="54"/>
      <c r="BFQ154" s="52"/>
      <c r="BFR154" s="53"/>
      <c r="BFS154" s="8"/>
      <c r="BFT154" s="45"/>
      <c r="BFU154" s="45"/>
      <c r="BFV154" s="46"/>
      <c r="BFW154" s="44"/>
      <c r="BFX154" s="7"/>
      <c r="BFY154" s="51"/>
      <c r="BFZ154" s="52"/>
      <c r="BGA154" s="53"/>
      <c r="BGB154" s="54"/>
      <c r="BGC154" s="52"/>
      <c r="BGD154" s="53"/>
      <c r="BGE154" s="54"/>
      <c r="BGF154" s="52"/>
      <c r="BGG154" s="53"/>
      <c r="BGH154" s="8"/>
      <c r="BGI154" s="45"/>
      <c r="BGJ154" s="45"/>
      <c r="BGK154" s="46"/>
      <c r="BGL154" s="44"/>
      <c r="BGM154" s="7"/>
      <c r="BGN154" s="51"/>
      <c r="BGO154" s="52"/>
      <c r="BGP154" s="53"/>
      <c r="BGQ154" s="54"/>
      <c r="BGR154" s="52"/>
      <c r="BGS154" s="53"/>
      <c r="BGT154" s="54"/>
      <c r="BGU154" s="52"/>
      <c r="BGV154" s="53"/>
      <c r="BGW154" s="8"/>
      <c r="BGX154" s="45"/>
      <c r="BGY154" s="45"/>
      <c r="BGZ154" s="46"/>
      <c r="BHA154" s="44"/>
      <c r="BHB154" s="7"/>
      <c r="BHC154" s="51"/>
      <c r="BHD154" s="52"/>
      <c r="BHE154" s="53"/>
      <c r="BHF154" s="54"/>
      <c r="BHG154" s="52"/>
      <c r="BHH154" s="53"/>
      <c r="BHI154" s="54"/>
      <c r="BHJ154" s="52"/>
      <c r="BHK154" s="53"/>
      <c r="BHL154" s="8"/>
      <c r="BHM154" s="45"/>
      <c r="BHN154" s="45"/>
      <c r="BHO154" s="46"/>
      <c r="BHP154" s="44"/>
      <c r="BHQ154" s="7"/>
      <c r="BHR154" s="51"/>
      <c r="BHS154" s="52"/>
      <c r="BHT154" s="53"/>
      <c r="BHU154" s="54"/>
      <c r="BHV154" s="52"/>
      <c r="BHW154" s="53"/>
      <c r="BHX154" s="54"/>
      <c r="BHY154" s="52"/>
      <c r="BHZ154" s="53"/>
      <c r="BIA154" s="8"/>
      <c r="BIB154" s="45"/>
      <c r="BIC154" s="45"/>
      <c r="BID154" s="46"/>
      <c r="BIE154" s="44"/>
      <c r="BIF154" s="7"/>
      <c r="BIG154" s="51"/>
      <c r="BIH154" s="52"/>
      <c r="BII154" s="53"/>
      <c r="BIJ154" s="54"/>
      <c r="BIK154" s="52"/>
      <c r="BIL154" s="53"/>
      <c r="BIM154" s="54"/>
      <c r="BIN154" s="52"/>
      <c r="BIO154" s="53"/>
      <c r="BIP154" s="8"/>
      <c r="BIQ154" s="45"/>
      <c r="BIR154" s="45"/>
      <c r="BIS154" s="46"/>
      <c r="BIT154" s="44"/>
      <c r="BIU154" s="7"/>
      <c r="BIV154" s="51"/>
      <c r="BIW154" s="52"/>
      <c r="BIX154" s="53"/>
      <c r="BIY154" s="54"/>
      <c r="BIZ154" s="52"/>
      <c r="BJA154" s="53"/>
      <c r="BJB154" s="54"/>
      <c r="BJC154" s="52"/>
      <c r="BJD154" s="53"/>
      <c r="BJE154" s="8"/>
      <c r="BJF154" s="45"/>
      <c r="BJG154" s="45"/>
      <c r="BJH154" s="46"/>
      <c r="BJI154" s="44"/>
      <c r="BJJ154" s="7"/>
      <c r="BJK154" s="51"/>
      <c r="BJL154" s="52"/>
      <c r="BJM154" s="53"/>
      <c r="BJN154" s="54"/>
      <c r="BJO154" s="52"/>
      <c r="BJP154" s="53"/>
      <c r="BJQ154" s="54"/>
      <c r="BJR154" s="52"/>
      <c r="BJS154" s="53"/>
      <c r="BJT154" s="8"/>
      <c r="BJU154" s="45"/>
      <c r="BJV154" s="45"/>
      <c r="BJW154" s="46"/>
      <c r="BJX154" s="44"/>
      <c r="BJY154" s="7"/>
      <c r="BJZ154" s="51"/>
      <c r="BKA154" s="52"/>
      <c r="BKB154" s="53"/>
      <c r="BKC154" s="54"/>
      <c r="BKD154" s="52"/>
      <c r="BKE154" s="53"/>
      <c r="BKF154" s="54"/>
      <c r="BKG154" s="52"/>
      <c r="BKH154" s="53"/>
      <c r="BKI154" s="8"/>
      <c r="BKJ154" s="45"/>
      <c r="BKK154" s="45"/>
      <c r="BKL154" s="46"/>
      <c r="BKM154" s="44"/>
      <c r="BKN154" s="7"/>
      <c r="BKO154" s="51"/>
      <c r="BKP154" s="52"/>
      <c r="BKQ154" s="53"/>
      <c r="BKR154" s="54"/>
      <c r="BKS154" s="52"/>
      <c r="BKT154" s="53"/>
      <c r="BKU154" s="54"/>
      <c r="BKV154" s="52"/>
      <c r="BKW154" s="53"/>
      <c r="BKX154" s="8"/>
      <c r="BKY154" s="45"/>
      <c r="BKZ154" s="45"/>
      <c r="BLA154" s="46"/>
      <c r="BLB154" s="44"/>
      <c r="BLC154" s="7"/>
      <c r="BLD154" s="51"/>
      <c r="BLE154" s="52"/>
      <c r="BLF154" s="53"/>
      <c r="BLG154" s="54"/>
      <c r="BLH154" s="52"/>
      <c r="BLI154" s="53"/>
      <c r="BLJ154" s="54"/>
      <c r="BLK154" s="52"/>
      <c r="BLL154" s="53"/>
      <c r="BLM154" s="8"/>
      <c r="BLN154" s="45"/>
      <c r="BLO154" s="45"/>
      <c r="BLP154" s="46"/>
      <c r="BLQ154" s="44"/>
      <c r="BLR154" s="7"/>
      <c r="BLS154" s="51"/>
      <c r="BLT154" s="52"/>
      <c r="BLU154" s="53"/>
      <c r="BLV154" s="54"/>
      <c r="BLW154" s="52"/>
      <c r="BLX154" s="53"/>
      <c r="BLY154" s="54"/>
      <c r="BLZ154" s="52"/>
      <c r="BMA154" s="53"/>
      <c r="BMB154" s="8"/>
      <c r="BMC154" s="45"/>
      <c r="BMD154" s="45"/>
      <c r="BME154" s="46"/>
      <c r="BMF154" s="44"/>
      <c r="BMG154" s="7"/>
      <c r="BMH154" s="51"/>
      <c r="BMI154" s="52"/>
      <c r="BMJ154" s="53"/>
      <c r="BMK154" s="54"/>
      <c r="BML154" s="52"/>
      <c r="BMM154" s="53"/>
      <c r="BMN154" s="54"/>
      <c r="BMO154" s="52"/>
      <c r="BMP154" s="53"/>
      <c r="BMQ154" s="8"/>
      <c r="BMR154" s="45"/>
      <c r="BMS154" s="45"/>
      <c r="BMT154" s="46"/>
      <c r="BMU154" s="44"/>
      <c r="BMV154" s="7"/>
      <c r="BMW154" s="51"/>
      <c r="BMX154" s="52"/>
      <c r="BMY154" s="53"/>
      <c r="BMZ154" s="54"/>
      <c r="BNA154" s="52"/>
      <c r="BNB154" s="53"/>
      <c r="BNC154" s="54"/>
      <c r="BND154" s="52"/>
      <c r="BNE154" s="53"/>
      <c r="BNF154" s="8"/>
      <c r="BNG154" s="45"/>
      <c r="BNH154" s="45"/>
      <c r="BNI154" s="46"/>
      <c r="BNJ154" s="44"/>
      <c r="BNK154" s="7"/>
      <c r="BNL154" s="51"/>
      <c r="BNM154" s="52"/>
      <c r="BNN154" s="53"/>
      <c r="BNO154" s="54"/>
      <c r="BNP154" s="52"/>
      <c r="BNQ154" s="53"/>
      <c r="BNR154" s="54"/>
      <c r="BNS154" s="52"/>
      <c r="BNT154" s="53"/>
      <c r="BNU154" s="8"/>
      <c r="BNV154" s="45"/>
      <c r="BNW154" s="45"/>
      <c r="BNX154" s="46"/>
      <c r="BNY154" s="44"/>
      <c r="BNZ154" s="7"/>
      <c r="BOA154" s="51"/>
      <c r="BOB154" s="52"/>
      <c r="BOC154" s="53"/>
      <c r="BOD154" s="54"/>
      <c r="BOE154" s="52"/>
      <c r="BOF154" s="53"/>
      <c r="BOG154" s="54"/>
      <c r="BOH154" s="52"/>
      <c r="BOI154" s="53"/>
      <c r="BOJ154" s="8"/>
      <c r="BOK154" s="45"/>
      <c r="BOL154" s="45"/>
      <c r="BOM154" s="46"/>
      <c r="BON154" s="44"/>
      <c r="BOO154" s="7"/>
      <c r="BOP154" s="51"/>
      <c r="BOQ154" s="52"/>
      <c r="BOR154" s="53"/>
      <c r="BOS154" s="54"/>
      <c r="BOT154" s="52"/>
      <c r="BOU154" s="53"/>
      <c r="BOV154" s="54"/>
      <c r="BOW154" s="52"/>
      <c r="BOX154" s="53"/>
      <c r="BOY154" s="8"/>
      <c r="BOZ154" s="45"/>
      <c r="BPA154" s="45"/>
      <c r="BPB154" s="46"/>
      <c r="BPC154" s="44"/>
      <c r="BPD154" s="7"/>
      <c r="BPE154" s="51"/>
      <c r="BPF154" s="52"/>
      <c r="BPG154" s="53"/>
      <c r="BPH154" s="54"/>
      <c r="BPI154" s="52"/>
      <c r="BPJ154" s="53"/>
      <c r="BPK154" s="54"/>
      <c r="BPL154" s="52"/>
      <c r="BPM154" s="53"/>
      <c r="BPN154" s="8"/>
      <c r="BPO154" s="45"/>
      <c r="BPP154" s="45"/>
      <c r="BPQ154" s="46"/>
      <c r="BPR154" s="44"/>
      <c r="BPS154" s="7"/>
      <c r="BPT154" s="51"/>
      <c r="BPU154" s="52"/>
      <c r="BPV154" s="53"/>
      <c r="BPW154" s="54"/>
      <c r="BPX154" s="52"/>
      <c r="BPY154" s="53"/>
      <c r="BPZ154" s="54"/>
      <c r="BQA154" s="52"/>
      <c r="BQB154" s="53"/>
      <c r="BQC154" s="8"/>
      <c r="BQD154" s="45"/>
      <c r="BQE154" s="45"/>
      <c r="BQF154" s="46"/>
      <c r="BQG154" s="44"/>
      <c r="BQH154" s="7"/>
      <c r="BQI154" s="51"/>
      <c r="BQJ154" s="52"/>
      <c r="BQK154" s="53"/>
      <c r="BQL154" s="54"/>
      <c r="BQM154" s="52"/>
      <c r="BQN154" s="53"/>
      <c r="BQO154" s="54"/>
      <c r="BQP154" s="52"/>
      <c r="BQQ154" s="53"/>
      <c r="BQR154" s="8"/>
      <c r="BQS154" s="45"/>
      <c r="BQT154" s="45"/>
      <c r="BQU154" s="46"/>
      <c r="BQV154" s="44"/>
      <c r="BQW154" s="7"/>
      <c r="BQX154" s="51"/>
      <c r="BQY154" s="52"/>
      <c r="BQZ154" s="53"/>
      <c r="BRA154" s="54"/>
      <c r="BRB154" s="52"/>
      <c r="BRC154" s="53"/>
      <c r="BRD154" s="54"/>
      <c r="BRE154" s="52"/>
      <c r="BRF154" s="53"/>
      <c r="BRG154" s="8"/>
      <c r="BRH154" s="45"/>
      <c r="BRI154" s="45"/>
      <c r="BRJ154" s="46"/>
      <c r="BRK154" s="44"/>
      <c r="BRL154" s="7"/>
      <c r="BRM154" s="51"/>
      <c r="BRN154" s="52"/>
      <c r="BRO154" s="53"/>
      <c r="BRP154" s="54"/>
      <c r="BRQ154" s="52"/>
      <c r="BRR154" s="53"/>
      <c r="BRS154" s="54"/>
      <c r="BRT154" s="52"/>
      <c r="BRU154" s="53"/>
      <c r="BRV154" s="8"/>
      <c r="BRW154" s="45"/>
      <c r="BRX154" s="45"/>
      <c r="BRY154" s="46"/>
      <c r="BRZ154" s="44"/>
      <c r="BSA154" s="7"/>
      <c r="BSB154" s="51"/>
      <c r="BSC154" s="52"/>
      <c r="BSD154" s="53"/>
      <c r="BSE154" s="54"/>
      <c r="BSF154" s="52"/>
      <c r="BSG154" s="53"/>
      <c r="BSH154" s="54"/>
      <c r="BSI154" s="52"/>
      <c r="BSJ154" s="53"/>
      <c r="BSK154" s="8"/>
      <c r="BSL154" s="45"/>
      <c r="BSM154" s="45"/>
      <c r="BSN154" s="46"/>
      <c r="BSO154" s="44"/>
      <c r="BSP154" s="7"/>
      <c r="BSQ154" s="51"/>
      <c r="BSR154" s="52"/>
      <c r="BSS154" s="53"/>
      <c r="BST154" s="54"/>
      <c r="BSU154" s="52"/>
      <c r="BSV154" s="53"/>
      <c r="BSW154" s="54"/>
      <c r="BSX154" s="52"/>
      <c r="BSY154" s="53"/>
      <c r="BSZ154" s="8"/>
      <c r="BTA154" s="45"/>
      <c r="BTB154" s="45"/>
      <c r="BTC154" s="46"/>
      <c r="BTD154" s="44"/>
      <c r="BTE154" s="7"/>
      <c r="BTF154" s="51"/>
      <c r="BTG154" s="52"/>
      <c r="BTH154" s="53"/>
      <c r="BTI154" s="54"/>
      <c r="BTJ154" s="52"/>
      <c r="BTK154" s="53"/>
      <c r="BTL154" s="54"/>
      <c r="BTM154" s="52"/>
      <c r="BTN154" s="53"/>
      <c r="BTO154" s="8"/>
      <c r="BTP154" s="45"/>
      <c r="BTQ154" s="45"/>
      <c r="BTR154" s="46"/>
      <c r="BTS154" s="44"/>
      <c r="BTT154" s="7"/>
      <c r="BTU154" s="51"/>
      <c r="BTV154" s="52"/>
      <c r="BTW154" s="53"/>
      <c r="BTX154" s="54"/>
      <c r="BTY154" s="52"/>
      <c r="BTZ154" s="53"/>
      <c r="BUA154" s="54"/>
      <c r="BUB154" s="52"/>
      <c r="BUC154" s="53"/>
      <c r="BUD154" s="8"/>
      <c r="BUE154" s="45"/>
      <c r="BUF154" s="45"/>
      <c r="BUG154" s="46"/>
      <c r="BUH154" s="44"/>
      <c r="BUI154" s="7"/>
      <c r="BUJ154" s="51"/>
      <c r="BUK154" s="52"/>
      <c r="BUL154" s="53"/>
      <c r="BUM154" s="54"/>
      <c r="BUN154" s="52"/>
      <c r="BUO154" s="53"/>
      <c r="BUP154" s="54"/>
      <c r="BUQ154" s="52"/>
      <c r="BUR154" s="53"/>
      <c r="BUS154" s="8"/>
      <c r="BUT154" s="45"/>
      <c r="BUU154" s="45"/>
      <c r="BUV154" s="46"/>
      <c r="BUW154" s="44"/>
      <c r="BUX154" s="7"/>
      <c r="BUY154" s="51"/>
      <c r="BUZ154" s="52"/>
      <c r="BVA154" s="53"/>
      <c r="BVB154" s="54"/>
      <c r="BVC154" s="52"/>
      <c r="BVD154" s="53"/>
      <c r="BVE154" s="54"/>
      <c r="BVF154" s="52"/>
      <c r="BVG154" s="53"/>
      <c r="BVH154" s="8"/>
      <c r="BVI154" s="45"/>
      <c r="BVJ154" s="45"/>
      <c r="BVK154" s="46"/>
      <c r="BVL154" s="44"/>
      <c r="BVM154" s="7"/>
      <c r="BVN154" s="51"/>
      <c r="BVO154" s="52"/>
      <c r="BVP154" s="53"/>
      <c r="BVQ154" s="54"/>
      <c r="BVR154" s="52"/>
      <c r="BVS154" s="53"/>
      <c r="BVT154" s="54"/>
      <c r="BVU154" s="52"/>
      <c r="BVV154" s="53"/>
      <c r="BVW154" s="8"/>
      <c r="BVX154" s="45"/>
      <c r="BVY154" s="45"/>
      <c r="BVZ154" s="46"/>
      <c r="BWA154" s="44"/>
      <c r="BWB154" s="7"/>
      <c r="BWC154" s="51"/>
      <c r="BWD154" s="52"/>
      <c r="BWE154" s="53"/>
      <c r="BWF154" s="54"/>
      <c r="BWG154" s="52"/>
      <c r="BWH154" s="53"/>
      <c r="BWI154" s="54"/>
      <c r="BWJ154" s="52"/>
      <c r="BWK154" s="53"/>
      <c r="BWL154" s="8"/>
      <c r="BWM154" s="45"/>
      <c r="BWN154" s="45"/>
      <c r="BWO154" s="46"/>
      <c r="BWP154" s="44"/>
      <c r="BWQ154" s="7"/>
      <c r="BWR154" s="51"/>
      <c r="BWS154" s="52"/>
      <c r="BWT154" s="53"/>
      <c r="BWU154" s="54"/>
      <c r="BWV154" s="52"/>
      <c r="BWW154" s="53"/>
      <c r="BWX154" s="54"/>
      <c r="BWY154" s="52"/>
      <c r="BWZ154" s="53"/>
      <c r="BXA154" s="8"/>
      <c r="BXB154" s="45"/>
      <c r="BXC154" s="45"/>
      <c r="BXD154" s="46"/>
      <c r="BXE154" s="44"/>
      <c r="BXF154" s="7"/>
      <c r="BXG154" s="51"/>
      <c r="BXH154" s="52"/>
      <c r="BXI154" s="53"/>
      <c r="BXJ154" s="54"/>
      <c r="BXK154" s="52"/>
      <c r="BXL154" s="53"/>
      <c r="BXM154" s="54"/>
      <c r="BXN154" s="52"/>
      <c r="BXO154" s="53"/>
      <c r="BXP154" s="8"/>
      <c r="BXQ154" s="45"/>
      <c r="BXR154" s="45"/>
      <c r="BXS154" s="46"/>
      <c r="BXT154" s="44"/>
      <c r="BXU154" s="7"/>
      <c r="BXV154" s="51"/>
      <c r="BXW154" s="52"/>
      <c r="BXX154" s="53"/>
      <c r="BXY154" s="54"/>
      <c r="BXZ154" s="52"/>
      <c r="BYA154" s="53"/>
      <c r="BYB154" s="54"/>
      <c r="BYC154" s="52"/>
      <c r="BYD154" s="53"/>
      <c r="BYE154" s="8"/>
      <c r="BYF154" s="45"/>
      <c r="BYG154" s="45"/>
      <c r="BYH154" s="46"/>
      <c r="BYI154" s="44"/>
      <c r="BYJ154" s="7"/>
      <c r="BYK154" s="51"/>
      <c r="BYL154" s="52"/>
      <c r="BYM154" s="53"/>
      <c r="BYN154" s="54"/>
      <c r="BYO154" s="52"/>
      <c r="BYP154" s="53"/>
      <c r="BYQ154" s="54"/>
      <c r="BYR154" s="52"/>
      <c r="BYS154" s="53"/>
      <c r="BYT154" s="8"/>
      <c r="BYU154" s="45"/>
      <c r="BYV154" s="45"/>
      <c r="BYW154" s="46"/>
      <c r="BYX154" s="44"/>
      <c r="BYY154" s="7"/>
      <c r="BYZ154" s="51"/>
      <c r="BZA154" s="52"/>
      <c r="BZB154" s="53"/>
      <c r="BZC154" s="54"/>
      <c r="BZD154" s="52"/>
      <c r="BZE154" s="53"/>
      <c r="BZF154" s="54"/>
      <c r="BZG154" s="52"/>
      <c r="BZH154" s="53"/>
      <c r="BZI154" s="8"/>
      <c r="BZJ154" s="45"/>
      <c r="BZK154" s="45"/>
      <c r="BZL154" s="46"/>
      <c r="BZM154" s="44"/>
      <c r="BZN154" s="7"/>
      <c r="BZO154" s="51"/>
      <c r="BZP154" s="52"/>
      <c r="BZQ154" s="53"/>
      <c r="BZR154" s="54"/>
      <c r="BZS154" s="52"/>
      <c r="BZT154" s="53"/>
      <c r="BZU154" s="54"/>
      <c r="BZV154" s="52"/>
      <c r="BZW154" s="53"/>
      <c r="BZX154" s="8"/>
      <c r="BZY154" s="45"/>
      <c r="BZZ154" s="45"/>
      <c r="CAA154" s="46"/>
      <c r="CAB154" s="44"/>
      <c r="CAC154" s="7"/>
      <c r="CAD154" s="51"/>
      <c r="CAE154" s="52"/>
      <c r="CAF154" s="53"/>
      <c r="CAG154" s="54"/>
      <c r="CAH154" s="52"/>
      <c r="CAI154" s="53"/>
      <c r="CAJ154" s="54"/>
      <c r="CAK154" s="52"/>
      <c r="CAL154" s="53"/>
      <c r="CAM154" s="8"/>
      <c r="CAN154" s="45"/>
      <c r="CAO154" s="45"/>
      <c r="CAP154" s="46"/>
      <c r="CAQ154" s="44"/>
      <c r="CAR154" s="7"/>
      <c r="CAS154" s="51"/>
      <c r="CAT154" s="52"/>
      <c r="CAU154" s="53"/>
      <c r="CAV154" s="54"/>
      <c r="CAW154" s="52"/>
      <c r="CAX154" s="53"/>
      <c r="CAY154" s="54"/>
      <c r="CAZ154" s="52"/>
      <c r="CBA154" s="53"/>
      <c r="CBB154" s="8"/>
      <c r="CBC154" s="45"/>
      <c r="CBD154" s="45"/>
      <c r="CBE154" s="46"/>
      <c r="CBF154" s="44"/>
      <c r="CBG154" s="7"/>
      <c r="CBH154" s="51"/>
      <c r="CBI154" s="52"/>
      <c r="CBJ154" s="53"/>
      <c r="CBK154" s="54"/>
      <c r="CBL154" s="52"/>
      <c r="CBM154" s="53"/>
      <c r="CBN154" s="54"/>
      <c r="CBO154" s="52"/>
      <c r="CBP154" s="53"/>
      <c r="CBQ154" s="8"/>
      <c r="CBR154" s="45"/>
      <c r="CBS154" s="45"/>
      <c r="CBT154" s="46"/>
      <c r="CBU154" s="44"/>
      <c r="CBV154" s="7"/>
      <c r="CBW154" s="51"/>
      <c r="CBX154" s="52"/>
      <c r="CBY154" s="53"/>
      <c r="CBZ154" s="54"/>
      <c r="CCA154" s="52"/>
      <c r="CCB154" s="53"/>
      <c r="CCC154" s="54"/>
      <c r="CCD154" s="52"/>
      <c r="CCE154" s="53"/>
      <c r="CCF154" s="8"/>
      <c r="CCG154" s="45"/>
      <c r="CCH154" s="45"/>
      <c r="CCI154" s="46"/>
      <c r="CCJ154" s="44"/>
      <c r="CCK154" s="7"/>
      <c r="CCL154" s="51"/>
      <c r="CCM154" s="52"/>
      <c r="CCN154" s="53"/>
      <c r="CCO154" s="54"/>
      <c r="CCP154" s="52"/>
      <c r="CCQ154" s="53"/>
      <c r="CCR154" s="54"/>
      <c r="CCS154" s="52"/>
      <c r="CCT154" s="53"/>
      <c r="CCU154" s="8"/>
      <c r="CCV154" s="45"/>
      <c r="CCW154" s="45"/>
      <c r="CCX154" s="46"/>
      <c r="CCY154" s="44"/>
      <c r="CCZ154" s="7"/>
      <c r="CDA154" s="51"/>
      <c r="CDB154" s="52"/>
      <c r="CDC154" s="53"/>
      <c r="CDD154" s="54"/>
      <c r="CDE154" s="52"/>
      <c r="CDF154" s="53"/>
      <c r="CDG154" s="54"/>
      <c r="CDH154" s="52"/>
      <c r="CDI154" s="53"/>
      <c r="CDJ154" s="8"/>
      <c r="CDK154" s="45"/>
      <c r="CDL154" s="45"/>
      <c r="CDM154" s="46"/>
      <c r="CDN154" s="44"/>
      <c r="CDO154" s="7"/>
      <c r="CDP154" s="51"/>
      <c r="CDQ154" s="52"/>
      <c r="CDR154" s="53"/>
      <c r="CDS154" s="54"/>
      <c r="CDT154" s="52"/>
      <c r="CDU154" s="53"/>
      <c r="CDV154" s="54"/>
      <c r="CDW154" s="52"/>
      <c r="CDX154" s="53"/>
      <c r="CDY154" s="8"/>
      <c r="CDZ154" s="45"/>
      <c r="CEA154" s="45"/>
      <c r="CEB154" s="46"/>
      <c r="CEC154" s="44"/>
      <c r="CED154" s="7"/>
      <c r="CEE154" s="51"/>
      <c r="CEF154" s="52"/>
      <c r="CEG154" s="53"/>
      <c r="CEH154" s="54"/>
      <c r="CEI154" s="52"/>
      <c r="CEJ154" s="53"/>
      <c r="CEK154" s="54"/>
      <c r="CEL154" s="52"/>
      <c r="CEM154" s="53"/>
      <c r="CEN154" s="8"/>
      <c r="CEO154" s="45"/>
      <c r="CEP154" s="45"/>
      <c r="CEQ154" s="46"/>
      <c r="CER154" s="44"/>
      <c r="CES154" s="7"/>
      <c r="CET154" s="51"/>
      <c r="CEU154" s="52"/>
      <c r="CEV154" s="53"/>
      <c r="CEW154" s="54"/>
      <c r="CEX154" s="52"/>
      <c r="CEY154" s="53"/>
      <c r="CEZ154" s="54"/>
      <c r="CFA154" s="52"/>
      <c r="CFB154" s="53"/>
      <c r="CFC154" s="8"/>
      <c r="CFD154" s="45"/>
      <c r="CFE154" s="45"/>
      <c r="CFF154" s="46"/>
      <c r="CFG154" s="44"/>
      <c r="CFH154" s="7"/>
      <c r="CFI154" s="51"/>
      <c r="CFJ154" s="52"/>
      <c r="CFK154" s="53"/>
      <c r="CFL154" s="54"/>
      <c r="CFM154" s="52"/>
      <c r="CFN154" s="53"/>
      <c r="CFO154" s="54"/>
      <c r="CFP154" s="52"/>
      <c r="CFQ154" s="53"/>
      <c r="CFR154" s="8"/>
      <c r="CFS154" s="45"/>
      <c r="CFT154" s="45"/>
      <c r="CFU154" s="46"/>
      <c r="CFV154" s="44"/>
      <c r="CFW154" s="7"/>
      <c r="CFX154" s="51"/>
      <c r="CFY154" s="52"/>
      <c r="CFZ154" s="53"/>
      <c r="CGA154" s="54"/>
      <c r="CGB154" s="52"/>
      <c r="CGC154" s="53"/>
      <c r="CGD154" s="54"/>
      <c r="CGE154" s="52"/>
      <c r="CGF154" s="53"/>
      <c r="CGG154" s="8"/>
      <c r="CGH154" s="45"/>
      <c r="CGI154" s="45"/>
      <c r="CGJ154" s="46"/>
      <c r="CGK154" s="44"/>
      <c r="CGL154" s="7"/>
      <c r="CGM154" s="51"/>
      <c r="CGN154" s="52"/>
      <c r="CGO154" s="53"/>
      <c r="CGP154" s="54"/>
      <c r="CGQ154" s="52"/>
      <c r="CGR154" s="53"/>
      <c r="CGS154" s="54"/>
      <c r="CGT154" s="52"/>
      <c r="CGU154" s="53"/>
      <c r="CGV154" s="8"/>
      <c r="CGW154" s="45"/>
      <c r="CGX154" s="45"/>
      <c r="CGY154" s="46"/>
      <c r="CGZ154" s="44"/>
      <c r="CHA154" s="7"/>
      <c r="CHB154" s="51"/>
      <c r="CHC154" s="52"/>
      <c r="CHD154" s="53"/>
      <c r="CHE154" s="54"/>
      <c r="CHF154" s="52"/>
      <c r="CHG154" s="53"/>
      <c r="CHH154" s="54"/>
      <c r="CHI154" s="52"/>
      <c r="CHJ154" s="53"/>
      <c r="CHK154" s="8"/>
      <c r="CHL154" s="45"/>
      <c r="CHM154" s="45"/>
      <c r="CHN154" s="46"/>
      <c r="CHO154" s="44"/>
      <c r="CHP154" s="7"/>
      <c r="CHQ154" s="51"/>
      <c r="CHR154" s="52"/>
      <c r="CHS154" s="53"/>
      <c r="CHT154" s="54"/>
      <c r="CHU154" s="52"/>
      <c r="CHV154" s="53"/>
      <c r="CHW154" s="54"/>
      <c r="CHX154" s="52"/>
      <c r="CHY154" s="53"/>
      <c r="CHZ154" s="8"/>
      <c r="CIA154" s="45"/>
      <c r="CIB154" s="45"/>
      <c r="CIC154" s="46"/>
      <c r="CID154" s="44"/>
      <c r="CIE154" s="7"/>
      <c r="CIF154" s="51"/>
      <c r="CIG154" s="52"/>
      <c r="CIH154" s="53"/>
      <c r="CII154" s="54"/>
      <c r="CIJ154" s="52"/>
      <c r="CIK154" s="53"/>
      <c r="CIL154" s="54"/>
      <c r="CIM154" s="52"/>
      <c r="CIN154" s="53"/>
      <c r="CIO154" s="8"/>
      <c r="CIP154" s="45"/>
      <c r="CIQ154" s="45"/>
      <c r="CIR154" s="46"/>
      <c r="CIS154" s="44"/>
      <c r="CIT154" s="7"/>
      <c r="CIU154" s="51"/>
      <c r="CIV154" s="52"/>
      <c r="CIW154" s="53"/>
      <c r="CIX154" s="54"/>
      <c r="CIY154" s="52"/>
      <c r="CIZ154" s="53"/>
      <c r="CJA154" s="54"/>
      <c r="CJB154" s="52"/>
      <c r="CJC154" s="53"/>
      <c r="CJD154" s="8"/>
      <c r="CJE154" s="45"/>
      <c r="CJF154" s="45"/>
      <c r="CJG154" s="46"/>
      <c r="CJH154" s="44"/>
      <c r="CJI154" s="7"/>
      <c r="CJJ154" s="51"/>
      <c r="CJK154" s="52"/>
      <c r="CJL154" s="53"/>
      <c r="CJM154" s="54"/>
      <c r="CJN154" s="52"/>
      <c r="CJO154" s="53"/>
      <c r="CJP154" s="54"/>
      <c r="CJQ154" s="52"/>
      <c r="CJR154" s="53"/>
      <c r="CJS154" s="8"/>
      <c r="CJT154" s="45"/>
      <c r="CJU154" s="45"/>
      <c r="CJV154" s="46"/>
      <c r="CJW154" s="44"/>
      <c r="CJX154" s="7"/>
      <c r="CJY154" s="51"/>
      <c r="CJZ154" s="52"/>
      <c r="CKA154" s="53"/>
      <c r="CKB154" s="54"/>
      <c r="CKC154" s="52"/>
      <c r="CKD154" s="53"/>
      <c r="CKE154" s="54"/>
      <c r="CKF154" s="52"/>
      <c r="CKG154" s="53"/>
      <c r="CKH154" s="8"/>
      <c r="CKI154" s="45"/>
      <c r="CKJ154" s="45"/>
      <c r="CKK154" s="46"/>
      <c r="CKL154" s="44"/>
      <c r="CKM154" s="7"/>
      <c r="CKN154" s="51"/>
      <c r="CKO154" s="52"/>
      <c r="CKP154" s="53"/>
      <c r="CKQ154" s="54"/>
      <c r="CKR154" s="52"/>
      <c r="CKS154" s="53"/>
      <c r="CKT154" s="54"/>
      <c r="CKU154" s="52"/>
      <c r="CKV154" s="53"/>
      <c r="CKW154" s="8"/>
      <c r="CKX154" s="45"/>
      <c r="CKY154" s="45"/>
      <c r="CKZ154" s="46"/>
      <c r="CLA154" s="44"/>
      <c r="CLB154" s="7"/>
      <c r="CLC154" s="51"/>
      <c r="CLD154" s="52"/>
      <c r="CLE154" s="53"/>
      <c r="CLF154" s="54"/>
      <c r="CLG154" s="52"/>
      <c r="CLH154" s="53"/>
      <c r="CLI154" s="54"/>
      <c r="CLJ154" s="52"/>
      <c r="CLK154" s="53"/>
      <c r="CLL154" s="8"/>
      <c r="CLM154" s="45"/>
      <c r="CLN154" s="45"/>
      <c r="CLO154" s="46"/>
      <c r="CLP154" s="44"/>
      <c r="CLQ154" s="7"/>
      <c r="CLR154" s="51"/>
      <c r="CLS154" s="52"/>
      <c r="CLT154" s="53"/>
      <c r="CLU154" s="54"/>
      <c r="CLV154" s="52"/>
      <c r="CLW154" s="53"/>
      <c r="CLX154" s="54"/>
      <c r="CLY154" s="52"/>
      <c r="CLZ154" s="53"/>
      <c r="CMA154" s="8"/>
      <c r="CMB154" s="45"/>
      <c r="CMC154" s="45"/>
      <c r="CMD154" s="46"/>
      <c r="CME154" s="44"/>
      <c r="CMF154" s="7"/>
      <c r="CMG154" s="51"/>
      <c r="CMH154" s="52"/>
      <c r="CMI154" s="53"/>
      <c r="CMJ154" s="54"/>
      <c r="CMK154" s="52"/>
      <c r="CML154" s="53"/>
      <c r="CMM154" s="54"/>
      <c r="CMN154" s="52"/>
      <c r="CMO154" s="53"/>
      <c r="CMP154" s="8"/>
      <c r="CMQ154" s="45"/>
      <c r="CMR154" s="45"/>
      <c r="CMS154" s="46"/>
      <c r="CMT154" s="44"/>
      <c r="CMU154" s="7"/>
      <c r="CMV154" s="51"/>
      <c r="CMW154" s="52"/>
      <c r="CMX154" s="53"/>
      <c r="CMY154" s="54"/>
      <c r="CMZ154" s="52"/>
      <c r="CNA154" s="53"/>
      <c r="CNB154" s="54"/>
      <c r="CNC154" s="52"/>
      <c r="CND154" s="53"/>
      <c r="CNE154" s="8"/>
      <c r="CNF154" s="45"/>
      <c r="CNG154" s="45"/>
      <c r="CNH154" s="46"/>
      <c r="CNI154" s="44"/>
      <c r="CNJ154" s="7"/>
      <c r="CNK154" s="51"/>
      <c r="CNL154" s="52"/>
      <c r="CNM154" s="53"/>
      <c r="CNN154" s="54"/>
      <c r="CNO154" s="52"/>
      <c r="CNP154" s="53"/>
      <c r="CNQ154" s="54"/>
      <c r="CNR154" s="52"/>
      <c r="CNS154" s="53"/>
      <c r="CNT154" s="8"/>
      <c r="CNU154" s="45"/>
      <c r="CNV154" s="45"/>
      <c r="CNW154" s="46"/>
      <c r="CNX154" s="44"/>
      <c r="CNY154" s="7"/>
      <c r="CNZ154" s="51"/>
      <c r="COA154" s="52"/>
      <c r="COB154" s="53"/>
      <c r="COC154" s="54"/>
      <c r="COD154" s="52"/>
      <c r="COE154" s="53"/>
      <c r="COF154" s="54"/>
      <c r="COG154" s="52"/>
      <c r="COH154" s="53"/>
      <c r="COI154" s="8"/>
      <c r="COJ154" s="45"/>
      <c r="COK154" s="45"/>
      <c r="COL154" s="46"/>
      <c r="COM154" s="44"/>
      <c r="CON154" s="7"/>
      <c r="COO154" s="51"/>
      <c r="COP154" s="52"/>
      <c r="COQ154" s="53"/>
      <c r="COR154" s="54"/>
      <c r="COS154" s="52"/>
      <c r="COT154" s="53"/>
      <c r="COU154" s="54"/>
      <c r="COV154" s="52"/>
      <c r="COW154" s="53"/>
      <c r="COX154" s="8"/>
      <c r="COY154" s="45"/>
      <c r="COZ154" s="45"/>
      <c r="CPA154" s="46"/>
      <c r="CPB154" s="44"/>
      <c r="CPC154" s="7"/>
      <c r="CPD154" s="51"/>
      <c r="CPE154" s="52"/>
      <c r="CPF154" s="53"/>
      <c r="CPG154" s="54"/>
      <c r="CPH154" s="52"/>
      <c r="CPI154" s="53"/>
      <c r="CPJ154" s="54"/>
      <c r="CPK154" s="52"/>
      <c r="CPL154" s="53"/>
      <c r="CPM154" s="8"/>
      <c r="CPN154" s="45"/>
      <c r="CPO154" s="45"/>
      <c r="CPP154" s="46"/>
      <c r="CPQ154" s="44"/>
      <c r="CPR154" s="7"/>
      <c r="CPS154" s="51"/>
      <c r="CPT154" s="52"/>
      <c r="CPU154" s="53"/>
      <c r="CPV154" s="54"/>
      <c r="CPW154" s="52"/>
      <c r="CPX154" s="53"/>
      <c r="CPY154" s="54"/>
      <c r="CPZ154" s="52"/>
      <c r="CQA154" s="53"/>
      <c r="CQB154" s="8"/>
      <c r="CQC154" s="45"/>
      <c r="CQD154" s="45"/>
      <c r="CQE154" s="46"/>
      <c r="CQF154" s="44"/>
      <c r="CQG154" s="7"/>
      <c r="CQH154" s="51"/>
      <c r="CQI154" s="52"/>
      <c r="CQJ154" s="53"/>
      <c r="CQK154" s="54"/>
      <c r="CQL154" s="52"/>
      <c r="CQM154" s="53"/>
      <c r="CQN154" s="54"/>
      <c r="CQO154" s="52"/>
      <c r="CQP154" s="53"/>
      <c r="CQQ154" s="8"/>
      <c r="CQR154" s="45"/>
      <c r="CQS154" s="45"/>
      <c r="CQT154" s="46"/>
      <c r="CQU154" s="44"/>
      <c r="CQV154" s="7"/>
      <c r="CQW154" s="51"/>
      <c r="CQX154" s="52"/>
      <c r="CQY154" s="53"/>
      <c r="CQZ154" s="54"/>
      <c r="CRA154" s="52"/>
      <c r="CRB154" s="53"/>
      <c r="CRC154" s="54"/>
      <c r="CRD154" s="52"/>
      <c r="CRE154" s="53"/>
      <c r="CRF154" s="8"/>
      <c r="CRG154" s="45"/>
      <c r="CRH154" s="45"/>
      <c r="CRI154" s="46"/>
      <c r="CRJ154" s="44"/>
      <c r="CRK154" s="7"/>
      <c r="CRL154" s="51"/>
      <c r="CRM154" s="52"/>
      <c r="CRN154" s="53"/>
      <c r="CRO154" s="54"/>
      <c r="CRP154" s="52"/>
      <c r="CRQ154" s="53"/>
      <c r="CRR154" s="54"/>
      <c r="CRS154" s="52"/>
      <c r="CRT154" s="53"/>
      <c r="CRU154" s="8"/>
      <c r="CRV154" s="45"/>
      <c r="CRW154" s="45"/>
      <c r="CRX154" s="46"/>
      <c r="CRY154" s="44"/>
      <c r="CRZ154" s="7"/>
      <c r="CSA154" s="51"/>
      <c r="CSB154" s="52"/>
      <c r="CSC154" s="53"/>
      <c r="CSD154" s="54"/>
      <c r="CSE154" s="52"/>
      <c r="CSF154" s="53"/>
      <c r="CSG154" s="54"/>
      <c r="CSH154" s="52"/>
      <c r="CSI154" s="53"/>
      <c r="CSJ154" s="8"/>
      <c r="CSK154" s="45"/>
      <c r="CSL154" s="45"/>
      <c r="CSM154" s="46"/>
      <c r="CSN154" s="44"/>
      <c r="CSO154" s="7"/>
      <c r="CSP154" s="51"/>
      <c r="CSQ154" s="52"/>
      <c r="CSR154" s="53"/>
      <c r="CSS154" s="54"/>
      <c r="CST154" s="52"/>
      <c r="CSU154" s="53"/>
      <c r="CSV154" s="54"/>
      <c r="CSW154" s="52"/>
      <c r="CSX154" s="53"/>
      <c r="CSY154" s="8"/>
      <c r="CSZ154" s="45"/>
      <c r="CTA154" s="45"/>
      <c r="CTB154" s="46"/>
      <c r="CTC154" s="44"/>
      <c r="CTD154" s="7"/>
      <c r="CTE154" s="51"/>
      <c r="CTF154" s="52"/>
      <c r="CTG154" s="53"/>
      <c r="CTH154" s="54"/>
      <c r="CTI154" s="52"/>
      <c r="CTJ154" s="53"/>
      <c r="CTK154" s="54"/>
      <c r="CTL154" s="52"/>
      <c r="CTM154" s="53"/>
      <c r="CTN154" s="8"/>
      <c r="CTO154" s="45"/>
      <c r="CTP154" s="45"/>
      <c r="CTQ154" s="46"/>
      <c r="CTR154" s="44"/>
      <c r="CTS154" s="7"/>
      <c r="CTT154" s="51"/>
      <c r="CTU154" s="52"/>
      <c r="CTV154" s="53"/>
      <c r="CTW154" s="54"/>
      <c r="CTX154" s="52"/>
      <c r="CTY154" s="53"/>
      <c r="CTZ154" s="54"/>
      <c r="CUA154" s="52"/>
      <c r="CUB154" s="53"/>
      <c r="CUC154" s="8"/>
      <c r="CUD154" s="45"/>
      <c r="CUE154" s="45"/>
      <c r="CUF154" s="46"/>
      <c r="CUG154" s="44"/>
      <c r="CUH154" s="7"/>
      <c r="CUI154" s="51"/>
      <c r="CUJ154" s="52"/>
      <c r="CUK154" s="53"/>
      <c r="CUL154" s="54"/>
      <c r="CUM154" s="52"/>
      <c r="CUN154" s="53"/>
      <c r="CUO154" s="54"/>
      <c r="CUP154" s="52"/>
      <c r="CUQ154" s="53"/>
      <c r="CUR154" s="8"/>
      <c r="CUS154" s="45"/>
      <c r="CUT154" s="45"/>
      <c r="CUU154" s="46"/>
      <c r="CUV154" s="44"/>
      <c r="CUW154" s="7"/>
      <c r="CUX154" s="51"/>
      <c r="CUY154" s="52"/>
      <c r="CUZ154" s="53"/>
      <c r="CVA154" s="54"/>
      <c r="CVB154" s="52"/>
      <c r="CVC154" s="53"/>
      <c r="CVD154" s="54"/>
      <c r="CVE154" s="52"/>
      <c r="CVF154" s="53"/>
      <c r="CVG154" s="8"/>
      <c r="CVH154" s="45"/>
      <c r="CVI154" s="45"/>
      <c r="CVJ154" s="46"/>
      <c r="CVK154" s="44"/>
      <c r="CVL154" s="7"/>
      <c r="CVM154" s="51"/>
      <c r="CVN154" s="52"/>
      <c r="CVO154" s="53"/>
      <c r="CVP154" s="54"/>
      <c r="CVQ154" s="52"/>
      <c r="CVR154" s="53"/>
      <c r="CVS154" s="54"/>
      <c r="CVT154" s="52"/>
      <c r="CVU154" s="53"/>
      <c r="CVV154" s="8"/>
      <c r="CVW154" s="45"/>
      <c r="CVX154" s="45"/>
      <c r="CVY154" s="46"/>
      <c r="CVZ154" s="44"/>
      <c r="CWA154" s="7"/>
      <c r="CWB154" s="51"/>
      <c r="CWC154" s="52"/>
      <c r="CWD154" s="53"/>
      <c r="CWE154" s="54"/>
      <c r="CWF154" s="52"/>
      <c r="CWG154" s="53"/>
      <c r="CWH154" s="54"/>
      <c r="CWI154" s="52"/>
      <c r="CWJ154" s="53"/>
      <c r="CWK154" s="8"/>
      <c r="CWL154" s="45"/>
      <c r="CWM154" s="45"/>
      <c r="CWN154" s="46"/>
      <c r="CWO154" s="44"/>
      <c r="CWP154" s="7"/>
      <c r="CWQ154" s="51"/>
      <c r="CWR154" s="52"/>
      <c r="CWS154" s="53"/>
      <c r="CWT154" s="54"/>
      <c r="CWU154" s="52"/>
      <c r="CWV154" s="53"/>
      <c r="CWW154" s="54"/>
      <c r="CWX154" s="52"/>
      <c r="CWY154" s="53"/>
      <c r="CWZ154" s="8"/>
      <c r="CXA154" s="45"/>
      <c r="CXB154" s="45"/>
      <c r="CXC154" s="46"/>
      <c r="CXD154" s="44"/>
      <c r="CXE154" s="7"/>
      <c r="CXF154" s="51"/>
      <c r="CXG154" s="52"/>
      <c r="CXH154" s="53"/>
      <c r="CXI154" s="54"/>
      <c r="CXJ154" s="52"/>
      <c r="CXK154" s="53"/>
      <c r="CXL154" s="54"/>
      <c r="CXM154" s="52"/>
      <c r="CXN154" s="53"/>
      <c r="CXO154" s="8"/>
      <c r="CXP154" s="45"/>
      <c r="CXQ154" s="45"/>
      <c r="CXR154" s="46"/>
      <c r="CXS154" s="44"/>
      <c r="CXT154" s="7"/>
      <c r="CXU154" s="51"/>
      <c r="CXV154" s="52"/>
      <c r="CXW154" s="53"/>
      <c r="CXX154" s="54"/>
      <c r="CXY154" s="52"/>
      <c r="CXZ154" s="53"/>
      <c r="CYA154" s="54"/>
      <c r="CYB154" s="52"/>
      <c r="CYC154" s="53"/>
      <c r="CYD154" s="8"/>
      <c r="CYE154" s="45"/>
      <c r="CYF154" s="45"/>
      <c r="CYG154" s="46"/>
      <c r="CYH154" s="44"/>
      <c r="CYI154" s="7"/>
      <c r="CYJ154" s="51"/>
      <c r="CYK154" s="52"/>
      <c r="CYL154" s="53"/>
      <c r="CYM154" s="54"/>
      <c r="CYN154" s="52"/>
      <c r="CYO154" s="53"/>
      <c r="CYP154" s="54"/>
      <c r="CYQ154" s="52"/>
      <c r="CYR154" s="53"/>
      <c r="CYS154" s="8"/>
      <c r="CYT154" s="45"/>
      <c r="CYU154" s="45"/>
      <c r="CYV154" s="46"/>
      <c r="CYW154" s="44"/>
      <c r="CYX154" s="7"/>
      <c r="CYY154" s="51"/>
      <c r="CYZ154" s="52"/>
      <c r="CZA154" s="53"/>
      <c r="CZB154" s="54"/>
      <c r="CZC154" s="52"/>
      <c r="CZD154" s="53"/>
      <c r="CZE154" s="54"/>
      <c r="CZF154" s="52"/>
      <c r="CZG154" s="53"/>
      <c r="CZH154" s="8"/>
      <c r="CZI154" s="45"/>
      <c r="CZJ154" s="45"/>
      <c r="CZK154" s="46"/>
      <c r="CZL154" s="44"/>
      <c r="CZM154" s="7"/>
      <c r="CZN154" s="51"/>
      <c r="CZO154" s="52"/>
      <c r="CZP154" s="53"/>
      <c r="CZQ154" s="54"/>
      <c r="CZR154" s="52"/>
      <c r="CZS154" s="53"/>
      <c r="CZT154" s="54"/>
      <c r="CZU154" s="52"/>
      <c r="CZV154" s="53"/>
      <c r="CZW154" s="8"/>
      <c r="CZX154" s="45"/>
      <c r="CZY154" s="45"/>
      <c r="CZZ154" s="46"/>
      <c r="DAA154" s="44"/>
      <c r="DAB154" s="7"/>
      <c r="DAC154" s="51"/>
      <c r="DAD154" s="52"/>
      <c r="DAE154" s="53"/>
      <c r="DAF154" s="54"/>
      <c r="DAG154" s="52"/>
      <c r="DAH154" s="53"/>
      <c r="DAI154" s="54"/>
      <c r="DAJ154" s="52"/>
      <c r="DAK154" s="53"/>
      <c r="DAL154" s="8"/>
      <c r="DAM154" s="45"/>
      <c r="DAN154" s="45"/>
      <c r="DAO154" s="46"/>
      <c r="DAP154" s="44"/>
      <c r="DAQ154" s="7"/>
      <c r="DAR154" s="51"/>
      <c r="DAS154" s="52"/>
      <c r="DAT154" s="53"/>
      <c r="DAU154" s="54"/>
      <c r="DAV154" s="52"/>
      <c r="DAW154" s="53"/>
      <c r="DAX154" s="54"/>
      <c r="DAY154" s="52"/>
      <c r="DAZ154" s="53"/>
      <c r="DBA154" s="8"/>
      <c r="DBB154" s="45"/>
      <c r="DBC154" s="45"/>
      <c r="DBD154" s="46"/>
      <c r="DBE154" s="44"/>
      <c r="DBF154" s="7"/>
      <c r="DBG154" s="51"/>
      <c r="DBH154" s="52"/>
      <c r="DBI154" s="53"/>
      <c r="DBJ154" s="54"/>
      <c r="DBK154" s="52"/>
      <c r="DBL154" s="53"/>
      <c r="DBM154" s="54"/>
      <c r="DBN154" s="52"/>
      <c r="DBO154" s="53"/>
      <c r="DBP154" s="8"/>
      <c r="DBQ154" s="45"/>
      <c r="DBR154" s="45"/>
      <c r="DBS154" s="46"/>
      <c r="DBT154" s="44"/>
      <c r="DBU154" s="7"/>
      <c r="DBV154" s="51"/>
      <c r="DBW154" s="52"/>
      <c r="DBX154" s="53"/>
      <c r="DBY154" s="54"/>
      <c r="DBZ154" s="52"/>
      <c r="DCA154" s="53"/>
      <c r="DCB154" s="54"/>
      <c r="DCC154" s="52"/>
      <c r="DCD154" s="53"/>
      <c r="DCE154" s="8"/>
      <c r="DCF154" s="45"/>
      <c r="DCG154" s="45"/>
      <c r="DCH154" s="46"/>
      <c r="DCI154" s="44"/>
      <c r="DCJ154" s="7"/>
      <c r="DCK154" s="51"/>
      <c r="DCL154" s="52"/>
      <c r="DCM154" s="53"/>
      <c r="DCN154" s="54"/>
      <c r="DCO154" s="52"/>
      <c r="DCP154" s="53"/>
      <c r="DCQ154" s="54"/>
      <c r="DCR154" s="52"/>
      <c r="DCS154" s="53"/>
      <c r="DCT154" s="8"/>
      <c r="DCU154" s="45"/>
      <c r="DCV154" s="45"/>
      <c r="DCW154" s="46"/>
      <c r="DCX154" s="44"/>
      <c r="DCY154" s="7"/>
      <c r="DCZ154" s="51"/>
      <c r="DDA154" s="52"/>
      <c r="DDB154" s="53"/>
      <c r="DDC154" s="54"/>
      <c r="DDD154" s="52"/>
      <c r="DDE154" s="53"/>
      <c r="DDF154" s="54"/>
      <c r="DDG154" s="52"/>
      <c r="DDH154" s="53"/>
      <c r="DDI154" s="8"/>
      <c r="DDJ154" s="45"/>
      <c r="DDK154" s="45"/>
      <c r="DDL154" s="46"/>
      <c r="DDM154" s="44"/>
      <c r="DDN154" s="7"/>
      <c r="DDO154" s="51"/>
      <c r="DDP154" s="52"/>
      <c r="DDQ154" s="53"/>
      <c r="DDR154" s="54"/>
      <c r="DDS154" s="52"/>
      <c r="DDT154" s="53"/>
      <c r="DDU154" s="54"/>
      <c r="DDV154" s="52"/>
      <c r="DDW154" s="53"/>
      <c r="DDX154" s="8"/>
      <c r="DDY154" s="45"/>
      <c r="DDZ154" s="45"/>
      <c r="DEA154" s="46"/>
      <c r="DEB154" s="44"/>
      <c r="DEC154" s="7"/>
      <c r="DED154" s="51"/>
      <c r="DEE154" s="52"/>
      <c r="DEF154" s="53"/>
      <c r="DEG154" s="54"/>
      <c r="DEH154" s="52"/>
      <c r="DEI154" s="53"/>
      <c r="DEJ154" s="54"/>
      <c r="DEK154" s="52"/>
      <c r="DEL154" s="53"/>
      <c r="DEM154" s="8"/>
      <c r="DEN154" s="45"/>
      <c r="DEO154" s="45"/>
      <c r="DEP154" s="46"/>
      <c r="DEQ154" s="44"/>
      <c r="DER154" s="7"/>
      <c r="DES154" s="51"/>
      <c r="DET154" s="52"/>
      <c r="DEU154" s="53"/>
      <c r="DEV154" s="54"/>
      <c r="DEW154" s="52"/>
      <c r="DEX154" s="53"/>
      <c r="DEY154" s="54"/>
      <c r="DEZ154" s="52"/>
      <c r="DFA154" s="53"/>
      <c r="DFB154" s="8"/>
      <c r="DFC154" s="45"/>
      <c r="DFD154" s="45"/>
      <c r="DFE154" s="46"/>
      <c r="DFF154" s="44"/>
      <c r="DFG154" s="7"/>
      <c r="DFH154" s="51"/>
      <c r="DFI154" s="52"/>
      <c r="DFJ154" s="53"/>
      <c r="DFK154" s="54"/>
      <c r="DFL154" s="52"/>
      <c r="DFM154" s="53"/>
      <c r="DFN154" s="54"/>
      <c r="DFO154" s="52"/>
      <c r="DFP154" s="53"/>
      <c r="DFQ154" s="8"/>
      <c r="DFR154" s="45"/>
      <c r="DFS154" s="45"/>
      <c r="DFT154" s="46"/>
      <c r="DFU154" s="44"/>
      <c r="DFV154" s="7"/>
      <c r="DFW154" s="51"/>
      <c r="DFX154" s="52"/>
      <c r="DFY154" s="53"/>
      <c r="DFZ154" s="54"/>
      <c r="DGA154" s="52"/>
      <c r="DGB154" s="53"/>
      <c r="DGC154" s="54"/>
      <c r="DGD154" s="52"/>
      <c r="DGE154" s="53"/>
      <c r="DGF154" s="8"/>
      <c r="DGG154" s="45"/>
      <c r="DGH154" s="45"/>
      <c r="DGI154" s="46"/>
      <c r="DGJ154" s="44"/>
      <c r="DGK154" s="7"/>
      <c r="DGL154" s="51"/>
      <c r="DGM154" s="52"/>
      <c r="DGN154" s="53"/>
      <c r="DGO154" s="54"/>
      <c r="DGP154" s="52"/>
      <c r="DGQ154" s="53"/>
      <c r="DGR154" s="54"/>
      <c r="DGS154" s="52"/>
      <c r="DGT154" s="53"/>
      <c r="DGU154" s="8"/>
      <c r="DGV154" s="45"/>
      <c r="DGW154" s="45"/>
      <c r="DGX154" s="46"/>
      <c r="DGY154" s="44"/>
      <c r="DGZ154" s="7"/>
      <c r="DHA154" s="51"/>
      <c r="DHB154" s="52"/>
      <c r="DHC154" s="53"/>
      <c r="DHD154" s="54"/>
      <c r="DHE154" s="52"/>
      <c r="DHF154" s="53"/>
      <c r="DHG154" s="54"/>
      <c r="DHH154" s="52"/>
      <c r="DHI154" s="53"/>
      <c r="DHJ154" s="8"/>
      <c r="DHK154" s="45"/>
      <c r="DHL154" s="45"/>
      <c r="DHM154" s="46"/>
      <c r="DHN154" s="44"/>
      <c r="DHO154" s="7"/>
      <c r="DHP154" s="51"/>
      <c r="DHQ154" s="52"/>
      <c r="DHR154" s="53"/>
      <c r="DHS154" s="54"/>
      <c r="DHT154" s="52"/>
      <c r="DHU154" s="53"/>
      <c r="DHV154" s="54"/>
      <c r="DHW154" s="52"/>
      <c r="DHX154" s="53"/>
      <c r="DHY154" s="8"/>
      <c r="DHZ154" s="45"/>
      <c r="DIA154" s="45"/>
      <c r="DIB154" s="46"/>
      <c r="DIC154" s="44"/>
      <c r="DID154" s="7"/>
      <c r="DIE154" s="51"/>
      <c r="DIF154" s="52"/>
      <c r="DIG154" s="53"/>
      <c r="DIH154" s="54"/>
      <c r="DII154" s="52"/>
      <c r="DIJ154" s="53"/>
      <c r="DIK154" s="54"/>
      <c r="DIL154" s="52"/>
      <c r="DIM154" s="53"/>
      <c r="DIN154" s="8"/>
      <c r="DIO154" s="45"/>
      <c r="DIP154" s="45"/>
      <c r="DIQ154" s="46"/>
      <c r="DIR154" s="44"/>
      <c r="DIS154" s="7"/>
      <c r="DIT154" s="51"/>
      <c r="DIU154" s="52"/>
      <c r="DIV154" s="53"/>
      <c r="DIW154" s="54"/>
      <c r="DIX154" s="52"/>
      <c r="DIY154" s="53"/>
      <c r="DIZ154" s="54"/>
      <c r="DJA154" s="52"/>
      <c r="DJB154" s="53"/>
      <c r="DJC154" s="8"/>
      <c r="DJD154" s="45"/>
      <c r="DJE154" s="45"/>
      <c r="DJF154" s="46"/>
      <c r="DJG154" s="44"/>
      <c r="DJH154" s="7"/>
      <c r="DJI154" s="51"/>
      <c r="DJJ154" s="52"/>
      <c r="DJK154" s="53"/>
      <c r="DJL154" s="54"/>
      <c r="DJM154" s="52"/>
      <c r="DJN154" s="53"/>
      <c r="DJO154" s="54"/>
      <c r="DJP154" s="52"/>
      <c r="DJQ154" s="53"/>
      <c r="DJR154" s="8"/>
      <c r="DJS154" s="45"/>
      <c r="DJT154" s="45"/>
      <c r="DJU154" s="46"/>
      <c r="DJV154" s="44"/>
      <c r="DJW154" s="7"/>
      <c r="DJX154" s="51"/>
      <c r="DJY154" s="52"/>
      <c r="DJZ154" s="53"/>
      <c r="DKA154" s="54"/>
      <c r="DKB154" s="52"/>
      <c r="DKC154" s="53"/>
      <c r="DKD154" s="54"/>
      <c r="DKE154" s="52"/>
      <c r="DKF154" s="53"/>
      <c r="DKG154" s="8"/>
      <c r="DKH154" s="45"/>
      <c r="DKI154" s="45"/>
      <c r="DKJ154" s="46"/>
      <c r="DKK154" s="44"/>
      <c r="DKL154" s="7"/>
      <c r="DKM154" s="51"/>
      <c r="DKN154" s="52"/>
      <c r="DKO154" s="53"/>
      <c r="DKP154" s="54"/>
      <c r="DKQ154" s="52"/>
      <c r="DKR154" s="53"/>
      <c r="DKS154" s="54"/>
      <c r="DKT154" s="52"/>
      <c r="DKU154" s="53"/>
      <c r="DKV154" s="8"/>
      <c r="DKW154" s="45"/>
      <c r="DKX154" s="45"/>
      <c r="DKY154" s="46"/>
      <c r="DKZ154" s="44"/>
      <c r="DLA154" s="7"/>
      <c r="DLB154" s="51"/>
      <c r="DLC154" s="52"/>
      <c r="DLD154" s="53"/>
      <c r="DLE154" s="54"/>
      <c r="DLF154" s="52"/>
      <c r="DLG154" s="53"/>
      <c r="DLH154" s="54"/>
      <c r="DLI154" s="52"/>
      <c r="DLJ154" s="53"/>
      <c r="DLK154" s="8"/>
      <c r="DLL154" s="45"/>
      <c r="DLM154" s="45"/>
      <c r="DLN154" s="46"/>
      <c r="DLO154" s="44"/>
      <c r="DLP154" s="7"/>
      <c r="DLQ154" s="51"/>
      <c r="DLR154" s="52"/>
      <c r="DLS154" s="53"/>
      <c r="DLT154" s="54"/>
      <c r="DLU154" s="52"/>
      <c r="DLV154" s="53"/>
      <c r="DLW154" s="54"/>
      <c r="DLX154" s="52"/>
      <c r="DLY154" s="53"/>
      <c r="DLZ154" s="8"/>
      <c r="DMA154" s="45"/>
      <c r="DMB154" s="45"/>
      <c r="DMC154" s="46"/>
      <c r="DMD154" s="44"/>
      <c r="DME154" s="7"/>
      <c r="DMF154" s="51"/>
      <c r="DMG154" s="52"/>
      <c r="DMH154" s="53"/>
      <c r="DMI154" s="54"/>
      <c r="DMJ154" s="52"/>
      <c r="DMK154" s="53"/>
      <c r="DML154" s="54"/>
      <c r="DMM154" s="52"/>
      <c r="DMN154" s="53"/>
      <c r="DMO154" s="8"/>
      <c r="DMP154" s="45"/>
      <c r="DMQ154" s="45"/>
      <c r="DMR154" s="46"/>
      <c r="DMS154" s="44"/>
      <c r="DMT154" s="7"/>
      <c r="DMU154" s="51"/>
      <c r="DMV154" s="52"/>
      <c r="DMW154" s="53"/>
      <c r="DMX154" s="54"/>
      <c r="DMY154" s="52"/>
      <c r="DMZ154" s="53"/>
      <c r="DNA154" s="54"/>
      <c r="DNB154" s="52"/>
      <c r="DNC154" s="53"/>
      <c r="DND154" s="8"/>
      <c r="DNE154" s="45"/>
      <c r="DNF154" s="45"/>
      <c r="DNG154" s="46"/>
      <c r="DNH154" s="44"/>
      <c r="DNI154" s="7"/>
      <c r="DNJ154" s="51"/>
      <c r="DNK154" s="52"/>
      <c r="DNL154" s="53"/>
      <c r="DNM154" s="54"/>
      <c r="DNN154" s="52"/>
      <c r="DNO154" s="53"/>
      <c r="DNP154" s="54"/>
      <c r="DNQ154" s="52"/>
      <c r="DNR154" s="53"/>
      <c r="DNS154" s="8"/>
      <c r="DNT154" s="45"/>
      <c r="DNU154" s="45"/>
      <c r="DNV154" s="46"/>
      <c r="DNW154" s="44"/>
      <c r="DNX154" s="7"/>
      <c r="DNY154" s="51"/>
      <c r="DNZ154" s="52"/>
      <c r="DOA154" s="53"/>
      <c r="DOB154" s="54"/>
      <c r="DOC154" s="52"/>
      <c r="DOD154" s="53"/>
      <c r="DOE154" s="54"/>
      <c r="DOF154" s="52"/>
      <c r="DOG154" s="53"/>
      <c r="DOH154" s="8"/>
      <c r="DOI154" s="45"/>
      <c r="DOJ154" s="45"/>
      <c r="DOK154" s="46"/>
      <c r="DOL154" s="44"/>
      <c r="DOM154" s="7"/>
      <c r="DON154" s="51"/>
      <c r="DOO154" s="52"/>
      <c r="DOP154" s="53"/>
      <c r="DOQ154" s="54"/>
      <c r="DOR154" s="52"/>
      <c r="DOS154" s="53"/>
      <c r="DOT154" s="54"/>
      <c r="DOU154" s="52"/>
      <c r="DOV154" s="53"/>
      <c r="DOW154" s="8"/>
      <c r="DOX154" s="45"/>
      <c r="DOY154" s="45"/>
      <c r="DOZ154" s="46"/>
      <c r="DPA154" s="44"/>
      <c r="DPB154" s="7"/>
      <c r="DPC154" s="51"/>
      <c r="DPD154" s="52"/>
      <c r="DPE154" s="53"/>
      <c r="DPF154" s="54"/>
      <c r="DPG154" s="52"/>
      <c r="DPH154" s="53"/>
      <c r="DPI154" s="54"/>
      <c r="DPJ154" s="52"/>
      <c r="DPK154" s="53"/>
      <c r="DPL154" s="8"/>
      <c r="DPM154" s="45"/>
      <c r="DPN154" s="45"/>
      <c r="DPO154" s="46"/>
      <c r="DPP154" s="44"/>
      <c r="DPQ154" s="7"/>
      <c r="DPR154" s="51"/>
      <c r="DPS154" s="52"/>
      <c r="DPT154" s="53"/>
      <c r="DPU154" s="54"/>
      <c r="DPV154" s="52"/>
      <c r="DPW154" s="53"/>
      <c r="DPX154" s="54"/>
      <c r="DPY154" s="52"/>
      <c r="DPZ154" s="53"/>
      <c r="DQA154" s="8"/>
      <c r="DQB154" s="45"/>
      <c r="DQC154" s="45"/>
      <c r="DQD154" s="46"/>
      <c r="DQE154" s="44"/>
      <c r="DQF154" s="7"/>
      <c r="DQG154" s="51"/>
      <c r="DQH154" s="52"/>
      <c r="DQI154" s="53"/>
      <c r="DQJ154" s="54"/>
      <c r="DQK154" s="52"/>
      <c r="DQL154" s="53"/>
      <c r="DQM154" s="54"/>
      <c r="DQN154" s="52"/>
      <c r="DQO154" s="53"/>
      <c r="DQP154" s="8"/>
      <c r="DQQ154" s="45"/>
      <c r="DQR154" s="45"/>
      <c r="DQS154" s="46"/>
      <c r="DQT154" s="44"/>
      <c r="DQU154" s="7"/>
      <c r="DQV154" s="51"/>
      <c r="DQW154" s="52"/>
      <c r="DQX154" s="53"/>
      <c r="DQY154" s="54"/>
      <c r="DQZ154" s="52"/>
      <c r="DRA154" s="53"/>
      <c r="DRB154" s="54"/>
      <c r="DRC154" s="52"/>
      <c r="DRD154" s="53"/>
      <c r="DRE154" s="8"/>
      <c r="DRF154" s="45"/>
      <c r="DRG154" s="45"/>
      <c r="DRH154" s="46"/>
      <c r="DRI154" s="44"/>
      <c r="DRJ154" s="7"/>
      <c r="DRK154" s="51"/>
      <c r="DRL154" s="52"/>
      <c r="DRM154" s="53"/>
      <c r="DRN154" s="54"/>
      <c r="DRO154" s="52"/>
      <c r="DRP154" s="53"/>
      <c r="DRQ154" s="54"/>
      <c r="DRR154" s="52"/>
      <c r="DRS154" s="53"/>
      <c r="DRT154" s="8"/>
      <c r="DRU154" s="45"/>
      <c r="DRV154" s="45"/>
      <c r="DRW154" s="46"/>
      <c r="DRX154" s="44"/>
      <c r="DRY154" s="7"/>
      <c r="DRZ154" s="51"/>
      <c r="DSA154" s="52"/>
      <c r="DSB154" s="53"/>
      <c r="DSC154" s="54"/>
      <c r="DSD154" s="52"/>
      <c r="DSE154" s="53"/>
      <c r="DSF154" s="54"/>
      <c r="DSG154" s="52"/>
      <c r="DSH154" s="53"/>
      <c r="DSI154" s="8"/>
      <c r="DSJ154" s="45"/>
      <c r="DSK154" s="45"/>
      <c r="DSL154" s="46"/>
      <c r="DSM154" s="44"/>
      <c r="DSN154" s="7"/>
      <c r="DSO154" s="51"/>
      <c r="DSP154" s="52"/>
      <c r="DSQ154" s="53"/>
      <c r="DSR154" s="54"/>
      <c r="DSS154" s="52"/>
      <c r="DST154" s="53"/>
      <c r="DSU154" s="54"/>
      <c r="DSV154" s="52"/>
      <c r="DSW154" s="53"/>
      <c r="DSX154" s="8"/>
      <c r="DSY154" s="45"/>
      <c r="DSZ154" s="45"/>
      <c r="DTA154" s="46"/>
      <c r="DTB154" s="44"/>
      <c r="DTC154" s="7"/>
      <c r="DTD154" s="51"/>
      <c r="DTE154" s="52"/>
      <c r="DTF154" s="53"/>
      <c r="DTG154" s="54"/>
      <c r="DTH154" s="52"/>
      <c r="DTI154" s="53"/>
      <c r="DTJ154" s="54"/>
      <c r="DTK154" s="52"/>
      <c r="DTL154" s="53"/>
      <c r="DTM154" s="8"/>
      <c r="DTN154" s="45"/>
      <c r="DTO154" s="45"/>
      <c r="DTP154" s="46"/>
      <c r="DTQ154" s="44"/>
      <c r="DTR154" s="7"/>
      <c r="DTS154" s="51"/>
      <c r="DTT154" s="52"/>
      <c r="DTU154" s="53"/>
      <c r="DTV154" s="54"/>
      <c r="DTW154" s="52"/>
      <c r="DTX154" s="53"/>
      <c r="DTY154" s="54"/>
      <c r="DTZ154" s="52"/>
      <c r="DUA154" s="53"/>
      <c r="DUB154" s="8"/>
      <c r="DUC154" s="45"/>
      <c r="DUD154" s="45"/>
      <c r="DUE154" s="46"/>
      <c r="DUF154" s="44"/>
      <c r="DUG154" s="7"/>
      <c r="DUH154" s="51"/>
      <c r="DUI154" s="52"/>
      <c r="DUJ154" s="53"/>
      <c r="DUK154" s="54"/>
      <c r="DUL154" s="52"/>
      <c r="DUM154" s="53"/>
      <c r="DUN154" s="54"/>
      <c r="DUO154" s="52"/>
      <c r="DUP154" s="53"/>
      <c r="DUQ154" s="8"/>
      <c r="DUR154" s="45"/>
      <c r="DUS154" s="45"/>
      <c r="DUT154" s="46"/>
      <c r="DUU154" s="44"/>
      <c r="DUV154" s="7"/>
      <c r="DUW154" s="51"/>
      <c r="DUX154" s="52"/>
      <c r="DUY154" s="53"/>
      <c r="DUZ154" s="54"/>
      <c r="DVA154" s="52"/>
      <c r="DVB154" s="53"/>
      <c r="DVC154" s="54"/>
      <c r="DVD154" s="52"/>
      <c r="DVE154" s="53"/>
      <c r="DVF154" s="8"/>
      <c r="DVG154" s="45"/>
      <c r="DVH154" s="45"/>
      <c r="DVI154" s="46"/>
      <c r="DVJ154" s="44"/>
      <c r="DVK154" s="7"/>
      <c r="DVL154" s="51"/>
      <c r="DVM154" s="52"/>
      <c r="DVN154" s="53"/>
      <c r="DVO154" s="54"/>
      <c r="DVP154" s="52"/>
      <c r="DVQ154" s="53"/>
      <c r="DVR154" s="54"/>
      <c r="DVS154" s="52"/>
      <c r="DVT154" s="53"/>
      <c r="DVU154" s="8"/>
      <c r="DVV154" s="45"/>
      <c r="DVW154" s="45"/>
      <c r="DVX154" s="46"/>
      <c r="DVY154" s="44"/>
      <c r="DVZ154" s="7"/>
      <c r="DWA154" s="51"/>
      <c r="DWB154" s="52"/>
      <c r="DWC154" s="53"/>
      <c r="DWD154" s="54"/>
      <c r="DWE154" s="52"/>
      <c r="DWF154" s="53"/>
      <c r="DWG154" s="54"/>
      <c r="DWH154" s="52"/>
      <c r="DWI154" s="53"/>
      <c r="DWJ154" s="8"/>
      <c r="DWK154" s="45"/>
      <c r="DWL154" s="45"/>
      <c r="DWM154" s="46"/>
      <c r="DWN154" s="44"/>
      <c r="DWO154" s="7"/>
      <c r="DWP154" s="51"/>
      <c r="DWQ154" s="52"/>
      <c r="DWR154" s="53"/>
      <c r="DWS154" s="54"/>
      <c r="DWT154" s="52"/>
      <c r="DWU154" s="53"/>
      <c r="DWV154" s="54"/>
      <c r="DWW154" s="52"/>
      <c r="DWX154" s="53"/>
      <c r="DWY154" s="8"/>
      <c r="DWZ154" s="45"/>
      <c r="DXA154" s="45"/>
      <c r="DXB154" s="46"/>
      <c r="DXC154" s="44"/>
      <c r="DXD154" s="7"/>
      <c r="DXE154" s="51"/>
      <c r="DXF154" s="52"/>
      <c r="DXG154" s="53"/>
      <c r="DXH154" s="54"/>
      <c r="DXI154" s="52"/>
      <c r="DXJ154" s="53"/>
      <c r="DXK154" s="54"/>
      <c r="DXL154" s="52"/>
      <c r="DXM154" s="53"/>
      <c r="DXN154" s="8"/>
      <c r="DXO154" s="45"/>
      <c r="DXP154" s="45"/>
      <c r="DXQ154" s="46"/>
      <c r="DXR154" s="44"/>
      <c r="DXS154" s="7"/>
      <c r="DXT154" s="51"/>
      <c r="DXU154" s="52"/>
      <c r="DXV154" s="53"/>
      <c r="DXW154" s="54"/>
      <c r="DXX154" s="52"/>
      <c r="DXY154" s="53"/>
      <c r="DXZ154" s="54"/>
      <c r="DYA154" s="52"/>
      <c r="DYB154" s="53"/>
      <c r="DYC154" s="8"/>
      <c r="DYD154" s="45"/>
      <c r="DYE154" s="45"/>
      <c r="DYF154" s="46"/>
      <c r="DYG154" s="44"/>
      <c r="DYH154" s="7"/>
      <c r="DYI154" s="51"/>
      <c r="DYJ154" s="52"/>
      <c r="DYK154" s="53"/>
      <c r="DYL154" s="54"/>
      <c r="DYM154" s="52"/>
      <c r="DYN154" s="53"/>
      <c r="DYO154" s="54"/>
      <c r="DYP154" s="52"/>
      <c r="DYQ154" s="53"/>
      <c r="DYR154" s="8"/>
      <c r="DYS154" s="45"/>
      <c r="DYT154" s="45"/>
      <c r="DYU154" s="46"/>
      <c r="DYV154" s="44"/>
      <c r="DYW154" s="7"/>
      <c r="DYX154" s="51"/>
      <c r="DYY154" s="52"/>
      <c r="DYZ154" s="53"/>
      <c r="DZA154" s="54"/>
      <c r="DZB154" s="52"/>
      <c r="DZC154" s="53"/>
      <c r="DZD154" s="54"/>
      <c r="DZE154" s="52"/>
      <c r="DZF154" s="53"/>
      <c r="DZG154" s="8"/>
      <c r="DZH154" s="45"/>
      <c r="DZI154" s="45"/>
      <c r="DZJ154" s="46"/>
      <c r="DZK154" s="44"/>
      <c r="DZL154" s="7"/>
      <c r="DZM154" s="51"/>
      <c r="DZN154" s="52"/>
      <c r="DZO154" s="53"/>
      <c r="DZP154" s="54"/>
      <c r="DZQ154" s="52"/>
      <c r="DZR154" s="53"/>
      <c r="DZS154" s="54"/>
      <c r="DZT154" s="52"/>
      <c r="DZU154" s="53"/>
      <c r="DZV154" s="8"/>
      <c r="DZW154" s="45"/>
      <c r="DZX154" s="45"/>
      <c r="DZY154" s="46"/>
      <c r="DZZ154" s="44"/>
      <c r="EAA154" s="7"/>
      <c r="EAB154" s="51"/>
      <c r="EAC154" s="52"/>
      <c r="EAD154" s="53"/>
      <c r="EAE154" s="54"/>
      <c r="EAF154" s="52"/>
      <c r="EAG154" s="53"/>
      <c r="EAH154" s="54"/>
      <c r="EAI154" s="52"/>
      <c r="EAJ154" s="53"/>
      <c r="EAK154" s="8"/>
      <c r="EAL154" s="45"/>
      <c r="EAM154" s="45"/>
      <c r="EAN154" s="46"/>
      <c r="EAO154" s="44"/>
      <c r="EAP154" s="7"/>
      <c r="EAQ154" s="51"/>
      <c r="EAR154" s="52"/>
      <c r="EAS154" s="53"/>
      <c r="EAT154" s="54"/>
      <c r="EAU154" s="52"/>
      <c r="EAV154" s="53"/>
      <c r="EAW154" s="54"/>
      <c r="EAX154" s="52"/>
      <c r="EAY154" s="53"/>
      <c r="EAZ154" s="8"/>
      <c r="EBA154" s="45"/>
      <c r="EBB154" s="45"/>
      <c r="EBC154" s="46"/>
      <c r="EBD154" s="44"/>
      <c r="EBE154" s="7"/>
      <c r="EBF154" s="51"/>
      <c r="EBG154" s="52"/>
      <c r="EBH154" s="53"/>
      <c r="EBI154" s="54"/>
      <c r="EBJ154" s="52"/>
      <c r="EBK154" s="53"/>
      <c r="EBL154" s="54"/>
      <c r="EBM154" s="52"/>
      <c r="EBN154" s="53"/>
      <c r="EBO154" s="8"/>
      <c r="EBP154" s="45"/>
      <c r="EBQ154" s="45"/>
      <c r="EBR154" s="46"/>
      <c r="EBS154" s="44"/>
      <c r="EBT154" s="7"/>
      <c r="EBU154" s="51"/>
      <c r="EBV154" s="52"/>
      <c r="EBW154" s="53"/>
      <c r="EBX154" s="54"/>
      <c r="EBY154" s="52"/>
      <c r="EBZ154" s="53"/>
      <c r="ECA154" s="54"/>
      <c r="ECB154" s="52"/>
      <c r="ECC154" s="53"/>
      <c r="ECD154" s="8"/>
      <c r="ECE154" s="45"/>
      <c r="ECF154" s="45"/>
      <c r="ECG154" s="46"/>
      <c r="ECH154" s="44"/>
      <c r="ECI154" s="7"/>
      <c r="ECJ154" s="51"/>
      <c r="ECK154" s="52"/>
      <c r="ECL154" s="53"/>
      <c r="ECM154" s="54"/>
      <c r="ECN154" s="52"/>
      <c r="ECO154" s="53"/>
      <c r="ECP154" s="54"/>
      <c r="ECQ154" s="52"/>
      <c r="ECR154" s="53"/>
      <c r="ECS154" s="8"/>
      <c r="ECT154" s="45"/>
      <c r="ECU154" s="45"/>
      <c r="ECV154" s="46"/>
      <c r="ECW154" s="44"/>
      <c r="ECX154" s="7"/>
      <c r="ECY154" s="51"/>
      <c r="ECZ154" s="52"/>
      <c r="EDA154" s="53"/>
      <c r="EDB154" s="54"/>
      <c r="EDC154" s="52"/>
      <c r="EDD154" s="53"/>
      <c r="EDE154" s="54"/>
      <c r="EDF154" s="52"/>
      <c r="EDG154" s="53"/>
      <c r="EDH154" s="8"/>
      <c r="EDI154" s="45"/>
      <c r="EDJ154" s="45"/>
      <c r="EDK154" s="46"/>
      <c r="EDL154" s="44"/>
      <c r="EDM154" s="7"/>
      <c r="EDN154" s="51"/>
      <c r="EDO154" s="52"/>
      <c r="EDP154" s="53"/>
      <c r="EDQ154" s="54"/>
      <c r="EDR154" s="52"/>
      <c r="EDS154" s="53"/>
      <c r="EDT154" s="54"/>
      <c r="EDU154" s="52"/>
      <c r="EDV154" s="53"/>
      <c r="EDW154" s="8"/>
      <c r="EDX154" s="45"/>
      <c r="EDY154" s="45"/>
      <c r="EDZ154" s="46"/>
      <c r="EEA154" s="44"/>
      <c r="EEB154" s="7"/>
      <c r="EEC154" s="51"/>
      <c r="EED154" s="52"/>
      <c r="EEE154" s="53"/>
      <c r="EEF154" s="54"/>
      <c r="EEG154" s="52"/>
      <c r="EEH154" s="53"/>
      <c r="EEI154" s="54"/>
      <c r="EEJ154" s="52"/>
      <c r="EEK154" s="53"/>
      <c r="EEL154" s="8"/>
      <c r="EEM154" s="45"/>
      <c r="EEN154" s="45"/>
      <c r="EEO154" s="46"/>
      <c r="EEP154" s="44"/>
      <c r="EEQ154" s="7"/>
      <c r="EER154" s="51"/>
      <c r="EES154" s="52"/>
      <c r="EET154" s="53"/>
      <c r="EEU154" s="54"/>
      <c r="EEV154" s="52"/>
      <c r="EEW154" s="53"/>
      <c r="EEX154" s="54"/>
      <c r="EEY154" s="52"/>
      <c r="EEZ154" s="53"/>
      <c r="EFA154" s="8"/>
      <c r="EFB154" s="45"/>
      <c r="EFC154" s="45"/>
      <c r="EFD154" s="46"/>
      <c r="EFE154" s="44"/>
      <c r="EFF154" s="7"/>
      <c r="EFG154" s="51"/>
      <c r="EFH154" s="52"/>
      <c r="EFI154" s="53"/>
      <c r="EFJ154" s="54"/>
      <c r="EFK154" s="52"/>
      <c r="EFL154" s="53"/>
      <c r="EFM154" s="54"/>
      <c r="EFN154" s="52"/>
      <c r="EFO154" s="53"/>
      <c r="EFP154" s="8"/>
      <c r="EFQ154" s="45"/>
      <c r="EFR154" s="45"/>
      <c r="EFS154" s="46"/>
      <c r="EFT154" s="44"/>
      <c r="EFU154" s="7"/>
      <c r="EFV154" s="51"/>
      <c r="EFW154" s="52"/>
      <c r="EFX154" s="53"/>
      <c r="EFY154" s="54"/>
      <c r="EFZ154" s="52"/>
      <c r="EGA154" s="53"/>
      <c r="EGB154" s="54"/>
      <c r="EGC154" s="52"/>
      <c r="EGD154" s="53"/>
      <c r="EGE154" s="8"/>
      <c r="EGF154" s="45"/>
      <c r="EGG154" s="45"/>
      <c r="EGH154" s="46"/>
      <c r="EGI154" s="44"/>
      <c r="EGJ154" s="7"/>
      <c r="EGK154" s="51"/>
      <c r="EGL154" s="52"/>
      <c r="EGM154" s="53"/>
      <c r="EGN154" s="54"/>
      <c r="EGO154" s="52"/>
      <c r="EGP154" s="53"/>
      <c r="EGQ154" s="54"/>
      <c r="EGR154" s="52"/>
      <c r="EGS154" s="53"/>
      <c r="EGT154" s="8"/>
      <c r="EGU154" s="45"/>
      <c r="EGV154" s="45"/>
      <c r="EGW154" s="46"/>
      <c r="EGX154" s="44"/>
      <c r="EGY154" s="7"/>
      <c r="EGZ154" s="51"/>
      <c r="EHA154" s="52"/>
      <c r="EHB154" s="53"/>
      <c r="EHC154" s="54"/>
      <c r="EHD154" s="52"/>
      <c r="EHE154" s="53"/>
      <c r="EHF154" s="54"/>
      <c r="EHG154" s="52"/>
      <c r="EHH154" s="53"/>
      <c r="EHI154" s="8"/>
      <c r="EHJ154" s="45"/>
      <c r="EHK154" s="45"/>
      <c r="EHL154" s="46"/>
      <c r="EHM154" s="44"/>
      <c r="EHN154" s="7"/>
      <c r="EHO154" s="51"/>
      <c r="EHP154" s="52"/>
      <c r="EHQ154" s="53"/>
      <c r="EHR154" s="54"/>
      <c r="EHS154" s="52"/>
      <c r="EHT154" s="53"/>
      <c r="EHU154" s="54"/>
      <c r="EHV154" s="52"/>
      <c r="EHW154" s="53"/>
      <c r="EHX154" s="8"/>
      <c r="EHY154" s="45"/>
      <c r="EHZ154" s="45"/>
      <c r="EIA154" s="46"/>
      <c r="EIB154" s="44"/>
      <c r="EIC154" s="7"/>
      <c r="EID154" s="51"/>
      <c r="EIE154" s="52"/>
      <c r="EIF154" s="53"/>
      <c r="EIG154" s="54"/>
      <c r="EIH154" s="52"/>
      <c r="EII154" s="53"/>
      <c r="EIJ154" s="54"/>
      <c r="EIK154" s="52"/>
      <c r="EIL154" s="53"/>
      <c r="EIM154" s="8"/>
      <c r="EIN154" s="45"/>
      <c r="EIO154" s="45"/>
      <c r="EIP154" s="46"/>
      <c r="EIQ154" s="44"/>
      <c r="EIR154" s="7"/>
      <c r="EIS154" s="51"/>
      <c r="EIT154" s="52"/>
      <c r="EIU154" s="53"/>
      <c r="EIV154" s="54"/>
      <c r="EIW154" s="52"/>
      <c r="EIX154" s="53"/>
      <c r="EIY154" s="54"/>
      <c r="EIZ154" s="52"/>
      <c r="EJA154" s="53"/>
      <c r="EJB154" s="8"/>
      <c r="EJC154" s="45"/>
      <c r="EJD154" s="45"/>
      <c r="EJE154" s="46"/>
      <c r="EJF154" s="44"/>
      <c r="EJG154" s="7"/>
      <c r="EJH154" s="51"/>
      <c r="EJI154" s="52"/>
      <c r="EJJ154" s="53"/>
      <c r="EJK154" s="54"/>
      <c r="EJL154" s="52"/>
      <c r="EJM154" s="53"/>
      <c r="EJN154" s="54"/>
      <c r="EJO154" s="52"/>
      <c r="EJP154" s="53"/>
      <c r="EJQ154" s="8"/>
      <c r="EJR154" s="45"/>
      <c r="EJS154" s="45"/>
      <c r="EJT154" s="46"/>
      <c r="EJU154" s="44"/>
      <c r="EJV154" s="7"/>
      <c r="EJW154" s="51"/>
      <c r="EJX154" s="52"/>
      <c r="EJY154" s="53"/>
      <c r="EJZ154" s="54"/>
      <c r="EKA154" s="52"/>
      <c r="EKB154" s="53"/>
      <c r="EKC154" s="54"/>
      <c r="EKD154" s="52"/>
      <c r="EKE154" s="53"/>
      <c r="EKF154" s="8"/>
      <c r="EKG154" s="45"/>
      <c r="EKH154" s="45"/>
      <c r="EKI154" s="46"/>
      <c r="EKJ154" s="44"/>
      <c r="EKK154" s="7"/>
      <c r="EKL154" s="51"/>
      <c r="EKM154" s="52"/>
      <c r="EKN154" s="53"/>
      <c r="EKO154" s="54"/>
      <c r="EKP154" s="52"/>
      <c r="EKQ154" s="53"/>
      <c r="EKR154" s="54"/>
      <c r="EKS154" s="52"/>
      <c r="EKT154" s="53"/>
      <c r="EKU154" s="8"/>
      <c r="EKV154" s="45"/>
      <c r="EKW154" s="45"/>
      <c r="EKX154" s="46"/>
      <c r="EKY154" s="44"/>
      <c r="EKZ154" s="7"/>
      <c r="ELA154" s="51"/>
      <c r="ELB154" s="52"/>
      <c r="ELC154" s="53"/>
      <c r="ELD154" s="54"/>
      <c r="ELE154" s="52"/>
      <c r="ELF154" s="53"/>
      <c r="ELG154" s="54"/>
      <c r="ELH154" s="52"/>
      <c r="ELI154" s="53"/>
      <c r="ELJ154" s="8"/>
      <c r="ELK154" s="45"/>
      <c r="ELL154" s="45"/>
      <c r="ELM154" s="46"/>
      <c r="ELN154" s="44"/>
      <c r="ELO154" s="7"/>
      <c r="ELP154" s="51"/>
      <c r="ELQ154" s="52"/>
      <c r="ELR154" s="53"/>
      <c r="ELS154" s="54"/>
      <c r="ELT154" s="52"/>
      <c r="ELU154" s="53"/>
      <c r="ELV154" s="54"/>
      <c r="ELW154" s="52"/>
      <c r="ELX154" s="53"/>
      <c r="ELY154" s="8"/>
      <c r="ELZ154" s="45"/>
      <c r="EMA154" s="45"/>
      <c r="EMB154" s="46"/>
      <c r="EMC154" s="44"/>
      <c r="EMD154" s="7"/>
      <c r="EME154" s="51"/>
      <c r="EMF154" s="52"/>
      <c r="EMG154" s="53"/>
      <c r="EMH154" s="54"/>
      <c r="EMI154" s="52"/>
      <c r="EMJ154" s="53"/>
      <c r="EMK154" s="54"/>
      <c r="EML154" s="52"/>
      <c r="EMM154" s="53"/>
      <c r="EMN154" s="8"/>
      <c r="EMO154" s="45"/>
      <c r="EMP154" s="45"/>
      <c r="EMQ154" s="46"/>
      <c r="EMR154" s="44"/>
      <c r="EMS154" s="7"/>
      <c r="EMT154" s="51"/>
      <c r="EMU154" s="52"/>
      <c r="EMV154" s="53"/>
      <c r="EMW154" s="54"/>
      <c r="EMX154" s="52"/>
      <c r="EMY154" s="53"/>
      <c r="EMZ154" s="54"/>
      <c r="ENA154" s="52"/>
      <c r="ENB154" s="53"/>
      <c r="ENC154" s="8"/>
      <c r="END154" s="45"/>
      <c r="ENE154" s="45"/>
      <c r="ENF154" s="46"/>
      <c r="ENG154" s="44"/>
      <c r="ENH154" s="7"/>
      <c r="ENI154" s="51"/>
      <c r="ENJ154" s="52"/>
      <c r="ENK154" s="53"/>
      <c r="ENL154" s="54"/>
      <c r="ENM154" s="52"/>
      <c r="ENN154" s="53"/>
      <c r="ENO154" s="54"/>
      <c r="ENP154" s="52"/>
      <c r="ENQ154" s="53"/>
      <c r="ENR154" s="8"/>
      <c r="ENS154" s="45"/>
      <c r="ENT154" s="45"/>
      <c r="ENU154" s="46"/>
      <c r="ENV154" s="44"/>
      <c r="ENW154" s="7"/>
      <c r="ENX154" s="51"/>
      <c r="ENY154" s="52"/>
      <c r="ENZ154" s="53"/>
      <c r="EOA154" s="54"/>
      <c r="EOB154" s="52"/>
      <c r="EOC154" s="53"/>
      <c r="EOD154" s="54"/>
      <c r="EOE154" s="52"/>
      <c r="EOF154" s="53"/>
      <c r="EOG154" s="8"/>
      <c r="EOH154" s="45"/>
      <c r="EOI154" s="45"/>
      <c r="EOJ154" s="46"/>
      <c r="EOK154" s="44"/>
      <c r="EOL154" s="7"/>
      <c r="EOM154" s="51"/>
      <c r="EON154" s="52"/>
      <c r="EOO154" s="53"/>
      <c r="EOP154" s="54"/>
      <c r="EOQ154" s="52"/>
      <c r="EOR154" s="53"/>
      <c r="EOS154" s="54"/>
      <c r="EOT154" s="52"/>
      <c r="EOU154" s="53"/>
      <c r="EOV154" s="8"/>
      <c r="EOW154" s="45"/>
      <c r="EOX154" s="45"/>
      <c r="EOY154" s="46"/>
      <c r="EOZ154" s="44"/>
      <c r="EPA154" s="7"/>
      <c r="EPB154" s="51"/>
      <c r="EPC154" s="52"/>
      <c r="EPD154" s="53"/>
      <c r="EPE154" s="54"/>
      <c r="EPF154" s="52"/>
      <c r="EPG154" s="53"/>
      <c r="EPH154" s="54"/>
      <c r="EPI154" s="52"/>
      <c r="EPJ154" s="53"/>
      <c r="EPK154" s="8"/>
      <c r="EPL154" s="45"/>
      <c r="EPM154" s="45"/>
      <c r="EPN154" s="46"/>
      <c r="EPO154" s="44"/>
      <c r="EPP154" s="7"/>
      <c r="EPQ154" s="51"/>
      <c r="EPR154" s="52"/>
      <c r="EPS154" s="53"/>
      <c r="EPT154" s="54"/>
      <c r="EPU154" s="52"/>
      <c r="EPV154" s="53"/>
      <c r="EPW154" s="54"/>
      <c r="EPX154" s="52"/>
      <c r="EPY154" s="53"/>
      <c r="EPZ154" s="8"/>
      <c r="EQA154" s="45"/>
      <c r="EQB154" s="45"/>
      <c r="EQC154" s="46"/>
      <c r="EQD154" s="44"/>
      <c r="EQE154" s="7"/>
      <c r="EQF154" s="51"/>
      <c r="EQG154" s="52"/>
      <c r="EQH154" s="53"/>
      <c r="EQI154" s="54"/>
      <c r="EQJ154" s="52"/>
      <c r="EQK154" s="53"/>
      <c r="EQL154" s="54"/>
      <c r="EQM154" s="52"/>
      <c r="EQN154" s="53"/>
      <c r="EQO154" s="8"/>
      <c r="EQP154" s="45"/>
      <c r="EQQ154" s="45"/>
      <c r="EQR154" s="46"/>
      <c r="EQS154" s="44"/>
      <c r="EQT154" s="7"/>
      <c r="EQU154" s="51"/>
      <c r="EQV154" s="52"/>
      <c r="EQW154" s="53"/>
      <c r="EQX154" s="54"/>
      <c r="EQY154" s="52"/>
      <c r="EQZ154" s="53"/>
      <c r="ERA154" s="54"/>
      <c r="ERB154" s="52"/>
      <c r="ERC154" s="53"/>
      <c r="ERD154" s="8"/>
      <c r="ERE154" s="45"/>
      <c r="ERF154" s="45"/>
      <c r="ERG154" s="46"/>
      <c r="ERH154" s="44"/>
      <c r="ERI154" s="7"/>
      <c r="ERJ154" s="51"/>
      <c r="ERK154" s="52"/>
      <c r="ERL154" s="53"/>
      <c r="ERM154" s="54"/>
      <c r="ERN154" s="52"/>
      <c r="ERO154" s="53"/>
      <c r="ERP154" s="54"/>
      <c r="ERQ154" s="52"/>
      <c r="ERR154" s="53"/>
      <c r="ERS154" s="8"/>
      <c r="ERT154" s="45"/>
      <c r="ERU154" s="45"/>
      <c r="ERV154" s="46"/>
      <c r="ERW154" s="44"/>
      <c r="ERX154" s="7"/>
      <c r="ERY154" s="51"/>
      <c r="ERZ154" s="52"/>
      <c r="ESA154" s="53"/>
      <c r="ESB154" s="54"/>
      <c r="ESC154" s="52"/>
      <c r="ESD154" s="53"/>
      <c r="ESE154" s="54"/>
      <c r="ESF154" s="52"/>
      <c r="ESG154" s="53"/>
      <c r="ESH154" s="8"/>
      <c r="ESI154" s="45"/>
      <c r="ESJ154" s="45"/>
      <c r="ESK154" s="46"/>
      <c r="ESL154" s="44"/>
      <c r="ESM154" s="7"/>
      <c r="ESN154" s="51"/>
      <c r="ESO154" s="52"/>
      <c r="ESP154" s="53"/>
      <c r="ESQ154" s="54"/>
      <c r="ESR154" s="52"/>
      <c r="ESS154" s="53"/>
      <c r="EST154" s="54"/>
      <c r="ESU154" s="52"/>
      <c r="ESV154" s="53"/>
      <c r="ESW154" s="8"/>
      <c r="ESX154" s="45"/>
      <c r="ESY154" s="45"/>
      <c r="ESZ154" s="46"/>
      <c r="ETA154" s="44"/>
      <c r="ETB154" s="7"/>
      <c r="ETC154" s="51"/>
      <c r="ETD154" s="52"/>
      <c r="ETE154" s="53"/>
      <c r="ETF154" s="54"/>
      <c r="ETG154" s="52"/>
      <c r="ETH154" s="53"/>
      <c r="ETI154" s="54"/>
      <c r="ETJ154" s="52"/>
      <c r="ETK154" s="53"/>
      <c r="ETL154" s="8"/>
      <c r="ETM154" s="45"/>
      <c r="ETN154" s="45"/>
      <c r="ETO154" s="46"/>
      <c r="ETP154" s="44"/>
      <c r="ETQ154" s="7"/>
      <c r="ETR154" s="51"/>
      <c r="ETS154" s="52"/>
      <c r="ETT154" s="53"/>
      <c r="ETU154" s="54"/>
      <c r="ETV154" s="52"/>
      <c r="ETW154" s="53"/>
      <c r="ETX154" s="54"/>
      <c r="ETY154" s="52"/>
      <c r="ETZ154" s="53"/>
      <c r="EUA154" s="8"/>
      <c r="EUB154" s="45"/>
      <c r="EUC154" s="45"/>
      <c r="EUD154" s="46"/>
      <c r="EUE154" s="44"/>
      <c r="EUF154" s="7"/>
      <c r="EUG154" s="51"/>
      <c r="EUH154" s="52"/>
      <c r="EUI154" s="53"/>
      <c r="EUJ154" s="54"/>
      <c r="EUK154" s="52"/>
      <c r="EUL154" s="53"/>
      <c r="EUM154" s="54"/>
      <c r="EUN154" s="52"/>
      <c r="EUO154" s="53"/>
      <c r="EUP154" s="8"/>
      <c r="EUQ154" s="45"/>
      <c r="EUR154" s="45"/>
      <c r="EUS154" s="46"/>
      <c r="EUT154" s="44"/>
      <c r="EUU154" s="7"/>
      <c r="EUV154" s="51"/>
      <c r="EUW154" s="52"/>
      <c r="EUX154" s="53"/>
      <c r="EUY154" s="54"/>
      <c r="EUZ154" s="52"/>
      <c r="EVA154" s="53"/>
      <c r="EVB154" s="54"/>
      <c r="EVC154" s="52"/>
      <c r="EVD154" s="53"/>
      <c r="EVE154" s="8"/>
      <c r="EVF154" s="45"/>
      <c r="EVG154" s="45"/>
      <c r="EVH154" s="46"/>
      <c r="EVI154" s="44"/>
      <c r="EVJ154" s="7"/>
      <c r="EVK154" s="51"/>
      <c r="EVL154" s="52"/>
      <c r="EVM154" s="53"/>
      <c r="EVN154" s="54"/>
      <c r="EVO154" s="52"/>
      <c r="EVP154" s="53"/>
      <c r="EVQ154" s="54"/>
      <c r="EVR154" s="52"/>
      <c r="EVS154" s="53"/>
      <c r="EVT154" s="8"/>
      <c r="EVU154" s="45"/>
      <c r="EVV154" s="45"/>
      <c r="EVW154" s="46"/>
      <c r="EVX154" s="44"/>
      <c r="EVY154" s="7"/>
      <c r="EVZ154" s="51"/>
      <c r="EWA154" s="52"/>
      <c r="EWB154" s="53"/>
      <c r="EWC154" s="54"/>
      <c r="EWD154" s="52"/>
      <c r="EWE154" s="53"/>
      <c r="EWF154" s="54"/>
      <c r="EWG154" s="52"/>
      <c r="EWH154" s="53"/>
      <c r="EWI154" s="8"/>
      <c r="EWJ154" s="45"/>
      <c r="EWK154" s="45"/>
      <c r="EWL154" s="46"/>
      <c r="EWM154" s="44"/>
      <c r="EWN154" s="7"/>
      <c r="EWO154" s="51"/>
      <c r="EWP154" s="52"/>
      <c r="EWQ154" s="53"/>
      <c r="EWR154" s="54"/>
      <c r="EWS154" s="52"/>
      <c r="EWT154" s="53"/>
      <c r="EWU154" s="54"/>
      <c r="EWV154" s="52"/>
      <c r="EWW154" s="53"/>
      <c r="EWX154" s="8"/>
      <c r="EWY154" s="45"/>
      <c r="EWZ154" s="45"/>
      <c r="EXA154" s="46"/>
      <c r="EXB154" s="44"/>
      <c r="EXC154" s="7"/>
      <c r="EXD154" s="51"/>
      <c r="EXE154" s="52"/>
      <c r="EXF154" s="53"/>
      <c r="EXG154" s="54"/>
      <c r="EXH154" s="52"/>
      <c r="EXI154" s="53"/>
      <c r="EXJ154" s="54"/>
      <c r="EXK154" s="52"/>
      <c r="EXL154" s="53"/>
      <c r="EXM154" s="8"/>
      <c r="EXN154" s="45"/>
      <c r="EXO154" s="45"/>
      <c r="EXP154" s="46"/>
      <c r="EXQ154" s="44"/>
      <c r="EXR154" s="7"/>
      <c r="EXS154" s="51"/>
      <c r="EXT154" s="52"/>
      <c r="EXU154" s="53"/>
      <c r="EXV154" s="54"/>
      <c r="EXW154" s="52"/>
      <c r="EXX154" s="53"/>
      <c r="EXY154" s="54"/>
      <c r="EXZ154" s="52"/>
      <c r="EYA154" s="53"/>
      <c r="EYB154" s="8"/>
      <c r="EYC154" s="45"/>
      <c r="EYD154" s="45"/>
      <c r="EYE154" s="46"/>
      <c r="EYF154" s="44"/>
      <c r="EYG154" s="7"/>
      <c r="EYH154" s="51"/>
      <c r="EYI154" s="52"/>
      <c r="EYJ154" s="53"/>
      <c r="EYK154" s="54"/>
      <c r="EYL154" s="52"/>
      <c r="EYM154" s="53"/>
      <c r="EYN154" s="54"/>
      <c r="EYO154" s="52"/>
      <c r="EYP154" s="53"/>
      <c r="EYQ154" s="8"/>
      <c r="EYR154" s="45"/>
      <c r="EYS154" s="45"/>
      <c r="EYT154" s="46"/>
      <c r="EYU154" s="44"/>
      <c r="EYV154" s="7"/>
      <c r="EYW154" s="51"/>
      <c r="EYX154" s="52"/>
      <c r="EYY154" s="53"/>
      <c r="EYZ154" s="54"/>
      <c r="EZA154" s="52"/>
      <c r="EZB154" s="53"/>
      <c r="EZC154" s="54"/>
      <c r="EZD154" s="52"/>
      <c r="EZE154" s="53"/>
      <c r="EZF154" s="8"/>
      <c r="EZG154" s="45"/>
      <c r="EZH154" s="45"/>
      <c r="EZI154" s="46"/>
      <c r="EZJ154" s="44"/>
      <c r="EZK154" s="7"/>
      <c r="EZL154" s="51"/>
      <c r="EZM154" s="52"/>
      <c r="EZN154" s="53"/>
      <c r="EZO154" s="54"/>
      <c r="EZP154" s="52"/>
      <c r="EZQ154" s="53"/>
      <c r="EZR154" s="54"/>
      <c r="EZS154" s="52"/>
      <c r="EZT154" s="53"/>
      <c r="EZU154" s="8"/>
      <c r="EZV154" s="45"/>
      <c r="EZW154" s="45"/>
      <c r="EZX154" s="46"/>
      <c r="EZY154" s="44"/>
      <c r="EZZ154" s="7"/>
      <c r="FAA154" s="51"/>
      <c r="FAB154" s="52"/>
      <c r="FAC154" s="53"/>
      <c r="FAD154" s="54"/>
      <c r="FAE154" s="52"/>
      <c r="FAF154" s="53"/>
      <c r="FAG154" s="54"/>
      <c r="FAH154" s="52"/>
      <c r="FAI154" s="53"/>
      <c r="FAJ154" s="8"/>
      <c r="FAK154" s="45"/>
      <c r="FAL154" s="45"/>
      <c r="FAM154" s="46"/>
      <c r="FAN154" s="44"/>
      <c r="FAO154" s="7"/>
      <c r="FAP154" s="51"/>
      <c r="FAQ154" s="52"/>
      <c r="FAR154" s="53"/>
      <c r="FAS154" s="54"/>
      <c r="FAT154" s="52"/>
      <c r="FAU154" s="53"/>
      <c r="FAV154" s="54"/>
      <c r="FAW154" s="52"/>
      <c r="FAX154" s="53"/>
      <c r="FAY154" s="8"/>
      <c r="FAZ154" s="45"/>
      <c r="FBA154" s="45"/>
      <c r="FBB154" s="46"/>
      <c r="FBC154" s="44"/>
      <c r="FBD154" s="7"/>
      <c r="FBE154" s="51"/>
      <c r="FBF154" s="52"/>
      <c r="FBG154" s="53"/>
      <c r="FBH154" s="54"/>
      <c r="FBI154" s="52"/>
      <c r="FBJ154" s="53"/>
      <c r="FBK154" s="54"/>
      <c r="FBL154" s="52"/>
      <c r="FBM154" s="53"/>
      <c r="FBN154" s="8"/>
      <c r="FBO154" s="45"/>
      <c r="FBP154" s="45"/>
      <c r="FBQ154" s="46"/>
      <c r="FBR154" s="44"/>
      <c r="FBS154" s="7"/>
      <c r="FBT154" s="51"/>
      <c r="FBU154" s="52"/>
      <c r="FBV154" s="53"/>
      <c r="FBW154" s="54"/>
      <c r="FBX154" s="52"/>
      <c r="FBY154" s="53"/>
      <c r="FBZ154" s="54"/>
      <c r="FCA154" s="52"/>
      <c r="FCB154" s="53"/>
      <c r="FCC154" s="8"/>
      <c r="FCD154" s="45"/>
      <c r="FCE154" s="45"/>
      <c r="FCF154" s="46"/>
      <c r="FCG154" s="44"/>
      <c r="FCH154" s="7"/>
      <c r="FCI154" s="51"/>
      <c r="FCJ154" s="52"/>
      <c r="FCK154" s="53"/>
      <c r="FCL154" s="54"/>
      <c r="FCM154" s="52"/>
      <c r="FCN154" s="53"/>
      <c r="FCO154" s="54"/>
      <c r="FCP154" s="52"/>
      <c r="FCQ154" s="53"/>
      <c r="FCR154" s="8"/>
      <c r="FCS154" s="45"/>
      <c r="FCT154" s="45"/>
      <c r="FCU154" s="46"/>
      <c r="FCV154" s="44"/>
      <c r="FCW154" s="7"/>
      <c r="FCX154" s="51"/>
      <c r="FCY154" s="52"/>
      <c r="FCZ154" s="53"/>
      <c r="FDA154" s="54"/>
      <c r="FDB154" s="52"/>
      <c r="FDC154" s="53"/>
      <c r="FDD154" s="54"/>
      <c r="FDE154" s="52"/>
      <c r="FDF154" s="53"/>
      <c r="FDG154" s="8"/>
      <c r="FDH154" s="45"/>
      <c r="FDI154" s="45"/>
      <c r="FDJ154" s="46"/>
      <c r="FDK154" s="44"/>
      <c r="FDL154" s="7"/>
      <c r="FDM154" s="51"/>
      <c r="FDN154" s="52"/>
      <c r="FDO154" s="53"/>
      <c r="FDP154" s="54"/>
      <c r="FDQ154" s="52"/>
      <c r="FDR154" s="53"/>
      <c r="FDS154" s="54"/>
      <c r="FDT154" s="52"/>
      <c r="FDU154" s="53"/>
      <c r="FDV154" s="8"/>
      <c r="FDW154" s="45"/>
      <c r="FDX154" s="45"/>
      <c r="FDY154" s="46"/>
      <c r="FDZ154" s="44"/>
      <c r="FEA154" s="7"/>
      <c r="FEB154" s="51"/>
      <c r="FEC154" s="52"/>
      <c r="FED154" s="53"/>
      <c r="FEE154" s="54"/>
      <c r="FEF154" s="52"/>
      <c r="FEG154" s="53"/>
      <c r="FEH154" s="54"/>
      <c r="FEI154" s="52"/>
      <c r="FEJ154" s="53"/>
      <c r="FEK154" s="8"/>
      <c r="FEL154" s="45"/>
      <c r="FEM154" s="45"/>
      <c r="FEN154" s="46"/>
      <c r="FEO154" s="44"/>
      <c r="FEP154" s="7"/>
      <c r="FEQ154" s="51"/>
      <c r="FER154" s="52"/>
      <c r="FES154" s="53"/>
      <c r="FET154" s="54"/>
      <c r="FEU154" s="52"/>
      <c r="FEV154" s="53"/>
      <c r="FEW154" s="54"/>
      <c r="FEX154" s="52"/>
      <c r="FEY154" s="53"/>
      <c r="FEZ154" s="8"/>
      <c r="FFA154" s="45"/>
      <c r="FFB154" s="45"/>
      <c r="FFC154" s="46"/>
      <c r="FFD154" s="44"/>
      <c r="FFE154" s="7"/>
      <c r="FFF154" s="51"/>
      <c r="FFG154" s="52"/>
      <c r="FFH154" s="53"/>
      <c r="FFI154" s="54"/>
      <c r="FFJ154" s="52"/>
      <c r="FFK154" s="53"/>
      <c r="FFL154" s="54"/>
      <c r="FFM154" s="52"/>
      <c r="FFN154" s="53"/>
      <c r="FFO154" s="8"/>
      <c r="FFP154" s="45"/>
      <c r="FFQ154" s="45"/>
      <c r="FFR154" s="46"/>
      <c r="FFS154" s="44"/>
      <c r="FFT154" s="7"/>
      <c r="FFU154" s="51"/>
      <c r="FFV154" s="52"/>
      <c r="FFW154" s="53"/>
      <c r="FFX154" s="54"/>
      <c r="FFY154" s="52"/>
      <c r="FFZ154" s="53"/>
      <c r="FGA154" s="54"/>
      <c r="FGB154" s="52"/>
      <c r="FGC154" s="53"/>
      <c r="FGD154" s="8"/>
      <c r="FGE154" s="45"/>
      <c r="FGF154" s="45"/>
      <c r="FGG154" s="46"/>
      <c r="FGH154" s="44"/>
      <c r="FGI154" s="7"/>
      <c r="FGJ154" s="51"/>
      <c r="FGK154" s="52"/>
      <c r="FGL154" s="53"/>
      <c r="FGM154" s="54"/>
      <c r="FGN154" s="52"/>
      <c r="FGO154" s="53"/>
      <c r="FGP154" s="54"/>
      <c r="FGQ154" s="52"/>
      <c r="FGR154" s="53"/>
      <c r="FGS154" s="8"/>
      <c r="FGT154" s="45"/>
      <c r="FGU154" s="45"/>
      <c r="FGV154" s="46"/>
      <c r="FGW154" s="44"/>
      <c r="FGX154" s="7"/>
      <c r="FGY154" s="51"/>
      <c r="FGZ154" s="52"/>
      <c r="FHA154" s="53"/>
      <c r="FHB154" s="54"/>
      <c r="FHC154" s="52"/>
      <c r="FHD154" s="53"/>
      <c r="FHE154" s="54"/>
      <c r="FHF154" s="52"/>
      <c r="FHG154" s="53"/>
      <c r="FHH154" s="8"/>
      <c r="FHI154" s="45"/>
      <c r="FHJ154" s="45"/>
      <c r="FHK154" s="46"/>
      <c r="FHL154" s="44"/>
      <c r="FHM154" s="7"/>
      <c r="FHN154" s="51"/>
      <c r="FHO154" s="52"/>
      <c r="FHP154" s="53"/>
      <c r="FHQ154" s="54"/>
      <c r="FHR154" s="52"/>
      <c r="FHS154" s="53"/>
      <c r="FHT154" s="54"/>
      <c r="FHU154" s="52"/>
      <c r="FHV154" s="53"/>
      <c r="FHW154" s="8"/>
      <c r="FHX154" s="45"/>
      <c r="FHY154" s="45"/>
      <c r="FHZ154" s="46"/>
      <c r="FIA154" s="44"/>
      <c r="FIB154" s="7"/>
      <c r="FIC154" s="51"/>
      <c r="FID154" s="52"/>
      <c r="FIE154" s="53"/>
      <c r="FIF154" s="54"/>
      <c r="FIG154" s="52"/>
      <c r="FIH154" s="53"/>
      <c r="FII154" s="54"/>
      <c r="FIJ154" s="52"/>
      <c r="FIK154" s="53"/>
      <c r="FIL154" s="8"/>
      <c r="FIM154" s="45"/>
      <c r="FIN154" s="45"/>
      <c r="FIO154" s="46"/>
      <c r="FIP154" s="44"/>
      <c r="FIQ154" s="7"/>
      <c r="FIR154" s="51"/>
      <c r="FIS154" s="52"/>
      <c r="FIT154" s="53"/>
      <c r="FIU154" s="54"/>
      <c r="FIV154" s="52"/>
      <c r="FIW154" s="53"/>
      <c r="FIX154" s="54"/>
      <c r="FIY154" s="52"/>
      <c r="FIZ154" s="53"/>
      <c r="FJA154" s="8"/>
      <c r="FJB154" s="45"/>
      <c r="FJC154" s="45"/>
      <c r="FJD154" s="46"/>
      <c r="FJE154" s="44"/>
      <c r="FJF154" s="7"/>
      <c r="FJG154" s="51"/>
      <c r="FJH154" s="52"/>
      <c r="FJI154" s="53"/>
      <c r="FJJ154" s="54"/>
      <c r="FJK154" s="52"/>
      <c r="FJL154" s="53"/>
      <c r="FJM154" s="54"/>
      <c r="FJN154" s="52"/>
      <c r="FJO154" s="53"/>
      <c r="FJP154" s="8"/>
      <c r="FJQ154" s="45"/>
      <c r="FJR154" s="45"/>
      <c r="FJS154" s="46"/>
      <c r="FJT154" s="44"/>
      <c r="FJU154" s="7"/>
      <c r="FJV154" s="51"/>
      <c r="FJW154" s="52"/>
      <c r="FJX154" s="53"/>
      <c r="FJY154" s="54"/>
      <c r="FJZ154" s="52"/>
      <c r="FKA154" s="53"/>
      <c r="FKB154" s="54"/>
      <c r="FKC154" s="52"/>
      <c r="FKD154" s="53"/>
      <c r="FKE154" s="8"/>
      <c r="FKF154" s="45"/>
      <c r="FKG154" s="45"/>
      <c r="FKH154" s="46"/>
      <c r="FKI154" s="44"/>
      <c r="FKJ154" s="7"/>
      <c r="FKK154" s="51"/>
      <c r="FKL154" s="52"/>
      <c r="FKM154" s="53"/>
      <c r="FKN154" s="54"/>
      <c r="FKO154" s="52"/>
      <c r="FKP154" s="53"/>
      <c r="FKQ154" s="54"/>
      <c r="FKR154" s="52"/>
      <c r="FKS154" s="53"/>
      <c r="FKT154" s="8"/>
      <c r="FKU154" s="45"/>
      <c r="FKV154" s="45"/>
      <c r="FKW154" s="46"/>
      <c r="FKX154" s="44"/>
      <c r="FKY154" s="7"/>
      <c r="FKZ154" s="51"/>
      <c r="FLA154" s="52"/>
      <c r="FLB154" s="53"/>
      <c r="FLC154" s="54"/>
      <c r="FLD154" s="52"/>
      <c r="FLE154" s="53"/>
      <c r="FLF154" s="54"/>
      <c r="FLG154" s="52"/>
      <c r="FLH154" s="53"/>
      <c r="FLI154" s="8"/>
      <c r="FLJ154" s="45"/>
      <c r="FLK154" s="45"/>
      <c r="FLL154" s="46"/>
      <c r="FLM154" s="44"/>
      <c r="FLN154" s="7"/>
      <c r="FLO154" s="51"/>
      <c r="FLP154" s="52"/>
      <c r="FLQ154" s="53"/>
      <c r="FLR154" s="54"/>
      <c r="FLS154" s="52"/>
      <c r="FLT154" s="53"/>
      <c r="FLU154" s="54"/>
      <c r="FLV154" s="52"/>
      <c r="FLW154" s="53"/>
      <c r="FLX154" s="8"/>
      <c r="FLY154" s="45"/>
      <c r="FLZ154" s="45"/>
      <c r="FMA154" s="46"/>
      <c r="FMB154" s="44"/>
      <c r="FMC154" s="7"/>
      <c r="FMD154" s="51"/>
      <c r="FME154" s="52"/>
      <c r="FMF154" s="53"/>
      <c r="FMG154" s="54"/>
      <c r="FMH154" s="52"/>
      <c r="FMI154" s="53"/>
      <c r="FMJ154" s="54"/>
      <c r="FMK154" s="52"/>
      <c r="FML154" s="53"/>
      <c r="FMM154" s="8"/>
      <c r="FMN154" s="45"/>
      <c r="FMO154" s="45"/>
      <c r="FMP154" s="46"/>
      <c r="FMQ154" s="44"/>
      <c r="FMR154" s="7"/>
      <c r="FMS154" s="51"/>
      <c r="FMT154" s="52"/>
      <c r="FMU154" s="53"/>
      <c r="FMV154" s="54"/>
      <c r="FMW154" s="52"/>
      <c r="FMX154" s="53"/>
      <c r="FMY154" s="54"/>
      <c r="FMZ154" s="52"/>
      <c r="FNA154" s="53"/>
      <c r="FNB154" s="8"/>
      <c r="FNC154" s="45"/>
      <c r="FND154" s="45"/>
      <c r="FNE154" s="46"/>
      <c r="FNF154" s="44"/>
      <c r="FNG154" s="7"/>
      <c r="FNH154" s="51"/>
      <c r="FNI154" s="52"/>
      <c r="FNJ154" s="53"/>
      <c r="FNK154" s="54"/>
      <c r="FNL154" s="52"/>
      <c r="FNM154" s="53"/>
      <c r="FNN154" s="54"/>
      <c r="FNO154" s="52"/>
      <c r="FNP154" s="53"/>
      <c r="FNQ154" s="8"/>
      <c r="FNR154" s="45"/>
      <c r="FNS154" s="45"/>
      <c r="FNT154" s="46"/>
      <c r="FNU154" s="44"/>
      <c r="FNV154" s="7"/>
      <c r="FNW154" s="51"/>
      <c r="FNX154" s="52"/>
      <c r="FNY154" s="53"/>
      <c r="FNZ154" s="54"/>
      <c r="FOA154" s="52"/>
      <c r="FOB154" s="53"/>
      <c r="FOC154" s="54"/>
      <c r="FOD154" s="52"/>
      <c r="FOE154" s="53"/>
      <c r="FOF154" s="8"/>
      <c r="FOG154" s="45"/>
      <c r="FOH154" s="45"/>
      <c r="FOI154" s="46"/>
      <c r="FOJ154" s="44"/>
      <c r="FOK154" s="7"/>
      <c r="FOL154" s="51"/>
      <c r="FOM154" s="52"/>
      <c r="FON154" s="53"/>
      <c r="FOO154" s="54"/>
      <c r="FOP154" s="52"/>
      <c r="FOQ154" s="53"/>
      <c r="FOR154" s="54"/>
      <c r="FOS154" s="52"/>
      <c r="FOT154" s="53"/>
      <c r="FOU154" s="8"/>
      <c r="FOV154" s="45"/>
      <c r="FOW154" s="45"/>
      <c r="FOX154" s="46"/>
      <c r="FOY154" s="44"/>
      <c r="FOZ154" s="7"/>
      <c r="FPA154" s="51"/>
      <c r="FPB154" s="52"/>
      <c r="FPC154" s="53"/>
      <c r="FPD154" s="54"/>
      <c r="FPE154" s="52"/>
      <c r="FPF154" s="53"/>
      <c r="FPG154" s="54"/>
      <c r="FPH154" s="52"/>
      <c r="FPI154" s="53"/>
      <c r="FPJ154" s="8"/>
      <c r="FPK154" s="45"/>
      <c r="FPL154" s="45"/>
      <c r="FPM154" s="46"/>
      <c r="FPN154" s="44"/>
      <c r="FPO154" s="7"/>
      <c r="FPP154" s="51"/>
      <c r="FPQ154" s="52"/>
      <c r="FPR154" s="53"/>
      <c r="FPS154" s="54"/>
      <c r="FPT154" s="52"/>
      <c r="FPU154" s="53"/>
      <c r="FPV154" s="54"/>
      <c r="FPW154" s="52"/>
      <c r="FPX154" s="53"/>
      <c r="FPY154" s="8"/>
      <c r="FPZ154" s="45"/>
      <c r="FQA154" s="45"/>
      <c r="FQB154" s="46"/>
      <c r="FQC154" s="44"/>
      <c r="FQD154" s="7"/>
      <c r="FQE154" s="51"/>
      <c r="FQF154" s="52"/>
      <c r="FQG154" s="53"/>
      <c r="FQH154" s="54"/>
      <c r="FQI154" s="52"/>
      <c r="FQJ154" s="53"/>
      <c r="FQK154" s="54"/>
      <c r="FQL154" s="52"/>
      <c r="FQM154" s="53"/>
      <c r="FQN154" s="8"/>
      <c r="FQO154" s="45"/>
      <c r="FQP154" s="45"/>
      <c r="FQQ154" s="46"/>
      <c r="FQR154" s="44"/>
      <c r="FQS154" s="7"/>
      <c r="FQT154" s="51"/>
      <c r="FQU154" s="52"/>
      <c r="FQV154" s="53"/>
      <c r="FQW154" s="54"/>
      <c r="FQX154" s="52"/>
      <c r="FQY154" s="53"/>
      <c r="FQZ154" s="54"/>
      <c r="FRA154" s="52"/>
      <c r="FRB154" s="53"/>
      <c r="FRC154" s="8"/>
      <c r="FRD154" s="45"/>
      <c r="FRE154" s="45"/>
      <c r="FRF154" s="46"/>
      <c r="FRG154" s="44"/>
      <c r="FRH154" s="7"/>
      <c r="FRI154" s="51"/>
      <c r="FRJ154" s="52"/>
      <c r="FRK154" s="53"/>
      <c r="FRL154" s="54"/>
      <c r="FRM154" s="52"/>
      <c r="FRN154" s="53"/>
      <c r="FRO154" s="54"/>
      <c r="FRP154" s="52"/>
      <c r="FRQ154" s="53"/>
      <c r="FRR154" s="8"/>
      <c r="FRS154" s="45"/>
      <c r="FRT154" s="45"/>
      <c r="FRU154" s="46"/>
      <c r="FRV154" s="44"/>
      <c r="FRW154" s="7"/>
      <c r="FRX154" s="51"/>
      <c r="FRY154" s="52"/>
      <c r="FRZ154" s="53"/>
      <c r="FSA154" s="54"/>
      <c r="FSB154" s="52"/>
      <c r="FSC154" s="53"/>
      <c r="FSD154" s="54"/>
      <c r="FSE154" s="52"/>
      <c r="FSF154" s="53"/>
      <c r="FSG154" s="8"/>
      <c r="FSH154" s="45"/>
      <c r="FSI154" s="45"/>
      <c r="FSJ154" s="46"/>
      <c r="FSK154" s="44"/>
      <c r="FSL154" s="7"/>
      <c r="FSM154" s="51"/>
      <c r="FSN154" s="52"/>
      <c r="FSO154" s="53"/>
      <c r="FSP154" s="54"/>
      <c r="FSQ154" s="52"/>
      <c r="FSR154" s="53"/>
      <c r="FSS154" s="54"/>
      <c r="FST154" s="52"/>
      <c r="FSU154" s="53"/>
      <c r="FSV154" s="8"/>
      <c r="FSW154" s="45"/>
      <c r="FSX154" s="45"/>
      <c r="FSY154" s="46"/>
      <c r="FSZ154" s="44"/>
      <c r="FTA154" s="7"/>
      <c r="FTB154" s="51"/>
      <c r="FTC154" s="52"/>
      <c r="FTD154" s="53"/>
      <c r="FTE154" s="54"/>
      <c r="FTF154" s="52"/>
      <c r="FTG154" s="53"/>
      <c r="FTH154" s="54"/>
      <c r="FTI154" s="52"/>
      <c r="FTJ154" s="53"/>
      <c r="FTK154" s="8"/>
      <c r="FTL154" s="45"/>
      <c r="FTM154" s="45"/>
      <c r="FTN154" s="46"/>
      <c r="FTO154" s="44"/>
      <c r="FTP154" s="7"/>
      <c r="FTQ154" s="51"/>
      <c r="FTR154" s="52"/>
      <c r="FTS154" s="53"/>
      <c r="FTT154" s="54"/>
      <c r="FTU154" s="52"/>
      <c r="FTV154" s="53"/>
      <c r="FTW154" s="54"/>
      <c r="FTX154" s="52"/>
      <c r="FTY154" s="53"/>
      <c r="FTZ154" s="8"/>
      <c r="FUA154" s="45"/>
      <c r="FUB154" s="45"/>
      <c r="FUC154" s="46"/>
      <c r="FUD154" s="44"/>
      <c r="FUE154" s="7"/>
      <c r="FUF154" s="51"/>
      <c r="FUG154" s="52"/>
      <c r="FUH154" s="53"/>
      <c r="FUI154" s="54"/>
      <c r="FUJ154" s="52"/>
      <c r="FUK154" s="53"/>
      <c r="FUL154" s="54"/>
      <c r="FUM154" s="52"/>
      <c r="FUN154" s="53"/>
      <c r="FUO154" s="8"/>
      <c r="FUP154" s="45"/>
      <c r="FUQ154" s="45"/>
      <c r="FUR154" s="46"/>
      <c r="FUS154" s="44"/>
      <c r="FUT154" s="7"/>
      <c r="FUU154" s="51"/>
      <c r="FUV154" s="52"/>
      <c r="FUW154" s="53"/>
      <c r="FUX154" s="54"/>
      <c r="FUY154" s="52"/>
      <c r="FUZ154" s="53"/>
      <c r="FVA154" s="54"/>
      <c r="FVB154" s="52"/>
      <c r="FVC154" s="53"/>
      <c r="FVD154" s="8"/>
      <c r="FVE154" s="45"/>
      <c r="FVF154" s="45"/>
      <c r="FVG154" s="46"/>
      <c r="FVH154" s="44"/>
      <c r="FVI154" s="7"/>
      <c r="FVJ154" s="51"/>
      <c r="FVK154" s="52"/>
      <c r="FVL154" s="53"/>
      <c r="FVM154" s="54"/>
      <c r="FVN154" s="52"/>
      <c r="FVO154" s="53"/>
      <c r="FVP154" s="54"/>
      <c r="FVQ154" s="52"/>
      <c r="FVR154" s="53"/>
      <c r="FVS154" s="8"/>
      <c r="FVT154" s="45"/>
      <c r="FVU154" s="45"/>
      <c r="FVV154" s="46"/>
      <c r="FVW154" s="44"/>
      <c r="FVX154" s="7"/>
      <c r="FVY154" s="51"/>
      <c r="FVZ154" s="52"/>
      <c r="FWA154" s="53"/>
      <c r="FWB154" s="54"/>
      <c r="FWC154" s="52"/>
      <c r="FWD154" s="53"/>
      <c r="FWE154" s="54"/>
      <c r="FWF154" s="52"/>
      <c r="FWG154" s="53"/>
      <c r="FWH154" s="8"/>
      <c r="FWI154" s="45"/>
      <c r="FWJ154" s="45"/>
      <c r="FWK154" s="46"/>
      <c r="FWL154" s="44"/>
      <c r="FWM154" s="7"/>
      <c r="FWN154" s="51"/>
      <c r="FWO154" s="52"/>
      <c r="FWP154" s="53"/>
      <c r="FWQ154" s="54"/>
      <c r="FWR154" s="52"/>
      <c r="FWS154" s="53"/>
      <c r="FWT154" s="54"/>
      <c r="FWU154" s="52"/>
      <c r="FWV154" s="53"/>
      <c r="FWW154" s="8"/>
      <c r="FWX154" s="45"/>
      <c r="FWY154" s="45"/>
      <c r="FWZ154" s="46"/>
      <c r="FXA154" s="44"/>
      <c r="FXB154" s="7"/>
      <c r="FXC154" s="51"/>
      <c r="FXD154" s="52"/>
      <c r="FXE154" s="53"/>
      <c r="FXF154" s="54"/>
      <c r="FXG154" s="52"/>
      <c r="FXH154" s="53"/>
      <c r="FXI154" s="54"/>
      <c r="FXJ154" s="52"/>
      <c r="FXK154" s="53"/>
      <c r="FXL154" s="8"/>
      <c r="FXM154" s="45"/>
      <c r="FXN154" s="45"/>
      <c r="FXO154" s="46"/>
      <c r="FXP154" s="44"/>
      <c r="FXQ154" s="7"/>
      <c r="FXR154" s="51"/>
      <c r="FXS154" s="52"/>
      <c r="FXT154" s="53"/>
      <c r="FXU154" s="54"/>
      <c r="FXV154" s="52"/>
      <c r="FXW154" s="53"/>
      <c r="FXX154" s="54"/>
      <c r="FXY154" s="52"/>
      <c r="FXZ154" s="53"/>
      <c r="FYA154" s="8"/>
      <c r="FYB154" s="45"/>
      <c r="FYC154" s="45"/>
      <c r="FYD154" s="46"/>
      <c r="FYE154" s="44"/>
      <c r="FYF154" s="7"/>
      <c r="FYG154" s="51"/>
      <c r="FYH154" s="52"/>
      <c r="FYI154" s="53"/>
      <c r="FYJ154" s="54"/>
      <c r="FYK154" s="52"/>
      <c r="FYL154" s="53"/>
      <c r="FYM154" s="54"/>
      <c r="FYN154" s="52"/>
      <c r="FYO154" s="53"/>
      <c r="FYP154" s="8"/>
      <c r="FYQ154" s="45"/>
      <c r="FYR154" s="45"/>
      <c r="FYS154" s="46"/>
      <c r="FYT154" s="44"/>
      <c r="FYU154" s="7"/>
      <c r="FYV154" s="51"/>
      <c r="FYW154" s="52"/>
      <c r="FYX154" s="53"/>
      <c r="FYY154" s="54"/>
      <c r="FYZ154" s="52"/>
      <c r="FZA154" s="53"/>
      <c r="FZB154" s="54"/>
      <c r="FZC154" s="52"/>
      <c r="FZD154" s="53"/>
      <c r="FZE154" s="8"/>
      <c r="FZF154" s="45"/>
      <c r="FZG154" s="45"/>
      <c r="FZH154" s="46"/>
      <c r="FZI154" s="44"/>
      <c r="FZJ154" s="7"/>
      <c r="FZK154" s="51"/>
      <c r="FZL154" s="52"/>
      <c r="FZM154" s="53"/>
      <c r="FZN154" s="54"/>
      <c r="FZO154" s="52"/>
      <c r="FZP154" s="53"/>
      <c r="FZQ154" s="54"/>
      <c r="FZR154" s="52"/>
      <c r="FZS154" s="53"/>
      <c r="FZT154" s="8"/>
      <c r="FZU154" s="45"/>
      <c r="FZV154" s="45"/>
      <c r="FZW154" s="46"/>
      <c r="FZX154" s="44"/>
      <c r="FZY154" s="7"/>
      <c r="FZZ154" s="51"/>
      <c r="GAA154" s="52"/>
      <c r="GAB154" s="53"/>
      <c r="GAC154" s="54"/>
      <c r="GAD154" s="52"/>
      <c r="GAE154" s="53"/>
      <c r="GAF154" s="54"/>
      <c r="GAG154" s="52"/>
      <c r="GAH154" s="53"/>
      <c r="GAI154" s="8"/>
      <c r="GAJ154" s="45"/>
      <c r="GAK154" s="45"/>
      <c r="GAL154" s="46"/>
      <c r="GAM154" s="44"/>
      <c r="GAN154" s="7"/>
      <c r="GAO154" s="51"/>
      <c r="GAP154" s="52"/>
      <c r="GAQ154" s="53"/>
      <c r="GAR154" s="54"/>
      <c r="GAS154" s="52"/>
      <c r="GAT154" s="53"/>
      <c r="GAU154" s="54"/>
      <c r="GAV154" s="52"/>
      <c r="GAW154" s="53"/>
      <c r="GAX154" s="8"/>
      <c r="GAY154" s="45"/>
      <c r="GAZ154" s="45"/>
      <c r="GBA154" s="46"/>
      <c r="GBB154" s="44"/>
      <c r="GBC154" s="7"/>
      <c r="GBD154" s="51"/>
      <c r="GBE154" s="52"/>
      <c r="GBF154" s="53"/>
      <c r="GBG154" s="54"/>
      <c r="GBH154" s="52"/>
      <c r="GBI154" s="53"/>
      <c r="GBJ154" s="54"/>
      <c r="GBK154" s="52"/>
      <c r="GBL154" s="53"/>
      <c r="GBM154" s="8"/>
      <c r="GBN154" s="45"/>
      <c r="GBO154" s="45"/>
      <c r="GBP154" s="46"/>
      <c r="GBQ154" s="44"/>
      <c r="GBR154" s="7"/>
      <c r="GBS154" s="51"/>
      <c r="GBT154" s="52"/>
      <c r="GBU154" s="53"/>
      <c r="GBV154" s="54"/>
      <c r="GBW154" s="52"/>
      <c r="GBX154" s="53"/>
      <c r="GBY154" s="54"/>
      <c r="GBZ154" s="52"/>
      <c r="GCA154" s="53"/>
      <c r="GCB154" s="8"/>
      <c r="GCC154" s="45"/>
      <c r="GCD154" s="45"/>
      <c r="GCE154" s="46"/>
      <c r="GCF154" s="44"/>
      <c r="GCG154" s="7"/>
      <c r="GCH154" s="51"/>
      <c r="GCI154" s="52"/>
      <c r="GCJ154" s="53"/>
      <c r="GCK154" s="54"/>
      <c r="GCL154" s="52"/>
      <c r="GCM154" s="53"/>
      <c r="GCN154" s="54"/>
      <c r="GCO154" s="52"/>
      <c r="GCP154" s="53"/>
      <c r="GCQ154" s="8"/>
      <c r="GCR154" s="45"/>
      <c r="GCS154" s="45"/>
      <c r="GCT154" s="46"/>
      <c r="GCU154" s="44"/>
      <c r="GCV154" s="7"/>
      <c r="GCW154" s="51"/>
      <c r="GCX154" s="52"/>
      <c r="GCY154" s="53"/>
      <c r="GCZ154" s="54"/>
      <c r="GDA154" s="52"/>
      <c r="GDB154" s="53"/>
      <c r="GDC154" s="54"/>
      <c r="GDD154" s="52"/>
      <c r="GDE154" s="53"/>
      <c r="GDF154" s="8"/>
      <c r="GDG154" s="45"/>
      <c r="GDH154" s="45"/>
      <c r="GDI154" s="46"/>
      <c r="GDJ154" s="44"/>
      <c r="GDK154" s="7"/>
      <c r="GDL154" s="51"/>
      <c r="GDM154" s="52"/>
      <c r="GDN154" s="53"/>
      <c r="GDO154" s="54"/>
      <c r="GDP154" s="52"/>
      <c r="GDQ154" s="53"/>
      <c r="GDR154" s="54"/>
      <c r="GDS154" s="52"/>
      <c r="GDT154" s="53"/>
      <c r="GDU154" s="8"/>
      <c r="GDV154" s="45"/>
      <c r="GDW154" s="45"/>
      <c r="GDX154" s="46"/>
      <c r="GDY154" s="44"/>
      <c r="GDZ154" s="7"/>
      <c r="GEA154" s="51"/>
      <c r="GEB154" s="52"/>
      <c r="GEC154" s="53"/>
      <c r="GED154" s="54"/>
      <c r="GEE154" s="52"/>
      <c r="GEF154" s="53"/>
      <c r="GEG154" s="54"/>
      <c r="GEH154" s="52"/>
      <c r="GEI154" s="53"/>
      <c r="GEJ154" s="8"/>
      <c r="GEK154" s="45"/>
      <c r="GEL154" s="45"/>
      <c r="GEM154" s="46"/>
      <c r="GEN154" s="44"/>
      <c r="GEO154" s="7"/>
      <c r="GEP154" s="51"/>
      <c r="GEQ154" s="52"/>
      <c r="GER154" s="53"/>
      <c r="GES154" s="54"/>
      <c r="GET154" s="52"/>
      <c r="GEU154" s="53"/>
      <c r="GEV154" s="54"/>
      <c r="GEW154" s="52"/>
      <c r="GEX154" s="53"/>
      <c r="GEY154" s="8"/>
      <c r="GEZ154" s="45"/>
      <c r="GFA154" s="45"/>
      <c r="GFB154" s="46"/>
      <c r="GFC154" s="44"/>
      <c r="GFD154" s="7"/>
      <c r="GFE154" s="51"/>
      <c r="GFF154" s="52"/>
      <c r="GFG154" s="53"/>
      <c r="GFH154" s="54"/>
      <c r="GFI154" s="52"/>
      <c r="GFJ154" s="53"/>
      <c r="GFK154" s="54"/>
      <c r="GFL154" s="52"/>
      <c r="GFM154" s="53"/>
      <c r="GFN154" s="8"/>
      <c r="GFO154" s="45"/>
      <c r="GFP154" s="45"/>
      <c r="GFQ154" s="46"/>
      <c r="GFR154" s="44"/>
      <c r="GFS154" s="7"/>
      <c r="GFT154" s="51"/>
      <c r="GFU154" s="52"/>
      <c r="GFV154" s="53"/>
      <c r="GFW154" s="54"/>
      <c r="GFX154" s="52"/>
      <c r="GFY154" s="53"/>
      <c r="GFZ154" s="54"/>
      <c r="GGA154" s="52"/>
      <c r="GGB154" s="53"/>
      <c r="GGC154" s="8"/>
      <c r="GGD154" s="45"/>
      <c r="GGE154" s="45"/>
      <c r="GGF154" s="46"/>
      <c r="GGG154" s="44"/>
      <c r="GGH154" s="7"/>
      <c r="GGI154" s="51"/>
      <c r="GGJ154" s="52"/>
      <c r="GGK154" s="53"/>
      <c r="GGL154" s="54"/>
      <c r="GGM154" s="52"/>
      <c r="GGN154" s="53"/>
      <c r="GGO154" s="54"/>
      <c r="GGP154" s="52"/>
      <c r="GGQ154" s="53"/>
      <c r="GGR154" s="8"/>
      <c r="GGS154" s="45"/>
      <c r="GGT154" s="45"/>
      <c r="GGU154" s="46"/>
      <c r="GGV154" s="44"/>
      <c r="GGW154" s="7"/>
      <c r="GGX154" s="51"/>
      <c r="GGY154" s="52"/>
      <c r="GGZ154" s="53"/>
      <c r="GHA154" s="54"/>
      <c r="GHB154" s="52"/>
      <c r="GHC154" s="53"/>
      <c r="GHD154" s="54"/>
      <c r="GHE154" s="52"/>
      <c r="GHF154" s="53"/>
      <c r="GHG154" s="8"/>
      <c r="GHH154" s="45"/>
      <c r="GHI154" s="45"/>
      <c r="GHJ154" s="46"/>
      <c r="GHK154" s="44"/>
      <c r="GHL154" s="7"/>
      <c r="GHM154" s="51"/>
      <c r="GHN154" s="52"/>
      <c r="GHO154" s="53"/>
      <c r="GHP154" s="54"/>
      <c r="GHQ154" s="52"/>
      <c r="GHR154" s="53"/>
      <c r="GHS154" s="54"/>
      <c r="GHT154" s="52"/>
      <c r="GHU154" s="53"/>
      <c r="GHV154" s="8"/>
      <c r="GHW154" s="45"/>
      <c r="GHX154" s="45"/>
      <c r="GHY154" s="46"/>
      <c r="GHZ154" s="44"/>
      <c r="GIA154" s="7"/>
      <c r="GIB154" s="51"/>
      <c r="GIC154" s="52"/>
      <c r="GID154" s="53"/>
      <c r="GIE154" s="54"/>
      <c r="GIF154" s="52"/>
      <c r="GIG154" s="53"/>
      <c r="GIH154" s="54"/>
      <c r="GII154" s="52"/>
      <c r="GIJ154" s="53"/>
      <c r="GIK154" s="8"/>
      <c r="GIL154" s="45"/>
      <c r="GIM154" s="45"/>
      <c r="GIN154" s="46"/>
      <c r="GIO154" s="44"/>
      <c r="GIP154" s="7"/>
      <c r="GIQ154" s="51"/>
      <c r="GIR154" s="52"/>
      <c r="GIS154" s="53"/>
      <c r="GIT154" s="54"/>
      <c r="GIU154" s="52"/>
      <c r="GIV154" s="53"/>
      <c r="GIW154" s="54"/>
      <c r="GIX154" s="52"/>
      <c r="GIY154" s="53"/>
      <c r="GIZ154" s="8"/>
      <c r="GJA154" s="45"/>
      <c r="GJB154" s="45"/>
      <c r="GJC154" s="46"/>
      <c r="GJD154" s="44"/>
      <c r="GJE154" s="7"/>
      <c r="GJF154" s="51"/>
      <c r="GJG154" s="52"/>
      <c r="GJH154" s="53"/>
      <c r="GJI154" s="54"/>
      <c r="GJJ154" s="52"/>
      <c r="GJK154" s="53"/>
      <c r="GJL154" s="54"/>
      <c r="GJM154" s="52"/>
      <c r="GJN154" s="53"/>
      <c r="GJO154" s="8"/>
      <c r="GJP154" s="45"/>
      <c r="GJQ154" s="45"/>
      <c r="GJR154" s="46"/>
      <c r="GJS154" s="44"/>
      <c r="GJT154" s="7"/>
      <c r="GJU154" s="51"/>
      <c r="GJV154" s="52"/>
      <c r="GJW154" s="53"/>
      <c r="GJX154" s="54"/>
      <c r="GJY154" s="52"/>
      <c r="GJZ154" s="53"/>
      <c r="GKA154" s="54"/>
      <c r="GKB154" s="52"/>
      <c r="GKC154" s="53"/>
      <c r="GKD154" s="8"/>
      <c r="GKE154" s="45"/>
      <c r="GKF154" s="45"/>
      <c r="GKG154" s="46"/>
      <c r="GKH154" s="44"/>
      <c r="GKI154" s="7"/>
      <c r="GKJ154" s="51"/>
      <c r="GKK154" s="52"/>
      <c r="GKL154" s="53"/>
      <c r="GKM154" s="54"/>
      <c r="GKN154" s="52"/>
      <c r="GKO154" s="53"/>
      <c r="GKP154" s="54"/>
      <c r="GKQ154" s="52"/>
      <c r="GKR154" s="53"/>
      <c r="GKS154" s="8"/>
      <c r="GKT154" s="45"/>
      <c r="GKU154" s="45"/>
      <c r="GKV154" s="46"/>
      <c r="GKW154" s="44"/>
      <c r="GKX154" s="7"/>
      <c r="GKY154" s="51"/>
      <c r="GKZ154" s="52"/>
      <c r="GLA154" s="53"/>
      <c r="GLB154" s="54"/>
      <c r="GLC154" s="52"/>
      <c r="GLD154" s="53"/>
      <c r="GLE154" s="54"/>
      <c r="GLF154" s="52"/>
      <c r="GLG154" s="53"/>
      <c r="GLH154" s="8"/>
      <c r="GLI154" s="45"/>
      <c r="GLJ154" s="45"/>
      <c r="GLK154" s="46"/>
      <c r="GLL154" s="44"/>
      <c r="GLM154" s="7"/>
      <c r="GLN154" s="51"/>
      <c r="GLO154" s="52"/>
      <c r="GLP154" s="53"/>
      <c r="GLQ154" s="54"/>
      <c r="GLR154" s="52"/>
      <c r="GLS154" s="53"/>
      <c r="GLT154" s="54"/>
      <c r="GLU154" s="52"/>
      <c r="GLV154" s="53"/>
      <c r="GLW154" s="8"/>
      <c r="GLX154" s="45"/>
      <c r="GLY154" s="45"/>
      <c r="GLZ154" s="46"/>
      <c r="GMA154" s="44"/>
      <c r="GMB154" s="7"/>
      <c r="GMC154" s="51"/>
      <c r="GMD154" s="52"/>
      <c r="GME154" s="53"/>
      <c r="GMF154" s="54"/>
      <c r="GMG154" s="52"/>
      <c r="GMH154" s="53"/>
      <c r="GMI154" s="54"/>
      <c r="GMJ154" s="52"/>
      <c r="GMK154" s="53"/>
      <c r="GML154" s="8"/>
      <c r="GMM154" s="45"/>
      <c r="GMN154" s="45"/>
      <c r="GMO154" s="46"/>
      <c r="GMP154" s="44"/>
      <c r="GMQ154" s="7"/>
      <c r="GMR154" s="51"/>
      <c r="GMS154" s="52"/>
      <c r="GMT154" s="53"/>
      <c r="GMU154" s="54"/>
      <c r="GMV154" s="52"/>
      <c r="GMW154" s="53"/>
      <c r="GMX154" s="54"/>
      <c r="GMY154" s="52"/>
      <c r="GMZ154" s="53"/>
      <c r="GNA154" s="8"/>
      <c r="GNB154" s="45"/>
      <c r="GNC154" s="45"/>
      <c r="GND154" s="46"/>
      <c r="GNE154" s="44"/>
      <c r="GNF154" s="7"/>
      <c r="GNG154" s="51"/>
      <c r="GNH154" s="52"/>
      <c r="GNI154" s="53"/>
      <c r="GNJ154" s="54"/>
      <c r="GNK154" s="52"/>
      <c r="GNL154" s="53"/>
      <c r="GNM154" s="54"/>
      <c r="GNN154" s="52"/>
      <c r="GNO154" s="53"/>
      <c r="GNP154" s="8"/>
      <c r="GNQ154" s="45"/>
      <c r="GNR154" s="45"/>
      <c r="GNS154" s="46"/>
      <c r="GNT154" s="44"/>
      <c r="GNU154" s="7"/>
      <c r="GNV154" s="51"/>
      <c r="GNW154" s="52"/>
      <c r="GNX154" s="53"/>
      <c r="GNY154" s="54"/>
      <c r="GNZ154" s="52"/>
      <c r="GOA154" s="53"/>
      <c r="GOB154" s="54"/>
      <c r="GOC154" s="52"/>
      <c r="GOD154" s="53"/>
      <c r="GOE154" s="8"/>
      <c r="GOF154" s="45"/>
      <c r="GOG154" s="45"/>
      <c r="GOH154" s="46"/>
      <c r="GOI154" s="44"/>
      <c r="GOJ154" s="7"/>
      <c r="GOK154" s="51"/>
      <c r="GOL154" s="52"/>
      <c r="GOM154" s="53"/>
      <c r="GON154" s="54"/>
      <c r="GOO154" s="52"/>
      <c r="GOP154" s="53"/>
      <c r="GOQ154" s="54"/>
      <c r="GOR154" s="52"/>
      <c r="GOS154" s="53"/>
      <c r="GOT154" s="8"/>
      <c r="GOU154" s="45"/>
      <c r="GOV154" s="45"/>
      <c r="GOW154" s="46"/>
      <c r="GOX154" s="44"/>
      <c r="GOY154" s="7"/>
      <c r="GOZ154" s="51"/>
      <c r="GPA154" s="52"/>
      <c r="GPB154" s="53"/>
      <c r="GPC154" s="54"/>
      <c r="GPD154" s="52"/>
      <c r="GPE154" s="53"/>
      <c r="GPF154" s="54"/>
      <c r="GPG154" s="52"/>
      <c r="GPH154" s="53"/>
      <c r="GPI154" s="8"/>
      <c r="GPJ154" s="45"/>
      <c r="GPK154" s="45"/>
      <c r="GPL154" s="46"/>
      <c r="GPM154" s="44"/>
      <c r="GPN154" s="7"/>
      <c r="GPO154" s="51"/>
      <c r="GPP154" s="52"/>
      <c r="GPQ154" s="53"/>
      <c r="GPR154" s="54"/>
      <c r="GPS154" s="52"/>
      <c r="GPT154" s="53"/>
      <c r="GPU154" s="54"/>
      <c r="GPV154" s="52"/>
      <c r="GPW154" s="53"/>
      <c r="GPX154" s="8"/>
      <c r="GPY154" s="45"/>
      <c r="GPZ154" s="45"/>
      <c r="GQA154" s="46"/>
      <c r="GQB154" s="44"/>
      <c r="GQC154" s="7"/>
      <c r="GQD154" s="51"/>
      <c r="GQE154" s="52"/>
      <c r="GQF154" s="53"/>
      <c r="GQG154" s="54"/>
      <c r="GQH154" s="52"/>
      <c r="GQI154" s="53"/>
      <c r="GQJ154" s="54"/>
      <c r="GQK154" s="52"/>
      <c r="GQL154" s="53"/>
      <c r="GQM154" s="8"/>
      <c r="GQN154" s="45"/>
      <c r="GQO154" s="45"/>
      <c r="GQP154" s="46"/>
      <c r="GQQ154" s="44"/>
      <c r="GQR154" s="7"/>
      <c r="GQS154" s="51"/>
      <c r="GQT154" s="52"/>
      <c r="GQU154" s="53"/>
      <c r="GQV154" s="54"/>
      <c r="GQW154" s="52"/>
      <c r="GQX154" s="53"/>
      <c r="GQY154" s="54"/>
      <c r="GQZ154" s="52"/>
      <c r="GRA154" s="53"/>
      <c r="GRB154" s="8"/>
      <c r="GRC154" s="45"/>
      <c r="GRD154" s="45"/>
      <c r="GRE154" s="46"/>
      <c r="GRF154" s="44"/>
      <c r="GRG154" s="7"/>
      <c r="GRH154" s="51"/>
      <c r="GRI154" s="52"/>
      <c r="GRJ154" s="53"/>
      <c r="GRK154" s="54"/>
      <c r="GRL154" s="52"/>
      <c r="GRM154" s="53"/>
      <c r="GRN154" s="54"/>
      <c r="GRO154" s="52"/>
      <c r="GRP154" s="53"/>
      <c r="GRQ154" s="8"/>
      <c r="GRR154" s="45"/>
      <c r="GRS154" s="45"/>
      <c r="GRT154" s="46"/>
      <c r="GRU154" s="44"/>
      <c r="GRV154" s="7"/>
      <c r="GRW154" s="51"/>
      <c r="GRX154" s="52"/>
      <c r="GRY154" s="53"/>
      <c r="GRZ154" s="54"/>
      <c r="GSA154" s="52"/>
      <c r="GSB154" s="53"/>
      <c r="GSC154" s="54"/>
      <c r="GSD154" s="52"/>
      <c r="GSE154" s="53"/>
      <c r="GSF154" s="8"/>
      <c r="GSG154" s="45"/>
      <c r="GSH154" s="45"/>
      <c r="GSI154" s="46"/>
      <c r="GSJ154" s="44"/>
      <c r="GSK154" s="7"/>
      <c r="GSL154" s="51"/>
      <c r="GSM154" s="52"/>
      <c r="GSN154" s="53"/>
      <c r="GSO154" s="54"/>
      <c r="GSP154" s="52"/>
      <c r="GSQ154" s="53"/>
      <c r="GSR154" s="54"/>
      <c r="GSS154" s="52"/>
      <c r="GST154" s="53"/>
      <c r="GSU154" s="8"/>
      <c r="GSV154" s="45"/>
      <c r="GSW154" s="45"/>
      <c r="GSX154" s="46"/>
      <c r="GSY154" s="44"/>
      <c r="GSZ154" s="7"/>
      <c r="GTA154" s="51"/>
      <c r="GTB154" s="52"/>
      <c r="GTC154" s="53"/>
      <c r="GTD154" s="54"/>
      <c r="GTE154" s="52"/>
      <c r="GTF154" s="53"/>
      <c r="GTG154" s="54"/>
      <c r="GTH154" s="52"/>
      <c r="GTI154" s="53"/>
      <c r="GTJ154" s="8"/>
      <c r="GTK154" s="45"/>
      <c r="GTL154" s="45"/>
      <c r="GTM154" s="46"/>
      <c r="GTN154" s="44"/>
      <c r="GTO154" s="7"/>
      <c r="GTP154" s="51"/>
      <c r="GTQ154" s="52"/>
      <c r="GTR154" s="53"/>
      <c r="GTS154" s="54"/>
      <c r="GTT154" s="52"/>
      <c r="GTU154" s="53"/>
      <c r="GTV154" s="54"/>
      <c r="GTW154" s="52"/>
      <c r="GTX154" s="53"/>
      <c r="GTY154" s="8"/>
      <c r="GTZ154" s="45"/>
      <c r="GUA154" s="45"/>
      <c r="GUB154" s="46"/>
      <c r="GUC154" s="44"/>
      <c r="GUD154" s="7"/>
      <c r="GUE154" s="51"/>
      <c r="GUF154" s="52"/>
      <c r="GUG154" s="53"/>
      <c r="GUH154" s="54"/>
      <c r="GUI154" s="52"/>
      <c r="GUJ154" s="53"/>
      <c r="GUK154" s="54"/>
      <c r="GUL154" s="52"/>
      <c r="GUM154" s="53"/>
      <c r="GUN154" s="8"/>
      <c r="GUO154" s="45"/>
      <c r="GUP154" s="45"/>
      <c r="GUQ154" s="46"/>
      <c r="GUR154" s="44"/>
      <c r="GUS154" s="7"/>
      <c r="GUT154" s="51"/>
      <c r="GUU154" s="52"/>
      <c r="GUV154" s="53"/>
      <c r="GUW154" s="54"/>
      <c r="GUX154" s="52"/>
      <c r="GUY154" s="53"/>
      <c r="GUZ154" s="54"/>
      <c r="GVA154" s="52"/>
      <c r="GVB154" s="53"/>
      <c r="GVC154" s="8"/>
      <c r="GVD154" s="45"/>
      <c r="GVE154" s="45"/>
      <c r="GVF154" s="46"/>
      <c r="GVG154" s="44"/>
      <c r="GVH154" s="7"/>
      <c r="GVI154" s="51"/>
      <c r="GVJ154" s="52"/>
      <c r="GVK154" s="53"/>
      <c r="GVL154" s="54"/>
      <c r="GVM154" s="52"/>
      <c r="GVN154" s="53"/>
      <c r="GVO154" s="54"/>
      <c r="GVP154" s="52"/>
      <c r="GVQ154" s="53"/>
      <c r="GVR154" s="8"/>
      <c r="GVS154" s="45"/>
      <c r="GVT154" s="45"/>
      <c r="GVU154" s="46"/>
      <c r="GVV154" s="44"/>
      <c r="GVW154" s="7"/>
      <c r="GVX154" s="51"/>
      <c r="GVY154" s="52"/>
      <c r="GVZ154" s="53"/>
      <c r="GWA154" s="54"/>
      <c r="GWB154" s="52"/>
      <c r="GWC154" s="53"/>
      <c r="GWD154" s="54"/>
      <c r="GWE154" s="52"/>
      <c r="GWF154" s="53"/>
      <c r="GWG154" s="8"/>
      <c r="GWH154" s="45"/>
      <c r="GWI154" s="45"/>
      <c r="GWJ154" s="46"/>
      <c r="GWK154" s="44"/>
      <c r="GWL154" s="7"/>
      <c r="GWM154" s="51"/>
      <c r="GWN154" s="52"/>
      <c r="GWO154" s="53"/>
      <c r="GWP154" s="54"/>
      <c r="GWQ154" s="52"/>
      <c r="GWR154" s="53"/>
      <c r="GWS154" s="54"/>
      <c r="GWT154" s="52"/>
      <c r="GWU154" s="53"/>
      <c r="GWV154" s="8"/>
      <c r="GWW154" s="45"/>
      <c r="GWX154" s="45"/>
      <c r="GWY154" s="46"/>
      <c r="GWZ154" s="44"/>
      <c r="GXA154" s="7"/>
      <c r="GXB154" s="51"/>
      <c r="GXC154" s="52"/>
      <c r="GXD154" s="53"/>
      <c r="GXE154" s="54"/>
      <c r="GXF154" s="52"/>
      <c r="GXG154" s="53"/>
      <c r="GXH154" s="54"/>
      <c r="GXI154" s="52"/>
      <c r="GXJ154" s="53"/>
      <c r="GXK154" s="8"/>
      <c r="GXL154" s="45"/>
      <c r="GXM154" s="45"/>
      <c r="GXN154" s="46"/>
      <c r="GXO154" s="44"/>
      <c r="GXP154" s="7"/>
      <c r="GXQ154" s="51"/>
      <c r="GXR154" s="52"/>
      <c r="GXS154" s="53"/>
      <c r="GXT154" s="54"/>
      <c r="GXU154" s="52"/>
      <c r="GXV154" s="53"/>
      <c r="GXW154" s="54"/>
      <c r="GXX154" s="52"/>
      <c r="GXY154" s="53"/>
      <c r="GXZ154" s="8"/>
      <c r="GYA154" s="45"/>
      <c r="GYB154" s="45"/>
      <c r="GYC154" s="46"/>
      <c r="GYD154" s="44"/>
      <c r="GYE154" s="7"/>
      <c r="GYF154" s="51"/>
      <c r="GYG154" s="52"/>
      <c r="GYH154" s="53"/>
      <c r="GYI154" s="54"/>
      <c r="GYJ154" s="52"/>
      <c r="GYK154" s="53"/>
      <c r="GYL154" s="54"/>
      <c r="GYM154" s="52"/>
      <c r="GYN154" s="53"/>
      <c r="GYO154" s="8"/>
      <c r="GYP154" s="45"/>
      <c r="GYQ154" s="45"/>
      <c r="GYR154" s="46"/>
      <c r="GYS154" s="44"/>
      <c r="GYT154" s="7"/>
      <c r="GYU154" s="51"/>
      <c r="GYV154" s="52"/>
      <c r="GYW154" s="53"/>
      <c r="GYX154" s="54"/>
      <c r="GYY154" s="52"/>
      <c r="GYZ154" s="53"/>
      <c r="GZA154" s="54"/>
      <c r="GZB154" s="52"/>
      <c r="GZC154" s="53"/>
      <c r="GZD154" s="8"/>
      <c r="GZE154" s="45"/>
      <c r="GZF154" s="45"/>
      <c r="GZG154" s="46"/>
      <c r="GZH154" s="44"/>
      <c r="GZI154" s="7"/>
      <c r="GZJ154" s="51"/>
      <c r="GZK154" s="52"/>
      <c r="GZL154" s="53"/>
      <c r="GZM154" s="54"/>
      <c r="GZN154" s="52"/>
      <c r="GZO154" s="53"/>
      <c r="GZP154" s="54"/>
      <c r="GZQ154" s="52"/>
      <c r="GZR154" s="53"/>
      <c r="GZS154" s="8"/>
      <c r="GZT154" s="45"/>
      <c r="GZU154" s="45"/>
      <c r="GZV154" s="46"/>
      <c r="GZW154" s="44"/>
      <c r="GZX154" s="7"/>
      <c r="GZY154" s="51"/>
      <c r="GZZ154" s="52"/>
      <c r="HAA154" s="53"/>
      <c r="HAB154" s="54"/>
      <c r="HAC154" s="52"/>
      <c r="HAD154" s="53"/>
      <c r="HAE154" s="54"/>
      <c r="HAF154" s="52"/>
      <c r="HAG154" s="53"/>
      <c r="HAH154" s="8"/>
      <c r="HAI154" s="45"/>
      <c r="HAJ154" s="45"/>
      <c r="HAK154" s="46"/>
      <c r="HAL154" s="44"/>
      <c r="HAM154" s="7"/>
      <c r="HAN154" s="51"/>
      <c r="HAO154" s="52"/>
      <c r="HAP154" s="53"/>
      <c r="HAQ154" s="54"/>
      <c r="HAR154" s="52"/>
      <c r="HAS154" s="53"/>
      <c r="HAT154" s="54"/>
      <c r="HAU154" s="52"/>
      <c r="HAV154" s="53"/>
      <c r="HAW154" s="8"/>
      <c r="HAX154" s="45"/>
      <c r="HAY154" s="45"/>
      <c r="HAZ154" s="46"/>
      <c r="HBA154" s="44"/>
      <c r="HBB154" s="7"/>
      <c r="HBC154" s="51"/>
      <c r="HBD154" s="52"/>
      <c r="HBE154" s="53"/>
      <c r="HBF154" s="54"/>
      <c r="HBG154" s="52"/>
      <c r="HBH154" s="53"/>
      <c r="HBI154" s="54"/>
      <c r="HBJ154" s="52"/>
      <c r="HBK154" s="53"/>
      <c r="HBL154" s="8"/>
      <c r="HBM154" s="45"/>
      <c r="HBN154" s="45"/>
      <c r="HBO154" s="46"/>
      <c r="HBP154" s="44"/>
      <c r="HBQ154" s="7"/>
      <c r="HBR154" s="51"/>
      <c r="HBS154" s="52"/>
      <c r="HBT154" s="53"/>
      <c r="HBU154" s="54"/>
      <c r="HBV154" s="52"/>
      <c r="HBW154" s="53"/>
      <c r="HBX154" s="54"/>
      <c r="HBY154" s="52"/>
      <c r="HBZ154" s="53"/>
      <c r="HCA154" s="8"/>
      <c r="HCB154" s="45"/>
      <c r="HCC154" s="45"/>
      <c r="HCD154" s="46"/>
      <c r="HCE154" s="44"/>
      <c r="HCF154" s="7"/>
      <c r="HCG154" s="51"/>
      <c r="HCH154" s="52"/>
      <c r="HCI154" s="53"/>
      <c r="HCJ154" s="54"/>
      <c r="HCK154" s="52"/>
      <c r="HCL154" s="53"/>
      <c r="HCM154" s="54"/>
      <c r="HCN154" s="52"/>
      <c r="HCO154" s="53"/>
      <c r="HCP154" s="8"/>
      <c r="HCQ154" s="45"/>
      <c r="HCR154" s="45"/>
      <c r="HCS154" s="46"/>
      <c r="HCT154" s="44"/>
      <c r="HCU154" s="7"/>
      <c r="HCV154" s="51"/>
      <c r="HCW154" s="52"/>
      <c r="HCX154" s="53"/>
      <c r="HCY154" s="54"/>
      <c r="HCZ154" s="52"/>
      <c r="HDA154" s="53"/>
      <c r="HDB154" s="54"/>
      <c r="HDC154" s="52"/>
      <c r="HDD154" s="53"/>
      <c r="HDE154" s="8"/>
      <c r="HDF154" s="45"/>
      <c r="HDG154" s="45"/>
      <c r="HDH154" s="46"/>
      <c r="HDI154" s="44"/>
      <c r="HDJ154" s="7"/>
      <c r="HDK154" s="51"/>
      <c r="HDL154" s="52"/>
      <c r="HDM154" s="53"/>
      <c r="HDN154" s="54"/>
      <c r="HDO154" s="52"/>
      <c r="HDP154" s="53"/>
      <c r="HDQ154" s="54"/>
      <c r="HDR154" s="52"/>
      <c r="HDS154" s="53"/>
      <c r="HDT154" s="8"/>
      <c r="HDU154" s="45"/>
      <c r="HDV154" s="45"/>
      <c r="HDW154" s="46"/>
      <c r="HDX154" s="44"/>
      <c r="HDY154" s="7"/>
      <c r="HDZ154" s="51"/>
      <c r="HEA154" s="52"/>
      <c r="HEB154" s="53"/>
      <c r="HEC154" s="54"/>
      <c r="HED154" s="52"/>
      <c r="HEE154" s="53"/>
      <c r="HEF154" s="54"/>
      <c r="HEG154" s="52"/>
      <c r="HEH154" s="53"/>
      <c r="HEI154" s="8"/>
      <c r="HEJ154" s="45"/>
      <c r="HEK154" s="45"/>
      <c r="HEL154" s="46"/>
      <c r="HEM154" s="44"/>
      <c r="HEN154" s="7"/>
      <c r="HEO154" s="51"/>
      <c r="HEP154" s="52"/>
      <c r="HEQ154" s="53"/>
      <c r="HER154" s="54"/>
      <c r="HES154" s="52"/>
      <c r="HET154" s="53"/>
      <c r="HEU154" s="54"/>
      <c r="HEV154" s="52"/>
      <c r="HEW154" s="53"/>
      <c r="HEX154" s="8"/>
      <c r="HEY154" s="45"/>
      <c r="HEZ154" s="45"/>
      <c r="HFA154" s="46"/>
      <c r="HFB154" s="44"/>
      <c r="HFC154" s="7"/>
      <c r="HFD154" s="51"/>
      <c r="HFE154" s="52"/>
      <c r="HFF154" s="53"/>
      <c r="HFG154" s="54"/>
      <c r="HFH154" s="52"/>
      <c r="HFI154" s="53"/>
      <c r="HFJ154" s="54"/>
      <c r="HFK154" s="52"/>
      <c r="HFL154" s="53"/>
      <c r="HFM154" s="8"/>
      <c r="HFN154" s="45"/>
      <c r="HFO154" s="45"/>
      <c r="HFP154" s="46"/>
      <c r="HFQ154" s="44"/>
      <c r="HFR154" s="7"/>
      <c r="HFS154" s="51"/>
      <c r="HFT154" s="52"/>
      <c r="HFU154" s="53"/>
      <c r="HFV154" s="54"/>
      <c r="HFW154" s="52"/>
      <c r="HFX154" s="53"/>
      <c r="HFY154" s="54"/>
      <c r="HFZ154" s="52"/>
      <c r="HGA154" s="53"/>
      <c r="HGB154" s="8"/>
      <c r="HGC154" s="45"/>
      <c r="HGD154" s="45"/>
      <c r="HGE154" s="46"/>
      <c r="HGF154" s="44"/>
      <c r="HGG154" s="7"/>
      <c r="HGH154" s="51"/>
      <c r="HGI154" s="52"/>
      <c r="HGJ154" s="53"/>
      <c r="HGK154" s="54"/>
      <c r="HGL154" s="52"/>
      <c r="HGM154" s="53"/>
      <c r="HGN154" s="54"/>
      <c r="HGO154" s="52"/>
      <c r="HGP154" s="53"/>
      <c r="HGQ154" s="8"/>
      <c r="HGR154" s="45"/>
      <c r="HGS154" s="45"/>
      <c r="HGT154" s="46"/>
      <c r="HGU154" s="44"/>
      <c r="HGV154" s="7"/>
      <c r="HGW154" s="51"/>
      <c r="HGX154" s="52"/>
      <c r="HGY154" s="53"/>
      <c r="HGZ154" s="54"/>
      <c r="HHA154" s="52"/>
      <c r="HHB154" s="53"/>
      <c r="HHC154" s="54"/>
      <c r="HHD154" s="52"/>
      <c r="HHE154" s="53"/>
      <c r="HHF154" s="8"/>
      <c r="HHG154" s="45"/>
      <c r="HHH154" s="45"/>
      <c r="HHI154" s="46"/>
      <c r="HHJ154" s="44"/>
      <c r="HHK154" s="7"/>
      <c r="HHL154" s="51"/>
      <c r="HHM154" s="52"/>
      <c r="HHN154" s="53"/>
      <c r="HHO154" s="54"/>
      <c r="HHP154" s="52"/>
      <c r="HHQ154" s="53"/>
      <c r="HHR154" s="54"/>
      <c r="HHS154" s="52"/>
      <c r="HHT154" s="53"/>
      <c r="HHU154" s="8"/>
      <c r="HHV154" s="45"/>
      <c r="HHW154" s="45"/>
      <c r="HHX154" s="46"/>
      <c r="HHY154" s="44"/>
      <c r="HHZ154" s="7"/>
      <c r="HIA154" s="51"/>
      <c r="HIB154" s="52"/>
      <c r="HIC154" s="53"/>
      <c r="HID154" s="54"/>
      <c r="HIE154" s="52"/>
      <c r="HIF154" s="53"/>
      <c r="HIG154" s="54"/>
      <c r="HIH154" s="52"/>
      <c r="HII154" s="53"/>
      <c r="HIJ154" s="8"/>
      <c r="HIK154" s="45"/>
      <c r="HIL154" s="45"/>
      <c r="HIM154" s="46"/>
      <c r="HIN154" s="44"/>
      <c r="HIO154" s="7"/>
      <c r="HIP154" s="51"/>
      <c r="HIQ154" s="52"/>
      <c r="HIR154" s="53"/>
      <c r="HIS154" s="54"/>
      <c r="HIT154" s="52"/>
      <c r="HIU154" s="53"/>
      <c r="HIV154" s="54"/>
      <c r="HIW154" s="52"/>
      <c r="HIX154" s="53"/>
      <c r="HIY154" s="8"/>
      <c r="HIZ154" s="45"/>
      <c r="HJA154" s="45"/>
      <c r="HJB154" s="46"/>
      <c r="HJC154" s="44"/>
      <c r="HJD154" s="7"/>
      <c r="HJE154" s="51"/>
      <c r="HJF154" s="52"/>
      <c r="HJG154" s="53"/>
      <c r="HJH154" s="54"/>
      <c r="HJI154" s="52"/>
      <c r="HJJ154" s="53"/>
      <c r="HJK154" s="54"/>
      <c r="HJL154" s="52"/>
      <c r="HJM154" s="53"/>
      <c r="HJN154" s="8"/>
      <c r="HJO154" s="45"/>
      <c r="HJP154" s="45"/>
      <c r="HJQ154" s="46"/>
      <c r="HJR154" s="44"/>
      <c r="HJS154" s="7"/>
      <c r="HJT154" s="51"/>
      <c r="HJU154" s="52"/>
      <c r="HJV154" s="53"/>
      <c r="HJW154" s="54"/>
      <c r="HJX154" s="52"/>
      <c r="HJY154" s="53"/>
      <c r="HJZ154" s="54"/>
      <c r="HKA154" s="52"/>
      <c r="HKB154" s="53"/>
      <c r="HKC154" s="8"/>
      <c r="HKD154" s="45"/>
      <c r="HKE154" s="45"/>
      <c r="HKF154" s="46"/>
      <c r="HKG154" s="44"/>
      <c r="HKH154" s="7"/>
      <c r="HKI154" s="51"/>
      <c r="HKJ154" s="52"/>
      <c r="HKK154" s="53"/>
      <c r="HKL154" s="54"/>
      <c r="HKM154" s="52"/>
      <c r="HKN154" s="53"/>
      <c r="HKO154" s="54"/>
      <c r="HKP154" s="52"/>
      <c r="HKQ154" s="53"/>
      <c r="HKR154" s="8"/>
      <c r="HKS154" s="45"/>
      <c r="HKT154" s="45"/>
      <c r="HKU154" s="46"/>
      <c r="HKV154" s="44"/>
      <c r="HKW154" s="7"/>
      <c r="HKX154" s="51"/>
      <c r="HKY154" s="52"/>
      <c r="HKZ154" s="53"/>
      <c r="HLA154" s="54"/>
      <c r="HLB154" s="52"/>
      <c r="HLC154" s="53"/>
      <c r="HLD154" s="54"/>
      <c r="HLE154" s="52"/>
      <c r="HLF154" s="53"/>
      <c r="HLG154" s="8"/>
      <c r="HLH154" s="45"/>
      <c r="HLI154" s="45"/>
      <c r="HLJ154" s="46"/>
      <c r="HLK154" s="44"/>
      <c r="HLL154" s="7"/>
      <c r="HLM154" s="51"/>
      <c r="HLN154" s="52"/>
      <c r="HLO154" s="53"/>
      <c r="HLP154" s="54"/>
      <c r="HLQ154" s="52"/>
      <c r="HLR154" s="53"/>
      <c r="HLS154" s="54"/>
      <c r="HLT154" s="52"/>
      <c r="HLU154" s="53"/>
      <c r="HLV154" s="8"/>
      <c r="HLW154" s="45"/>
      <c r="HLX154" s="45"/>
      <c r="HLY154" s="46"/>
      <c r="HLZ154" s="44"/>
      <c r="HMA154" s="7"/>
      <c r="HMB154" s="51"/>
      <c r="HMC154" s="52"/>
      <c r="HMD154" s="53"/>
      <c r="HME154" s="54"/>
      <c r="HMF154" s="52"/>
      <c r="HMG154" s="53"/>
      <c r="HMH154" s="54"/>
      <c r="HMI154" s="52"/>
      <c r="HMJ154" s="53"/>
      <c r="HMK154" s="8"/>
      <c r="HML154" s="45"/>
      <c r="HMM154" s="45"/>
      <c r="HMN154" s="46"/>
      <c r="HMO154" s="44"/>
      <c r="HMP154" s="7"/>
      <c r="HMQ154" s="51"/>
      <c r="HMR154" s="52"/>
      <c r="HMS154" s="53"/>
      <c r="HMT154" s="54"/>
      <c r="HMU154" s="52"/>
      <c r="HMV154" s="53"/>
      <c r="HMW154" s="54"/>
      <c r="HMX154" s="52"/>
      <c r="HMY154" s="53"/>
      <c r="HMZ154" s="8"/>
      <c r="HNA154" s="45"/>
      <c r="HNB154" s="45"/>
      <c r="HNC154" s="46"/>
      <c r="HND154" s="44"/>
      <c r="HNE154" s="7"/>
      <c r="HNF154" s="51"/>
      <c r="HNG154" s="52"/>
      <c r="HNH154" s="53"/>
      <c r="HNI154" s="54"/>
      <c r="HNJ154" s="52"/>
      <c r="HNK154" s="53"/>
      <c r="HNL154" s="54"/>
      <c r="HNM154" s="52"/>
      <c r="HNN154" s="53"/>
      <c r="HNO154" s="8"/>
      <c r="HNP154" s="45"/>
      <c r="HNQ154" s="45"/>
      <c r="HNR154" s="46"/>
      <c r="HNS154" s="44"/>
      <c r="HNT154" s="7"/>
      <c r="HNU154" s="51"/>
      <c r="HNV154" s="52"/>
      <c r="HNW154" s="53"/>
      <c r="HNX154" s="54"/>
      <c r="HNY154" s="52"/>
      <c r="HNZ154" s="53"/>
      <c r="HOA154" s="54"/>
      <c r="HOB154" s="52"/>
      <c r="HOC154" s="53"/>
      <c r="HOD154" s="8"/>
      <c r="HOE154" s="45"/>
      <c r="HOF154" s="45"/>
      <c r="HOG154" s="46"/>
      <c r="HOH154" s="44"/>
      <c r="HOI154" s="7"/>
      <c r="HOJ154" s="51"/>
      <c r="HOK154" s="52"/>
      <c r="HOL154" s="53"/>
      <c r="HOM154" s="54"/>
      <c r="HON154" s="52"/>
      <c r="HOO154" s="53"/>
      <c r="HOP154" s="54"/>
      <c r="HOQ154" s="52"/>
      <c r="HOR154" s="53"/>
      <c r="HOS154" s="8"/>
      <c r="HOT154" s="45"/>
      <c r="HOU154" s="45"/>
      <c r="HOV154" s="46"/>
      <c r="HOW154" s="44"/>
      <c r="HOX154" s="7"/>
      <c r="HOY154" s="51"/>
      <c r="HOZ154" s="52"/>
      <c r="HPA154" s="53"/>
      <c r="HPB154" s="54"/>
      <c r="HPC154" s="52"/>
      <c r="HPD154" s="53"/>
      <c r="HPE154" s="54"/>
      <c r="HPF154" s="52"/>
      <c r="HPG154" s="53"/>
      <c r="HPH154" s="8"/>
      <c r="HPI154" s="45"/>
      <c r="HPJ154" s="45"/>
      <c r="HPK154" s="46"/>
      <c r="HPL154" s="44"/>
      <c r="HPM154" s="7"/>
      <c r="HPN154" s="51"/>
      <c r="HPO154" s="52"/>
      <c r="HPP154" s="53"/>
      <c r="HPQ154" s="54"/>
      <c r="HPR154" s="52"/>
      <c r="HPS154" s="53"/>
      <c r="HPT154" s="54"/>
      <c r="HPU154" s="52"/>
      <c r="HPV154" s="53"/>
      <c r="HPW154" s="8"/>
      <c r="HPX154" s="45"/>
      <c r="HPY154" s="45"/>
      <c r="HPZ154" s="46"/>
      <c r="HQA154" s="44"/>
      <c r="HQB154" s="7"/>
      <c r="HQC154" s="51"/>
      <c r="HQD154" s="52"/>
      <c r="HQE154" s="53"/>
      <c r="HQF154" s="54"/>
      <c r="HQG154" s="52"/>
      <c r="HQH154" s="53"/>
      <c r="HQI154" s="54"/>
      <c r="HQJ154" s="52"/>
      <c r="HQK154" s="53"/>
      <c r="HQL154" s="8"/>
      <c r="HQM154" s="45"/>
      <c r="HQN154" s="45"/>
      <c r="HQO154" s="46"/>
      <c r="HQP154" s="44"/>
      <c r="HQQ154" s="7"/>
      <c r="HQR154" s="51"/>
      <c r="HQS154" s="52"/>
      <c r="HQT154" s="53"/>
      <c r="HQU154" s="54"/>
      <c r="HQV154" s="52"/>
      <c r="HQW154" s="53"/>
      <c r="HQX154" s="54"/>
      <c r="HQY154" s="52"/>
      <c r="HQZ154" s="53"/>
      <c r="HRA154" s="8"/>
      <c r="HRB154" s="45"/>
      <c r="HRC154" s="45"/>
      <c r="HRD154" s="46"/>
      <c r="HRE154" s="44"/>
      <c r="HRF154" s="7"/>
      <c r="HRG154" s="51"/>
      <c r="HRH154" s="52"/>
      <c r="HRI154" s="53"/>
      <c r="HRJ154" s="54"/>
      <c r="HRK154" s="52"/>
      <c r="HRL154" s="53"/>
      <c r="HRM154" s="54"/>
      <c r="HRN154" s="52"/>
      <c r="HRO154" s="53"/>
      <c r="HRP154" s="8"/>
      <c r="HRQ154" s="45"/>
      <c r="HRR154" s="45"/>
      <c r="HRS154" s="46"/>
      <c r="HRT154" s="44"/>
      <c r="HRU154" s="7"/>
      <c r="HRV154" s="51"/>
      <c r="HRW154" s="52"/>
      <c r="HRX154" s="53"/>
      <c r="HRY154" s="54"/>
      <c r="HRZ154" s="52"/>
      <c r="HSA154" s="53"/>
      <c r="HSB154" s="54"/>
      <c r="HSC154" s="52"/>
      <c r="HSD154" s="53"/>
      <c r="HSE154" s="8"/>
      <c r="HSF154" s="45"/>
      <c r="HSG154" s="45"/>
      <c r="HSH154" s="46"/>
      <c r="HSI154" s="44"/>
      <c r="HSJ154" s="7"/>
      <c r="HSK154" s="51"/>
      <c r="HSL154" s="52"/>
      <c r="HSM154" s="53"/>
      <c r="HSN154" s="54"/>
      <c r="HSO154" s="52"/>
      <c r="HSP154" s="53"/>
      <c r="HSQ154" s="54"/>
      <c r="HSR154" s="52"/>
      <c r="HSS154" s="53"/>
      <c r="HST154" s="8"/>
      <c r="HSU154" s="45"/>
      <c r="HSV154" s="45"/>
      <c r="HSW154" s="46"/>
      <c r="HSX154" s="44"/>
      <c r="HSY154" s="7"/>
      <c r="HSZ154" s="51"/>
      <c r="HTA154" s="52"/>
      <c r="HTB154" s="53"/>
      <c r="HTC154" s="54"/>
      <c r="HTD154" s="52"/>
      <c r="HTE154" s="53"/>
      <c r="HTF154" s="54"/>
      <c r="HTG154" s="52"/>
      <c r="HTH154" s="53"/>
      <c r="HTI154" s="8"/>
      <c r="HTJ154" s="45"/>
      <c r="HTK154" s="45"/>
      <c r="HTL154" s="46"/>
      <c r="HTM154" s="44"/>
      <c r="HTN154" s="7"/>
      <c r="HTO154" s="51"/>
      <c r="HTP154" s="52"/>
      <c r="HTQ154" s="53"/>
      <c r="HTR154" s="54"/>
      <c r="HTS154" s="52"/>
      <c r="HTT154" s="53"/>
      <c r="HTU154" s="54"/>
      <c r="HTV154" s="52"/>
      <c r="HTW154" s="53"/>
      <c r="HTX154" s="8"/>
      <c r="HTY154" s="45"/>
      <c r="HTZ154" s="45"/>
      <c r="HUA154" s="46"/>
      <c r="HUB154" s="44"/>
      <c r="HUC154" s="7"/>
      <c r="HUD154" s="51"/>
      <c r="HUE154" s="52"/>
      <c r="HUF154" s="53"/>
      <c r="HUG154" s="54"/>
      <c r="HUH154" s="52"/>
      <c r="HUI154" s="53"/>
      <c r="HUJ154" s="54"/>
      <c r="HUK154" s="52"/>
      <c r="HUL154" s="53"/>
      <c r="HUM154" s="8"/>
      <c r="HUN154" s="45"/>
      <c r="HUO154" s="45"/>
      <c r="HUP154" s="46"/>
      <c r="HUQ154" s="44"/>
      <c r="HUR154" s="7"/>
      <c r="HUS154" s="51"/>
      <c r="HUT154" s="52"/>
      <c r="HUU154" s="53"/>
      <c r="HUV154" s="54"/>
      <c r="HUW154" s="52"/>
      <c r="HUX154" s="53"/>
      <c r="HUY154" s="54"/>
      <c r="HUZ154" s="52"/>
      <c r="HVA154" s="53"/>
      <c r="HVB154" s="8"/>
      <c r="HVC154" s="45"/>
      <c r="HVD154" s="45"/>
      <c r="HVE154" s="46"/>
      <c r="HVF154" s="44"/>
      <c r="HVG154" s="7"/>
      <c r="HVH154" s="51"/>
      <c r="HVI154" s="52"/>
      <c r="HVJ154" s="53"/>
      <c r="HVK154" s="54"/>
      <c r="HVL154" s="52"/>
      <c r="HVM154" s="53"/>
      <c r="HVN154" s="54"/>
      <c r="HVO154" s="52"/>
      <c r="HVP154" s="53"/>
      <c r="HVQ154" s="8"/>
      <c r="HVR154" s="45"/>
      <c r="HVS154" s="45"/>
      <c r="HVT154" s="46"/>
      <c r="HVU154" s="44"/>
      <c r="HVV154" s="7"/>
      <c r="HVW154" s="51"/>
      <c r="HVX154" s="52"/>
      <c r="HVY154" s="53"/>
      <c r="HVZ154" s="54"/>
      <c r="HWA154" s="52"/>
      <c r="HWB154" s="53"/>
      <c r="HWC154" s="54"/>
      <c r="HWD154" s="52"/>
      <c r="HWE154" s="53"/>
      <c r="HWF154" s="8"/>
      <c r="HWG154" s="45"/>
      <c r="HWH154" s="45"/>
      <c r="HWI154" s="46"/>
      <c r="HWJ154" s="44"/>
      <c r="HWK154" s="7"/>
      <c r="HWL154" s="51"/>
      <c r="HWM154" s="52"/>
      <c r="HWN154" s="53"/>
      <c r="HWO154" s="54"/>
      <c r="HWP154" s="52"/>
      <c r="HWQ154" s="53"/>
      <c r="HWR154" s="54"/>
      <c r="HWS154" s="52"/>
      <c r="HWT154" s="53"/>
      <c r="HWU154" s="8"/>
      <c r="HWV154" s="45"/>
      <c r="HWW154" s="45"/>
      <c r="HWX154" s="46"/>
      <c r="HWY154" s="44"/>
      <c r="HWZ154" s="7"/>
      <c r="HXA154" s="51"/>
      <c r="HXB154" s="52"/>
      <c r="HXC154" s="53"/>
      <c r="HXD154" s="54"/>
      <c r="HXE154" s="52"/>
      <c r="HXF154" s="53"/>
      <c r="HXG154" s="54"/>
      <c r="HXH154" s="52"/>
      <c r="HXI154" s="53"/>
      <c r="HXJ154" s="8"/>
      <c r="HXK154" s="45"/>
      <c r="HXL154" s="45"/>
      <c r="HXM154" s="46"/>
      <c r="HXN154" s="44"/>
      <c r="HXO154" s="7"/>
      <c r="HXP154" s="51"/>
      <c r="HXQ154" s="52"/>
      <c r="HXR154" s="53"/>
      <c r="HXS154" s="54"/>
      <c r="HXT154" s="52"/>
      <c r="HXU154" s="53"/>
      <c r="HXV154" s="54"/>
      <c r="HXW154" s="52"/>
      <c r="HXX154" s="53"/>
      <c r="HXY154" s="8"/>
      <c r="HXZ154" s="45"/>
      <c r="HYA154" s="45"/>
      <c r="HYB154" s="46"/>
      <c r="HYC154" s="44"/>
      <c r="HYD154" s="7"/>
      <c r="HYE154" s="51"/>
      <c r="HYF154" s="52"/>
      <c r="HYG154" s="53"/>
      <c r="HYH154" s="54"/>
      <c r="HYI154" s="52"/>
      <c r="HYJ154" s="53"/>
      <c r="HYK154" s="54"/>
      <c r="HYL154" s="52"/>
      <c r="HYM154" s="53"/>
      <c r="HYN154" s="8"/>
      <c r="HYO154" s="45"/>
      <c r="HYP154" s="45"/>
      <c r="HYQ154" s="46"/>
      <c r="HYR154" s="44"/>
      <c r="HYS154" s="7"/>
      <c r="HYT154" s="51"/>
      <c r="HYU154" s="52"/>
      <c r="HYV154" s="53"/>
      <c r="HYW154" s="54"/>
      <c r="HYX154" s="52"/>
      <c r="HYY154" s="53"/>
      <c r="HYZ154" s="54"/>
      <c r="HZA154" s="52"/>
      <c r="HZB154" s="53"/>
      <c r="HZC154" s="8"/>
      <c r="HZD154" s="45"/>
      <c r="HZE154" s="45"/>
      <c r="HZF154" s="46"/>
      <c r="HZG154" s="44"/>
      <c r="HZH154" s="7"/>
      <c r="HZI154" s="51"/>
      <c r="HZJ154" s="52"/>
      <c r="HZK154" s="53"/>
      <c r="HZL154" s="54"/>
      <c r="HZM154" s="52"/>
      <c r="HZN154" s="53"/>
      <c r="HZO154" s="54"/>
      <c r="HZP154" s="52"/>
      <c r="HZQ154" s="53"/>
      <c r="HZR154" s="8"/>
      <c r="HZS154" s="45"/>
      <c r="HZT154" s="45"/>
      <c r="HZU154" s="46"/>
      <c r="HZV154" s="44"/>
      <c r="HZW154" s="7"/>
      <c r="HZX154" s="51"/>
      <c r="HZY154" s="52"/>
      <c r="HZZ154" s="53"/>
      <c r="IAA154" s="54"/>
      <c r="IAB154" s="52"/>
      <c r="IAC154" s="53"/>
      <c r="IAD154" s="54"/>
      <c r="IAE154" s="52"/>
      <c r="IAF154" s="53"/>
      <c r="IAG154" s="8"/>
      <c r="IAH154" s="45"/>
      <c r="IAI154" s="45"/>
      <c r="IAJ154" s="46"/>
      <c r="IAK154" s="44"/>
      <c r="IAL154" s="7"/>
      <c r="IAM154" s="51"/>
      <c r="IAN154" s="52"/>
      <c r="IAO154" s="53"/>
      <c r="IAP154" s="54"/>
      <c r="IAQ154" s="52"/>
      <c r="IAR154" s="53"/>
      <c r="IAS154" s="54"/>
      <c r="IAT154" s="52"/>
      <c r="IAU154" s="53"/>
      <c r="IAV154" s="8"/>
      <c r="IAW154" s="45"/>
      <c r="IAX154" s="45"/>
      <c r="IAY154" s="46"/>
      <c r="IAZ154" s="44"/>
      <c r="IBA154" s="7"/>
      <c r="IBB154" s="51"/>
      <c r="IBC154" s="52"/>
      <c r="IBD154" s="53"/>
      <c r="IBE154" s="54"/>
      <c r="IBF154" s="52"/>
      <c r="IBG154" s="53"/>
      <c r="IBH154" s="54"/>
      <c r="IBI154" s="52"/>
      <c r="IBJ154" s="53"/>
      <c r="IBK154" s="8"/>
      <c r="IBL154" s="45"/>
      <c r="IBM154" s="45"/>
      <c r="IBN154" s="46"/>
      <c r="IBO154" s="44"/>
      <c r="IBP154" s="7"/>
      <c r="IBQ154" s="51"/>
      <c r="IBR154" s="52"/>
      <c r="IBS154" s="53"/>
      <c r="IBT154" s="54"/>
      <c r="IBU154" s="52"/>
      <c r="IBV154" s="53"/>
      <c r="IBW154" s="54"/>
      <c r="IBX154" s="52"/>
      <c r="IBY154" s="53"/>
      <c r="IBZ154" s="8"/>
      <c r="ICA154" s="45"/>
      <c r="ICB154" s="45"/>
      <c r="ICC154" s="46"/>
      <c r="ICD154" s="44"/>
      <c r="ICE154" s="7"/>
      <c r="ICF154" s="51"/>
      <c r="ICG154" s="52"/>
      <c r="ICH154" s="53"/>
      <c r="ICI154" s="54"/>
      <c r="ICJ154" s="52"/>
      <c r="ICK154" s="53"/>
      <c r="ICL154" s="54"/>
      <c r="ICM154" s="52"/>
      <c r="ICN154" s="53"/>
      <c r="ICO154" s="8"/>
      <c r="ICP154" s="45"/>
      <c r="ICQ154" s="45"/>
      <c r="ICR154" s="46"/>
      <c r="ICS154" s="44"/>
      <c r="ICT154" s="7"/>
      <c r="ICU154" s="51"/>
      <c r="ICV154" s="52"/>
      <c r="ICW154" s="53"/>
      <c r="ICX154" s="54"/>
      <c r="ICY154" s="52"/>
      <c r="ICZ154" s="53"/>
      <c r="IDA154" s="54"/>
      <c r="IDB154" s="52"/>
      <c r="IDC154" s="53"/>
      <c r="IDD154" s="8"/>
      <c r="IDE154" s="45"/>
      <c r="IDF154" s="45"/>
      <c r="IDG154" s="46"/>
      <c r="IDH154" s="44"/>
      <c r="IDI154" s="7"/>
      <c r="IDJ154" s="51"/>
      <c r="IDK154" s="52"/>
      <c r="IDL154" s="53"/>
      <c r="IDM154" s="54"/>
      <c r="IDN154" s="52"/>
      <c r="IDO154" s="53"/>
      <c r="IDP154" s="54"/>
      <c r="IDQ154" s="52"/>
      <c r="IDR154" s="53"/>
      <c r="IDS154" s="8"/>
      <c r="IDT154" s="45"/>
      <c r="IDU154" s="45"/>
      <c r="IDV154" s="46"/>
      <c r="IDW154" s="44"/>
      <c r="IDX154" s="7"/>
      <c r="IDY154" s="51"/>
      <c r="IDZ154" s="52"/>
      <c r="IEA154" s="53"/>
      <c r="IEB154" s="54"/>
      <c r="IEC154" s="52"/>
      <c r="IED154" s="53"/>
      <c r="IEE154" s="54"/>
      <c r="IEF154" s="52"/>
      <c r="IEG154" s="53"/>
      <c r="IEH154" s="8"/>
      <c r="IEI154" s="45"/>
      <c r="IEJ154" s="45"/>
      <c r="IEK154" s="46"/>
      <c r="IEL154" s="44"/>
      <c r="IEM154" s="7"/>
      <c r="IEN154" s="51"/>
      <c r="IEO154" s="52"/>
      <c r="IEP154" s="53"/>
      <c r="IEQ154" s="54"/>
      <c r="IER154" s="52"/>
      <c r="IES154" s="53"/>
      <c r="IET154" s="54"/>
      <c r="IEU154" s="52"/>
      <c r="IEV154" s="53"/>
      <c r="IEW154" s="8"/>
      <c r="IEX154" s="45"/>
      <c r="IEY154" s="45"/>
      <c r="IEZ154" s="46"/>
      <c r="IFA154" s="44"/>
      <c r="IFB154" s="7"/>
      <c r="IFC154" s="51"/>
      <c r="IFD154" s="52"/>
      <c r="IFE154" s="53"/>
      <c r="IFF154" s="54"/>
      <c r="IFG154" s="52"/>
      <c r="IFH154" s="53"/>
      <c r="IFI154" s="54"/>
      <c r="IFJ154" s="52"/>
      <c r="IFK154" s="53"/>
      <c r="IFL154" s="8"/>
      <c r="IFM154" s="45"/>
      <c r="IFN154" s="45"/>
      <c r="IFO154" s="46"/>
      <c r="IFP154" s="44"/>
      <c r="IFQ154" s="7"/>
      <c r="IFR154" s="51"/>
      <c r="IFS154" s="52"/>
      <c r="IFT154" s="53"/>
      <c r="IFU154" s="54"/>
      <c r="IFV154" s="52"/>
      <c r="IFW154" s="53"/>
      <c r="IFX154" s="54"/>
      <c r="IFY154" s="52"/>
      <c r="IFZ154" s="53"/>
      <c r="IGA154" s="8"/>
      <c r="IGB154" s="45"/>
      <c r="IGC154" s="45"/>
      <c r="IGD154" s="46"/>
      <c r="IGE154" s="44"/>
      <c r="IGF154" s="7"/>
      <c r="IGG154" s="51"/>
      <c r="IGH154" s="52"/>
      <c r="IGI154" s="53"/>
      <c r="IGJ154" s="54"/>
      <c r="IGK154" s="52"/>
      <c r="IGL154" s="53"/>
      <c r="IGM154" s="54"/>
      <c r="IGN154" s="52"/>
      <c r="IGO154" s="53"/>
      <c r="IGP154" s="8"/>
      <c r="IGQ154" s="45"/>
      <c r="IGR154" s="45"/>
      <c r="IGS154" s="46"/>
      <c r="IGT154" s="44"/>
      <c r="IGU154" s="7"/>
      <c r="IGV154" s="51"/>
      <c r="IGW154" s="52"/>
      <c r="IGX154" s="53"/>
      <c r="IGY154" s="54"/>
      <c r="IGZ154" s="52"/>
      <c r="IHA154" s="53"/>
      <c r="IHB154" s="54"/>
      <c r="IHC154" s="52"/>
      <c r="IHD154" s="53"/>
      <c r="IHE154" s="8"/>
      <c r="IHF154" s="45"/>
      <c r="IHG154" s="45"/>
      <c r="IHH154" s="46"/>
      <c r="IHI154" s="44"/>
      <c r="IHJ154" s="7"/>
      <c r="IHK154" s="51"/>
      <c r="IHL154" s="52"/>
      <c r="IHM154" s="53"/>
      <c r="IHN154" s="54"/>
      <c r="IHO154" s="52"/>
      <c r="IHP154" s="53"/>
      <c r="IHQ154" s="54"/>
      <c r="IHR154" s="52"/>
      <c r="IHS154" s="53"/>
      <c r="IHT154" s="8"/>
      <c r="IHU154" s="45"/>
      <c r="IHV154" s="45"/>
      <c r="IHW154" s="46"/>
      <c r="IHX154" s="44"/>
      <c r="IHY154" s="7"/>
      <c r="IHZ154" s="51"/>
      <c r="IIA154" s="52"/>
      <c r="IIB154" s="53"/>
      <c r="IIC154" s="54"/>
      <c r="IID154" s="52"/>
      <c r="IIE154" s="53"/>
      <c r="IIF154" s="54"/>
      <c r="IIG154" s="52"/>
      <c r="IIH154" s="53"/>
      <c r="III154" s="8"/>
      <c r="IIJ154" s="45"/>
      <c r="IIK154" s="45"/>
      <c r="IIL154" s="46"/>
      <c r="IIM154" s="44"/>
      <c r="IIN154" s="7"/>
      <c r="IIO154" s="51"/>
      <c r="IIP154" s="52"/>
      <c r="IIQ154" s="53"/>
      <c r="IIR154" s="54"/>
      <c r="IIS154" s="52"/>
      <c r="IIT154" s="53"/>
      <c r="IIU154" s="54"/>
      <c r="IIV154" s="52"/>
      <c r="IIW154" s="53"/>
      <c r="IIX154" s="8"/>
      <c r="IIY154" s="45"/>
      <c r="IIZ154" s="45"/>
      <c r="IJA154" s="46"/>
      <c r="IJB154" s="44"/>
      <c r="IJC154" s="7"/>
      <c r="IJD154" s="51"/>
      <c r="IJE154" s="52"/>
      <c r="IJF154" s="53"/>
      <c r="IJG154" s="54"/>
      <c r="IJH154" s="52"/>
      <c r="IJI154" s="53"/>
      <c r="IJJ154" s="54"/>
      <c r="IJK154" s="52"/>
      <c r="IJL154" s="53"/>
      <c r="IJM154" s="8"/>
      <c r="IJN154" s="45"/>
      <c r="IJO154" s="45"/>
      <c r="IJP154" s="46"/>
      <c r="IJQ154" s="44"/>
      <c r="IJR154" s="7"/>
      <c r="IJS154" s="51"/>
      <c r="IJT154" s="52"/>
      <c r="IJU154" s="53"/>
      <c r="IJV154" s="54"/>
      <c r="IJW154" s="52"/>
      <c r="IJX154" s="53"/>
      <c r="IJY154" s="54"/>
      <c r="IJZ154" s="52"/>
      <c r="IKA154" s="53"/>
      <c r="IKB154" s="8"/>
      <c r="IKC154" s="45"/>
      <c r="IKD154" s="45"/>
      <c r="IKE154" s="46"/>
      <c r="IKF154" s="44"/>
      <c r="IKG154" s="7"/>
      <c r="IKH154" s="51"/>
      <c r="IKI154" s="52"/>
      <c r="IKJ154" s="53"/>
      <c r="IKK154" s="54"/>
      <c r="IKL154" s="52"/>
      <c r="IKM154" s="53"/>
      <c r="IKN154" s="54"/>
      <c r="IKO154" s="52"/>
      <c r="IKP154" s="53"/>
      <c r="IKQ154" s="8"/>
      <c r="IKR154" s="45"/>
      <c r="IKS154" s="45"/>
      <c r="IKT154" s="46"/>
      <c r="IKU154" s="44"/>
      <c r="IKV154" s="7"/>
      <c r="IKW154" s="51"/>
      <c r="IKX154" s="52"/>
      <c r="IKY154" s="53"/>
      <c r="IKZ154" s="54"/>
      <c r="ILA154" s="52"/>
      <c r="ILB154" s="53"/>
      <c r="ILC154" s="54"/>
      <c r="ILD154" s="52"/>
      <c r="ILE154" s="53"/>
      <c r="ILF154" s="8"/>
      <c r="ILG154" s="45"/>
      <c r="ILH154" s="45"/>
      <c r="ILI154" s="46"/>
      <c r="ILJ154" s="44"/>
      <c r="ILK154" s="7"/>
      <c r="ILL154" s="51"/>
      <c r="ILM154" s="52"/>
      <c r="ILN154" s="53"/>
      <c r="ILO154" s="54"/>
      <c r="ILP154" s="52"/>
      <c r="ILQ154" s="53"/>
      <c r="ILR154" s="54"/>
      <c r="ILS154" s="52"/>
      <c r="ILT154" s="53"/>
      <c r="ILU154" s="8"/>
      <c r="ILV154" s="45"/>
      <c r="ILW154" s="45"/>
      <c r="ILX154" s="46"/>
      <c r="ILY154" s="44"/>
      <c r="ILZ154" s="7"/>
      <c r="IMA154" s="51"/>
      <c r="IMB154" s="52"/>
      <c r="IMC154" s="53"/>
      <c r="IMD154" s="54"/>
      <c r="IME154" s="52"/>
      <c r="IMF154" s="53"/>
      <c r="IMG154" s="54"/>
      <c r="IMH154" s="52"/>
      <c r="IMI154" s="53"/>
      <c r="IMJ154" s="8"/>
      <c r="IMK154" s="45"/>
      <c r="IML154" s="45"/>
      <c r="IMM154" s="46"/>
      <c r="IMN154" s="44"/>
      <c r="IMO154" s="7"/>
      <c r="IMP154" s="51"/>
      <c r="IMQ154" s="52"/>
      <c r="IMR154" s="53"/>
      <c r="IMS154" s="54"/>
      <c r="IMT154" s="52"/>
      <c r="IMU154" s="53"/>
      <c r="IMV154" s="54"/>
      <c r="IMW154" s="52"/>
      <c r="IMX154" s="53"/>
      <c r="IMY154" s="8"/>
      <c r="IMZ154" s="45"/>
      <c r="INA154" s="45"/>
      <c r="INB154" s="46"/>
      <c r="INC154" s="44"/>
      <c r="IND154" s="7"/>
      <c r="INE154" s="51"/>
      <c r="INF154" s="52"/>
      <c r="ING154" s="53"/>
      <c r="INH154" s="54"/>
      <c r="INI154" s="52"/>
      <c r="INJ154" s="53"/>
      <c r="INK154" s="54"/>
      <c r="INL154" s="52"/>
      <c r="INM154" s="53"/>
      <c r="INN154" s="8"/>
      <c r="INO154" s="45"/>
      <c r="INP154" s="45"/>
      <c r="INQ154" s="46"/>
      <c r="INR154" s="44"/>
      <c r="INS154" s="7"/>
      <c r="INT154" s="51"/>
      <c r="INU154" s="52"/>
      <c r="INV154" s="53"/>
      <c r="INW154" s="54"/>
      <c r="INX154" s="52"/>
      <c r="INY154" s="53"/>
      <c r="INZ154" s="54"/>
      <c r="IOA154" s="52"/>
      <c r="IOB154" s="53"/>
      <c r="IOC154" s="8"/>
      <c r="IOD154" s="45"/>
      <c r="IOE154" s="45"/>
      <c r="IOF154" s="46"/>
      <c r="IOG154" s="44"/>
      <c r="IOH154" s="7"/>
      <c r="IOI154" s="51"/>
      <c r="IOJ154" s="52"/>
      <c r="IOK154" s="53"/>
      <c r="IOL154" s="54"/>
      <c r="IOM154" s="52"/>
      <c r="ION154" s="53"/>
      <c r="IOO154" s="54"/>
      <c r="IOP154" s="52"/>
      <c r="IOQ154" s="53"/>
      <c r="IOR154" s="8"/>
      <c r="IOS154" s="45"/>
      <c r="IOT154" s="45"/>
      <c r="IOU154" s="46"/>
      <c r="IOV154" s="44"/>
      <c r="IOW154" s="7"/>
      <c r="IOX154" s="51"/>
      <c r="IOY154" s="52"/>
      <c r="IOZ154" s="53"/>
      <c r="IPA154" s="54"/>
      <c r="IPB154" s="52"/>
      <c r="IPC154" s="53"/>
      <c r="IPD154" s="54"/>
      <c r="IPE154" s="52"/>
      <c r="IPF154" s="53"/>
      <c r="IPG154" s="8"/>
      <c r="IPH154" s="45"/>
      <c r="IPI154" s="45"/>
      <c r="IPJ154" s="46"/>
      <c r="IPK154" s="44"/>
      <c r="IPL154" s="7"/>
      <c r="IPM154" s="51"/>
      <c r="IPN154" s="52"/>
      <c r="IPO154" s="53"/>
      <c r="IPP154" s="54"/>
      <c r="IPQ154" s="52"/>
      <c r="IPR154" s="53"/>
      <c r="IPS154" s="54"/>
      <c r="IPT154" s="52"/>
      <c r="IPU154" s="53"/>
      <c r="IPV154" s="8"/>
      <c r="IPW154" s="45"/>
      <c r="IPX154" s="45"/>
      <c r="IPY154" s="46"/>
      <c r="IPZ154" s="44"/>
      <c r="IQA154" s="7"/>
      <c r="IQB154" s="51"/>
      <c r="IQC154" s="52"/>
      <c r="IQD154" s="53"/>
      <c r="IQE154" s="54"/>
      <c r="IQF154" s="52"/>
      <c r="IQG154" s="53"/>
      <c r="IQH154" s="54"/>
      <c r="IQI154" s="52"/>
      <c r="IQJ154" s="53"/>
      <c r="IQK154" s="8"/>
      <c r="IQL154" s="45"/>
      <c r="IQM154" s="45"/>
      <c r="IQN154" s="46"/>
      <c r="IQO154" s="44"/>
      <c r="IQP154" s="7"/>
      <c r="IQQ154" s="51"/>
      <c r="IQR154" s="52"/>
      <c r="IQS154" s="53"/>
      <c r="IQT154" s="54"/>
      <c r="IQU154" s="52"/>
      <c r="IQV154" s="53"/>
      <c r="IQW154" s="54"/>
      <c r="IQX154" s="52"/>
      <c r="IQY154" s="53"/>
      <c r="IQZ154" s="8"/>
      <c r="IRA154" s="45"/>
      <c r="IRB154" s="45"/>
      <c r="IRC154" s="46"/>
      <c r="IRD154" s="44"/>
      <c r="IRE154" s="7"/>
      <c r="IRF154" s="51"/>
      <c r="IRG154" s="52"/>
      <c r="IRH154" s="53"/>
      <c r="IRI154" s="54"/>
      <c r="IRJ154" s="52"/>
      <c r="IRK154" s="53"/>
      <c r="IRL154" s="54"/>
      <c r="IRM154" s="52"/>
      <c r="IRN154" s="53"/>
      <c r="IRO154" s="8"/>
      <c r="IRP154" s="45"/>
      <c r="IRQ154" s="45"/>
      <c r="IRR154" s="46"/>
      <c r="IRS154" s="44"/>
      <c r="IRT154" s="7"/>
      <c r="IRU154" s="51"/>
      <c r="IRV154" s="52"/>
      <c r="IRW154" s="53"/>
      <c r="IRX154" s="54"/>
      <c r="IRY154" s="52"/>
      <c r="IRZ154" s="53"/>
      <c r="ISA154" s="54"/>
      <c r="ISB154" s="52"/>
      <c r="ISC154" s="53"/>
      <c r="ISD154" s="8"/>
      <c r="ISE154" s="45"/>
      <c r="ISF154" s="45"/>
      <c r="ISG154" s="46"/>
      <c r="ISH154" s="44"/>
      <c r="ISI154" s="7"/>
      <c r="ISJ154" s="51"/>
      <c r="ISK154" s="52"/>
      <c r="ISL154" s="53"/>
      <c r="ISM154" s="54"/>
      <c r="ISN154" s="52"/>
      <c r="ISO154" s="53"/>
      <c r="ISP154" s="54"/>
      <c r="ISQ154" s="52"/>
      <c r="ISR154" s="53"/>
      <c r="ISS154" s="8"/>
      <c r="IST154" s="45"/>
      <c r="ISU154" s="45"/>
      <c r="ISV154" s="46"/>
      <c r="ISW154" s="44"/>
      <c r="ISX154" s="7"/>
      <c r="ISY154" s="51"/>
      <c r="ISZ154" s="52"/>
      <c r="ITA154" s="53"/>
      <c r="ITB154" s="54"/>
      <c r="ITC154" s="52"/>
      <c r="ITD154" s="53"/>
      <c r="ITE154" s="54"/>
      <c r="ITF154" s="52"/>
      <c r="ITG154" s="53"/>
      <c r="ITH154" s="8"/>
      <c r="ITI154" s="45"/>
      <c r="ITJ154" s="45"/>
      <c r="ITK154" s="46"/>
      <c r="ITL154" s="44"/>
      <c r="ITM154" s="7"/>
      <c r="ITN154" s="51"/>
      <c r="ITO154" s="52"/>
      <c r="ITP154" s="53"/>
      <c r="ITQ154" s="54"/>
      <c r="ITR154" s="52"/>
      <c r="ITS154" s="53"/>
      <c r="ITT154" s="54"/>
      <c r="ITU154" s="52"/>
      <c r="ITV154" s="53"/>
      <c r="ITW154" s="8"/>
      <c r="ITX154" s="45"/>
      <c r="ITY154" s="45"/>
      <c r="ITZ154" s="46"/>
      <c r="IUA154" s="44"/>
      <c r="IUB154" s="7"/>
      <c r="IUC154" s="51"/>
      <c r="IUD154" s="52"/>
      <c r="IUE154" s="53"/>
      <c r="IUF154" s="54"/>
      <c r="IUG154" s="52"/>
      <c r="IUH154" s="53"/>
      <c r="IUI154" s="54"/>
      <c r="IUJ154" s="52"/>
      <c r="IUK154" s="53"/>
      <c r="IUL154" s="8"/>
      <c r="IUM154" s="45"/>
      <c r="IUN154" s="45"/>
      <c r="IUO154" s="46"/>
      <c r="IUP154" s="44"/>
      <c r="IUQ154" s="7"/>
      <c r="IUR154" s="51"/>
      <c r="IUS154" s="52"/>
      <c r="IUT154" s="53"/>
      <c r="IUU154" s="54"/>
      <c r="IUV154" s="52"/>
      <c r="IUW154" s="53"/>
      <c r="IUX154" s="54"/>
      <c r="IUY154" s="52"/>
      <c r="IUZ154" s="53"/>
      <c r="IVA154" s="8"/>
      <c r="IVB154" s="45"/>
      <c r="IVC154" s="45"/>
      <c r="IVD154" s="46"/>
      <c r="IVE154" s="44"/>
      <c r="IVF154" s="7"/>
      <c r="IVG154" s="51"/>
      <c r="IVH154" s="52"/>
      <c r="IVI154" s="53"/>
      <c r="IVJ154" s="54"/>
      <c r="IVK154" s="52"/>
      <c r="IVL154" s="53"/>
      <c r="IVM154" s="54"/>
      <c r="IVN154" s="52"/>
      <c r="IVO154" s="53"/>
      <c r="IVP154" s="8"/>
      <c r="IVQ154" s="45"/>
      <c r="IVR154" s="45"/>
      <c r="IVS154" s="46"/>
      <c r="IVT154" s="44"/>
      <c r="IVU154" s="7"/>
      <c r="IVV154" s="51"/>
      <c r="IVW154" s="52"/>
      <c r="IVX154" s="53"/>
      <c r="IVY154" s="54"/>
      <c r="IVZ154" s="52"/>
      <c r="IWA154" s="53"/>
      <c r="IWB154" s="54"/>
      <c r="IWC154" s="52"/>
      <c r="IWD154" s="53"/>
      <c r="IWE154" s="8"/>
      <c r="IWF154" s="45"/>
      <c r="IWG154" s="45"/>
      <c r="IWH154" s="46"/>
      <c r="IWI154" s="44"/>
      <c r="IWJ154" s="7"/>
      <c r="IWK154" s="51"/>
      <c r="IWL154" s="52"/>
      <c r="IWM154" s="53"/>
      <c r="IWN154" s="54"/>
      <c r="IWO154" s="52"/>
      <c r="IWP154" s="53"/>
      <c r="IWQ154" s="54"/>
      <c r="IWR154" s="52"/>
      <c r="IWS154" s="53"/>
      <c r="IWT154" s="8"/>
      <c r="IWU154" s="45"/>
      <c r="IWV154" s="45"/>
      <c r="IWW154" s="46"/>
      <c r="IWX154" s="44"/>
      <c r="IWY154" s="7"/>
      <c r="IWZ154" s="51"/>
      <c r="IXA154" s="52"/>
      <c r="IXB154" s="53"/>
      <c r="IXC154" s="54"/>
      <c r="IXD154" s="52"/>
      <c r="IXE154" s="53"/>
      <c r="IXF154" s="54"/>
      <c r="IXG154" s="52"/>
      <c r="IXH154" s="53"/>
      <c r="IXI154" s="8"/>
      <c r="IXJ154" s="45"/>
      <c r="IXK154" s="45"/>
      <c r="IXL154" s="46"/>
      <c r="IXM154" s="44"/>
      <c r="IXN154" s="7"/>
      <c r="IXO154" s="51"/>
      <c r="IXP154" s="52"/>
      <c r="IXQ154" s="53"/>
      <c r="IXR154" s="54"/>
      <c r="IXS154" s="52"/>
      <c r="IXT154" s="53"/>
      <c r="IXU154" s="54"/>
      <c r="IXV154" s="52"/>
      <c r="IXW154" s="53"/>
      <c r="IXX154" s="8"/>
      <c r="IXY154" s="45"/>
      <c r="IXZ154" s="45"/>
      <c r="IYA154" s="46"/>
      <c r="IYB154" s="44"/>
      <c r="IYC154" s="7"/>
      <c r="IYD154" s="51"/>
      <c r="IYE154" s="52"/>
      <c r="IYF154" s="53"/>
      <c r="IYG154" s="54"/>
      <c r="IYH154" s="52"/>
      <c r="IYI154" s="53"/>
      <c r="IYJ154" s="54"/>
      <c r="IYK154" s="52"/>
      <c r="IYL154" s="53"/>
      <c r="IYM154" s="8"/>
      <c r="IYN154" s="45"/>
      <c r="IYO154" s="45"/>
      <c r="IYP154" s="46"/>
      <c r="IYQ154" s="44"/>
      <c r="IYR154" s="7"/>
      <c r="IYS154" s="51"/>
      <c r="IYT154" s="52"/>
      <c r="IYU154" s="53"/>
      <c r="IYV154" s="54"/>
      <c r="IYW154" s="52"/>
      <c r="IYX154" s="53"/>
      <c r="IYY154" s="54"/>
      <c r="IYZ154" s="52"/>
      <c r="IZA154" s="53"/>
      <c r="IZB154" s="8"/>
      <c r="IZC154" s="45"/>
      <c r="IZD154" s="45"/>
      <c r="IZE154" s="46"/>
      <c r="IZF154" s="44"/>
      <c r="IZG154" s="7"/>
      <c r="IZH154" s="51"/>
      <c r="IZI154" s="52"/>
      <c r="IZJ154" s="53"/>
      <c r="IZK154" s="54"/>
      <c r="IZL154" s="52"/>
      <c r="IZM154" s="53"/>
      <c r="IZN154" s="54"/>
      <c r="IZO154" s="52"/>
      <c r="IZP154" s="53"/>
      <c r="IZQ154" s="8"/>
      <c r="IZR154" s="45"/>
      <c r="IZS154" s="45"/>
      <c r="IZT154" s="46"/>
      <c r="IZU154" s="44"/>
      <c r="IZV154" s="7"/>
      <c r="IZW154" s="51"/>
      <c r="IZX154" s="52"/>
      <c r="IZY154" s="53"/>
      <c r="IZZ154" s="54"/>
      <c r="JAA154" s="52"/>
      <c r="JAB154" s="53"/>
      <c r="JAC154" s="54"/>
      <c r="JAD154" s="52"/>
      <c r="JAE154" s="53"/>
      <c r="JAF154" s="8"/>
      <c r="JAG154" s="45"/>
      <c r="JAH154" s="45"/>
      <c r="JAI154" s="46"/>
      <c r="JAJ154" s="44"/>
      <c r="JAK154" s="7"/>
      <c r="JAL154" s="51"/>
      <c r="JAM154" s="52"/>
      <c r="JAN154" s="53"/>
      <c r="JAO154" s="54"/>
      <c r="JAP154" s="52"/>
      <c r="JAQ154" s="53"/>
      <c r="JAR154" s="54"/>
      <c r="JAS154" s="52"/>
      <c r="JAT154" s="53"/>
      <c r="JAU154" s="8"/>
      <c r="JAV154" s="45"/>
      <c r="JAW154" s="45"/>
      <c r="JAX154" s="46"/>
      <c r="JAY154" s="44"/>
      <c r="JAZ154" s="7"/>
      <c r="JBA154" s="51"/>
      <c r="JBB154" s="52"/>
      <c r="JBC154" s="53"/>
      <c r="JBD154" s="54"/>
      <c r="JBE154" s="52"/>
      <c r="JBF154" s="53"/>
      <c r="JBG154" s="54"/>
      <c r="JBH154" s="52"/>
      <c r="JBI154" s="53"/>
      <c r="JBJ154" s="8"/>
      <c r="JBK154" s="45"/>
      <c r="JBL154" s="45"/>
      <c r="JBM154" s="46"/>
      <c r="JBN154" s="44"/>
      <c r="JBO154" s="7"/>
      <c r="JBP154" s="51"/>
      <c r="JBQ154" s="52"/>
      <c r="JBR154" s="53"/>
      <c r="JBS154" s="54"/>
      <c r="JBT154" s="52"/>
      <c r="JBU154" s="53"/>
      <c r="JBV154" s="54"/>
      <c r="JBW154" s="52"/>
      <c r="JBX154" s="53"/>
      <c r="JBY154" s="8"/>
      <c r="JBZ154" s="45"/>
      <c r="JCA154" s="45"/>
      <c r="JCB154" s="46"/>
      <c r="JCC154" s="44"/>
      <c r="JCD154" s="7"/>
      <c r="JCE154" s="51"/>
      <c r="JCF154" s="52"/>
      <c r="JCG154" s="53"/>
      <c r="JCH154" s="54"/>
      <c r="JCI154" s="52"/>
      <c r="JCJ154" s="53"/>
      <c r="JCK154" s="54"/>
      <c r="JCL154" s="52"/>
      <c r="JCM154" s="53"/>
      <c r="JCN154" s="8"/>
      <c r="JCO154" s="45"/>
      <c r="JCP154" s="45"/>
      <c r="JCQ154" s="46"/>
      <c r="JCR154" s="44"/>
      <c r="JCS154" s="7"/>
      <c r="JCT154" s="51"/>
      <c r="JCU154" s="52"/>
      <c r="JCV154" s="53"/>
      <c r="JCW154" s="54"/>
      <c r="JCX154" s="52"/>
      <c r="JCY154" s="53"/>
      <c r="JCZ154" s="54"/>
      <c r="JDA154" s="52"/>
      <c r="JDB154" s="53"/>
      <c r="JDC154" s="8"/>
      <c r="JDD154" s="45"/>
      <c r="JDE154" s="45"/>
      <c r="JDF154" s="46"/>
      <c r="JDG154" s="44"/>
      <c r="JDH154" s="7"/>
      <c r="JDI154" s="51"/>
      <c r="JDJ154" s="52"/>
      <c r="JDK154" s="53"/>
      <c r="JDL154" s="54"/>
      <c r="JDM154" s="52"/>
      <c r="JDN154" s="53"/>
      <c r="JDO154" s="54"/>
      <c r="JDP154" s="52"/>
      <c r="JDQ154" s="53"/>
      <c r="JDR154" s="8"/>
      <c r="JDS154" s="45"/>
      <c r="JDT154" s="45"/>
      <c r="JDU154" s="46"/>
      <c r="JDV154" s="44"/>
      <c r="JDW154" s="7"/>
      <c r="JDX154" s="51"/>
      <c r="JDY154" s="52"/>
      <c r="JDZ154" s="53"/>
      <c r="JEA154" s="54"/>
      <c r="JEB154" s="52"/>
      <c r="JEC154" s="53"/>
      <c r="JED154" s="54"/>
      <c r="JEE154" s="52"/>
      <c r="JEF154" s="53"/>
      <c r="JEG154" s="8"/>
      <c r="JEH154" s="45"/>
      <c r="JEI154" s="45"/>
      <c r="JEJ154" s="46"/>
      <c r="JEK154" s="44"/>
      <c r="JEL154" s="7"/>
      <c r="JEM154" s="51"/>
      <c r="JEN154" s="52"/>
      <c r="JEO154" s="53"/>
      <c r="JEP154" s="54"/>
      <c r="JEQ154" s="52"/>
      <c r="JER154" s="53"/>
      <c r="JES154" s="54"/>
      <c r="JET154" s="52"/>
      <c r="JEU154" s="53"/>
      <c r="JEV154" s="8"/>
      <c r="JEW154" s="45"/>
      <c r="JEX154" s="45"/>
      <c r="JEY154" s="46"/>
      <c r="JEZ154" s="44"/>
      <c r="JFA154" s="7"/>
      <c r="JFB154" s="51"/>
      <c r="JFC154" s="52"/>
      <c r="JFD154" s="53"/>
      <c r="JFE154" s="54"/>
      <c r="JFF154" s="52"/>
      <c r="JFG154" s="53"/>
      <c r="JFH154" s="54"/>
      <c r="JFI154" s="52"/>
      <c r="JFJ154" s="53"/>
      <c r="JFK154" s="8"/>
      <c r="JFL154" s="45"/>
      <c r="JFM154" s="45"/>
      <c r="JFN154" s="46"/>
      <c r="JFO154" s="44"/>
      <c r="JFP154" s="7"/>
      <c r="JFQ154" s="51"/>
      <c r="JFR154" s="52"/>
      <c r="JFS154" s="53"/>
      <c r="JFT154" s="54"/>
      <c r="JFU154" s="52"/>
      <c r="JFV154" s="53"/>
      <c r="JFW154" s="54"/>
      <c r="JFX154" s="52"/>
      <c r="JFY154" s="53"/>
      <c r="JFZ154" s="8"/>
      <c r="JGA154" s="45"/>
      <c r="JGB154" s="45"/>
      <c r="JGC154" s="46"/>
      <c r="JGD154" s="44"/>
      <c r="JGE154" s="7"/>
      <c r="JGF154" s="51"/>
      <c r="JGG154" s="52"/>
      <c r="JGH154" s="53"/>
      <c r="JGI154" s="54"/>
      <c r="JGJ154" s="52"/>
      <c r="JGK154" s="53"/>
      <c r="JGL154" s="54"/>
      <c r="JGM154" s="52"/>
      <c r="JGN154" s="53"/>
      <c r="JGO154" s="8"/>
      <c r="JGP154" s="45"/>
      <c r="JGQ154" s="45"/>
      <c r="JGR154" s="46"/>
      <c r="JGS154" s="44"/>
      <c r="JGT154" s="7"/>
      <c r="JGU154" s="51"/>
      <c r="JGV154" s="52"/>
      <c r="JGW154" s="53"/>
      <c r="JGX154" s="54"/>
      <c r="JGY154" s="52"/>
      <c r="JGZ154" s="53"/>
      <c r="JHA154" s="54"/>
      <c r="JHB154" s="52"/>
      <c r="JHC154" s="53"/>
      <c r="JHD154" s="8"/>
      <c r="JHE154" s="45"/>
      <c r="JHF154" s="45"/>
      <c r="JHG154" s="46"/>
      <c r="JHH154" s="44"/>
      <c r="JHI154" s="7"/>
      <c r="JHJ154" s="51"/>
      <c r="JHK154" s="52"/>
      <c r="JHL154" s="53"/>
      <c r="JHM154" s="54"/>
      <c r="JHN154" s="52"/>
      <c r="JHO154" s="53"/>
      <c r="JHP154" s="54"/>
      <c r="JHQ154" s="52"/>
      <c r="JHR154" s="53"/>
      <c r="JHS154" s="8"/>
      <c r="JHT154" s="45"/>
      <c r="JHU154" s="45"/>
      <c r="JHV154" s="46"/>
      <c r="JHW154" s="44"/>
      <c r="JHX154" s="7"/>
      <c r="JHY154" s="51"/>
      <c r="JHZ154" s="52"/>
      <c r="JIA154" s="53"/>
      <c r="JIB154" s="54"/>
      <c r="JIC154" s="52"/>
      <c r="JID154" s="53"/>
      <c r="JIE154" s="54"/>
      <c r="JIF154" s="52"/>
      <c r="JIG154" s="53"/>
      <c r="JIH154" s="8"/>
      <c r="JII154" s="45"/>
      <c r="JIJ154" s="45"/>
      <c r="JIK154" s="46"/>
      <c r="JIL154" s="44"/>
      <c r="JIM154" s="7"/>
      <c r="JIN154" s="51"/>
      <c r="JIO154" s="52"/>
      <c r="JIP154" s="53"/>
      <c r="JIQ154" s="54"/>
      <c r="JIR154" s="52"/>
      <c r="JIS154" s="53"/>
      <c r="JIT154" s="54"/>
      <c r="JIU154" s="52"/>
      <c r="JIV154" s="53"/>
      <c r="JIW154" s="8"/>
      <c r="JIX154" s="45"/>
      <c r="JIY154" s="45"/>
      <c r="JIZ154" s="46"/>
      <c r="JJA154" s="44"/>
      <c r="JJB154" s="7"/>
      <c r="JJC154" s="51"/>
      <c r="JJD154" s="52"/>
      <c r="JJE154" s="53"/>
      <c r="JJF154" s="54"/>
      <c r="JJG154" s="52"/>
      <c r="JJH154" s="53"/>
      <c r="JJI154" s="54"/>
      <c r="JJJ154" s="52"/>
      <c r="JJK154" s="53"/>
      <c r="JJL154" s="8"/>
      <c r="JJM154" s="45"/>
      <c r="JJN154" s="45"/>
      <c r="JJO154" s="46"/>
      <c r="JJP154" s="44"/>
      <c r="JJQ154" s="7"/>
      <c r="JJR154" s="51"/>
      <c r="JJS154" s="52"/>
      <c r="JJT154" s="53"/>
      <c r="JJU154" s="54"/>
      <c r="JJV154" s="52"/>
      <c r="JJW154" s="53"/>
      <c r="JJX154" s="54"/>
      <c r="JJY154" s="52"/>
      <c r="JJZ154" s="53"/>
      <c r="JKA154" s="8"/>
      <c r="JKB154" s="45"/>
      <c r="JKC154" s="45"/>
      <c r="JKD154" s="46"/>
      <c r="JKE154" s="44"/>
      <c r="JKF154" s="7"/>
      <c r="JKG154" s="51"/>
      <c r="JKH154" s="52"/>
      <c r="JKI154" s="53"/>
      <c r="JKJ154" s="54"/>
      <c r="JKK154" s="52"/>
      <c r="JKL154" s="53"/>
      <c r="JKM154" s="54"/>
      <c r="JKN154" s="52"/>
      <c r="JKO154" s="53"/>
      <c r="JKP154" s="8"/>
      <c r="JKQ154" s="45"/>
      <c r="JKR154" s="45"/>
      <c r="JKS154" s="46"/>
      <c r="JKT154" s="44"/>
      <c r="JKU154" s="7"/>
      <c r="JKV154" s="51"/>
      <c r="JKW154" s="52"/>
      <c r="JKX154" s="53"/>
      <c r="JKY154" s="54"/>
      <c r="JKZ154" s="52"/>
      <c r="JLA154" s="53"/>
      <c r="JLB154" s="54"/>
      <c r="JLC154" s="52"/>
      <c r="JLD154" s="53"/>
      <c r="JLE154" s="8"/>
      <c r="JLF154" s="45"/>
      <c r="JLG154" s="45"/>
      <c r="JLH154" s="46"/>
      <c r="JLI154" s="44"/>
      <c r="JLJ154" s="7"/>
      <c r="JLK154" s="51"/>
      <c r="JLL154" s="52"/>
      <c r="JLM154" s="53"/>
      <c r="JLN154" s="54"/>
      <c r="JLO154" s="52"/>
      <c r="JLP154" s="53"/>
      <c r="JLQ154" s="54"/>
      <c r="JLR154" s="52"/>
      <c r="JLS154" s="53"/>
      <c r="JLT154" s="8"/>
      <c r="JLU154" s="45"/>
      <c r="JLV154" s="45"/>
      <c r="JLW154" s="46"/>
      <c r="JLX154" s="44"/>
      <c r="JLY154" s="7"/>
      <c r="JLZ154" s="51"/>
      <c r="JMA154" s="52"/>
      <c r="JMB154" s="53"/>
      <c r="JMC154" s="54"/>
      <c r="JMD154" s="52"/>
      <c r="JME154" s="53"/>
      <c r="JMF154" s="54"/>
      <c r="JMG154" s="52"/>
      <c r="JMH154" s="53"/>
      <c r="JMI154" s="8"/>
      <c r="JMJ154" s="45"/>
      <c r="JMK154" s="45"/>
      <c r="JML154" s="46"/>
      <c r="JMM154" s="44"/>
      <c r="JMN154" s="7"/>
      <c r="JMO154" s="51"/>
      <c r="JMP154" s="52"/>
      <c r="JMQ154" s="53"/>
      <c r="JMR154" s="54"/>
      <c r="JMS154" s="52"/>
      <c r="JMT154" s="53"/>
      <c r="JMU154" s="54"/>
      <c r="JMV154" s="52"/>
      <c r="JMW154" s="53"/>
      <c r="JMX154" s="8"/>
      <c r="JMY154" s="45"/>
      <c r="JMZ154" s="45"/>
      <c r="JNA154" s="46"/>
      <c r="JNB154" s="44"/>
      <c r="JNC154" s="7"/>
      <c r="JND154" s="51"/>
      <c r="JNE154" s="52"/>
      <c r="JNF154" s="53"/>
      <c r="JNG154" s="54"/>
      <c r="JNH154" s="52"/>
      <c r="JNI154" s="53"/>
      <c r="JNJ154" s="54"/>
      <c r="JNK154" s="52"/>
      <c r="JNL154" s="53"/>
      <c r="JNM154" s="8"/>
      <c r="JNN154" s="45"/>
      <c r="JNO154" s="45"/>
      <c r="JNP154" s="46"/>
      <c r="JNQ154" s="44"/>
      <c r="JNR154" s="7"/>
      <c r="JNS154" s="51"/>
      <c r="JNT154" s="52"/>
      <c r="JNU154" s="53"/>
      <c r="JNV154" s="54"/>
      <c r="JNW154" s="52"/>
      <c r="JNX154" s="53"/>
      <c r="JNY154" s="54"/>
      <c r="JNZ154" s="52"/>
      <c r="JOA154" s="53"/>
      <c r="JOB154" s="8"/>
      <c r="JOC154" s="45"/>
      <c r="JOD154" s="45"/>
      <c r="JOE154" s="46"/>
      <c r="JOF154" s="44"/>
      <c r="JOG154" s="7"/>
      <c r="JOH154" s="51"/>
      <c r="JOI154" s="52"/>
      <c r="JOJ154" s="53"/>
      <c r="JOK154" s="54"/>
      <c r="JOL154" s="52"/>
      <c r="JOM154" s="53"/>
      <c r="JON154" s="54"/>
      <c r="JOO154" s="52"/>
      <c r="JOP154" s="53"/>
      <c r="JOQ154" s="8"/>
      <c r="JOR154" s="45"/>
      <c r="JOS154" s="45"/>
      <c r="JOT154" s="46"/>
      <c r="JOU154" s="44"/>
      <c r="JOV154" s="7"/>
      <c r="JOW154" s="51"/>
      <c r="JOX154" s="52"/>
      <c r="JOY154" s="53"/>
      <c r="JOZ154" s="54"/>
      <c r="JPA154" s="52"/>
      <c r="JPB154" s="53"/>
      <c r="JPC154" s="54"/>
      <c r="JPD154" s="52"/>
      <c r="JPE154" s="53"/>
      <c r="JPF154" s="8"/>
      <c r="JPG154" s="45"/>
      <c r="JPH154" s="45"/>
      <c r="JPI154" s="46"/>
      <c r="JPJ154" s="44"/>
      <c r="JPK154" s="7"/>
      <c r="JPL154" s="51"/>
      <c r="JPM154" s="52"/>
      <c r="JPN154" s="53"/>
      <c r="JPO154" s="54"/>
      <c r="JPP154" s="52"/>
      <c r="JPQ154" s="53"/>
      <c r="JPR154" s="54"/>
      <c r="JPS154" s="52"/>
      <c r="JPT154" s="53"/>
      <c r="JPU154" s="8"/>
      <c r="JPV154" s="45"/>
      <c r="JPW154" s="45"/>
      <c r="JPX154" s="46"/>
      <c r="JPY154" s="44"/>
      <c r="JPZ154" s="7"/>
      <c r="JQA154" s="51"/>
      <c r="JQB154" s="52"/>
      <c r="JQC154" s="53"/>
      <c r="JQD154" s="54"/>
      <c r="JQE154" s="52"/>
      <c r="JQF154" s="53"/>
      <c r="JQG154" s="54"/>
      <c r="JQH154" s="52"/>
      <c r="JQI154" s="53"/>
      <c r="JQJ154" s="8"/>
      <c r="JQK154" s="45"/>
      <c r="JQL154" s="45"/>
      <c r="JQM154" s="46"/>
      <c r="JQN154" s="44"/>
      <c r="JQO154" s="7"/>
      <c r="JQP154" s="51"/>
      <c r="JQQ154" s="52"/>
      <c r="JQR154" s="53"/>
      <c r="JQS154" s="54"/>
      <c r="JQT154" s="52"/>
      <c r="JQU154" s="53"/>
      <c r="JQV154" s="54"/>
      <c r="JQW154" s="52"/>
      <c r="JQX154" s="53"/>
      <c r="JQY154" s="8"/>
      <c r="JQZ154" s="45"/>
      <c r="JRA154" s="45"/>
      <c r="JRB154" s="46"/>
      <c r="JRC154" s="44"/>
      <c r="JRD154" s="7"/>
      <c r="JRE154" s="51"/>
      <c r="JRF154" s="52"/>
      <c r="JRG154" s="53"/>
      <c r="JRH154" s="54"/>
      <c r="JRI154" s="52"/>
      <c r="JRJ154" s="53"/>
      <c r="JRK154" s="54"/>
      <c r="JRL154" s="52"/>
      <c r="JRM154" s="53"/>
      <c r="JRN154" s="8"/>
      <c r="JRO154" s="45"/>
      <c r="JRP154" s="45"/>
      <c r="JRQ154" s="46"/>
      <c r="JRR154" s="44"/>
      <c r="JRS154" s="7"/>
      <c r="JRT154" s="51"/>
      <c r="JRU154" s="52"/>
      <c r="JRV154" s="53"/>
      <c r="JRW154" s="54"/>
      <c r="JRX154" s="52"/>
      <c r="JRY154" s="53"/>
      <c r="JRZ154" s="54"/>
      <c r="JSA154" s="52"/>
      <c r="JSB154" s="53"/>
      <c r="JSC154" s="8"/>
      <c r="JSD154" s="45"/>
      <c r="JSE154" s="45"/>
      <c r="JSF154" s="46"/>
      <c r="JSG154" s="44"/>
      <c r="JSH154" s="7"/>
      <c r="JSI154" s="51"/>
      <c r="JSJ154" s="52"/>
      <c r="JSK154" s="53"/>
      <c r="JSL154" s="54"/>
      <c r="JSM154" s="52"/>
      <c r="JSN154" s="53"/>
      <c r="JSO154" s="54"/>
      <c r="JSP154" s="52"/>
      <c r="JSQ154" s="53"/>
      <c r="JSR154" s="8"/>
      <c r="JSS154" s="45"/>
      <c r="JST154" s="45"/>
      <c r="JSU154" s="46"/>
      <c r="JSV154" s="44"/>
      <c r="JSW154" s="7"/>
      <c r="JSX154" s="51"/>
      <c r="JSY154" s="52"/>
      <c r="JSZ154" s="53"/>
      <c r="JTA154" s="54"/>
      <c r="JTB154" s="52"/>
      <c r="JTC154" s="53"/>
      <c r="JTD154" s="54"/>
      <c r="JTE154" s="52"/>
      <c r="JTF154" s="53"/>
      <c r="JTG154" s="8"/>
      <c r="JTH154" s="45"/>
      <c r="JTI154" s="45"/>
      <c r="JTJ154" s="46"/>
      <c r="JTK154" s="44"/>
      <c r="JTL154" s="7"/>
      <c r="JTM154" s="51"/>
      <c r="JTN154" s="52"/>
      <c r="JTO154" s="53"/>
      <c r="JTP154" s="54"/>
      <c r="JTQ154" s="52"/>
      <c r="JTR154" s="53"/>
      <c r="JTS154" s="54"/>
      <c r="JTT154" s="52"/>
      <c r="JTU154" s="53"/>
      <c r="JTV154" s="8"/>
      <c r="JTW154" s="45"/>
      <c r="JTX154" s="45"/>
      <c r="JTY154" s="46"/>
      <c r="JTZ154" s="44"/>
      <c r="JUA154" s="7"/>
      <c r="JUB154" s="51"/>
      <c r="JUC154" s="52"/>
      <c r="JUD154" s="53"/>
      <c r="JUE154" s="54"/>
      <c r="JUF154" s="52"/>
      <c r="JUG154" s="53"/>
      <c r="JUH154" s="54"/>
      <c r="JUI154" s="52"/>
      <c r="JUJ154" s="53"/>
      <c r="JUK154" s="8"/>
      <c r="JUL154" s="45"/>
      <c r="JUM154" s="45"/>
      <c r="JUN154" s="46"/>
      <c r="JUO154" s="44"/>
      <c r="JUP154" s="7"/>
      <c r="JUQ154" s="51"/>
      <c r="JUR154" s="52"/>
      <c r="JUS154" s="53"/>
      <c r="JUT154" s="54"/>
      <c r="JUU154" s="52"/>
      <c r="JUV154" s="53"/>
      <c r="JUW154" s="54"/>
      <c r="JUX154" s="52"/>
      <c r="JUY154" s="53"/>
      <c r="JUZ154" s="8"/>
      <c r="JVA154" s="45"/>
      <c r="JVB154" s="45"/>
      <c r="JVC154" s="46"/>
      <c r="JVD154" s="44"/>
      <c r="JVE154" s="7"/>
      <c r="JVF154" s="51"/>
      <c r="JVG154" s="52"/>
      <c r="JVH154" s="53"/>
      <c r="JVI154" s="54"/>
      <c r="JVJ154" s="52"/>
      <c r="JVK154" s="53"/>
      <c r="JVL154" s="54"/>
      <c r="JVM154" s="52"/>
      <c r="JVN154" s="53"/>
      <c r="JVO154" s="8"/>
      <c r="JVP154" s="45"/>
      <c r="JVQ154" s="45"/>
      <c r="JVR154" s="46"/>
      <c r="JVS154" s="44"/>
      <c r="JVT154" s="7"/>
      <c r="JVU154" s="51"/>
      <c r="JVV154" s="52"/>
      <c r="JVW154" s="53"/>
      <c r="JVX154" s="54"/>
      <c r="JVY154" s="52"/>
      <c r="JVZ154" s="53"/>
      <c r="JWA154" s="54"/>
      <c r="JWB154" s="52"/>
      <c r="JWC154" s="53"/>
      <c r="JWD154" s="8"/>
      <c r="JWE154" s="45"/>
      <c r="JWF154" s="45"/>
      <c r="JWG154" s="46"/>
      <c r="JWH154" s="44"/>
      <c r="JWI154" s="7"/>
      <c r="JWJ154" s="51"/>
      <c r="JWK154" s="52"/>
      <c r="JWL154" s="53"/>
      <c r="JWM154" s="54"/>
      <c r="JWN154" s="52"/>
      <c r="JWO154" s="53"/>
      <c r="JWP154" s="54"/>
      <c r="JWQ154" s="52"/>
      <c r="JWR154" s="53"/>
      <c r="JWS154" s="8"/>
      <c r="JWT154" s="45"/>
      <c r="JWU154" s="45"/>
      <c r="JWV154" s="46"/>
      <c r="JWW154" s="44"/>
      <c r="JWX154" s="7"/>
      <c r="JWY154" s="51"/>
      <c r="JWZ154" s="52"/>
      <c r="JXA154" s="53"/>
      <c r="JXB154" s="54"/>
      <c r="JXC154" s="52"/>
      <c r="JXD154" s="53"/>
      <c r="JXE154" s="54"/>
      <c r="JXF154" s="52"/>
      <c r="JXG154" s="53"/>
      <c r="JXH154" s="8"/>
      <c r="JXI154" s="45"/>
      <c r="JXJ154" s="45"/>
      <c r="JXK154" s="46"/>
      <c r="JXL154" s="44"/>
      <c r="JXM154" s="7"/>
      <c r="JXN154" s="51"/>
      <c r="JXO154" s="52"/>
      <c r="JXP154" s="53"/>
      <c r="JXQ154" s="54"/>
      <c r="JXR154" s="52"/>
      <c r="JXS154" s="53"/>
      <c r="JXT154" s="54"/>
      <c r="JXU154" s="52"/>
      <c r="JXV154" s="53"/>
      <c r="JXW154" s="8"/>
      <c r="JXX154" s="45"/>
      <c r="JXY154" s="45"/>
      <c r="JXZ154" s="46"/>
      <c r="JYA154" s="44"/>
      <c r="JYB154" s="7"/>
      <c r="JYC154" s="51"/>
      <c r="JYD154" s="52"/>
      <c r="JYE154" s="53"/>
      <c r="JYF154" s="54"/>
      <c r="JYG154" s="52"/>
      <c r="JYH154" s="53"/>
      <c r="JYI154" s="54"/>
      <c r="JYJ154" s="52"/>
      <c r="JYK154" s="53"/>
      <c r="JYL154" s="8"/>
      <c r="JYM154" s="45"/>
      <c r="JYN154" s="45"/>
      <c r="JYO154" s="46"/>
      <c r="JYP154" s="44"/>
      <c r="JYQ154" s="7"/>
      <c r="JYR154" s="51"/>
      <c r="JYS154" s="52"/>
      <c r="JYT154" s="53"/>
      <c r="JYU154" s="54"/>
      <c r="JYV154" s="52"/>
      <c r="JYW154" s="53"/>
      <c r="JYX154" s="54"/>
      <c r="JYY154" s="52"/>
      <c r="JYZ154" s="53"/>
      <c r="JZA154" s="8"/>
      <c r="JZB154" s="45"/>
      <c r="JZC154" s="45"/>
      <c r="JZD154" s="46"/>
      <c r="JZE154" s="44"/>
      <c r="JZF154" s="7"/>
      <c r="JZG154" s="51"/>
      <c r="JZH154" s="52"/>
      <c r="JZI154" s="53"/>
      <c r="JZJ154" s="54"/>
      <c r="JZK154" s="52"/>
      <c r="JZL154" s="53"/>
      <c r="JZM154" s="54"/>
      <c r="JZN154" s="52"/>
      <c r="JZO154" s="53"/>
      <c r="JZP154" s="8"/>
      <c r="JZQ154" s="45"/>
      <c r="JZR154" s="45"/>
      <c r="JZS154" s="46"/>
      <c r="JZT154" s="44"/>
      <c r="JZU154" s="7"/>
      <c r="JZV154" s="51"/>
      <c r="JZW154" s="52"/>
      <c r="JZX154" s="53"/>
      <c r="JZY154" s="54"/>
      <c r="JZZ154" s="52"/>
      <c r="KAA154" s="53"/>
      <c r="KAB154" s="54"/>
      <c r="KAC154" s="52"/>
      <c r="KAD154" s="53"/>
      <c r="KAE154" s="8"/>
      <c r="KAF154" s="45"/>
      <c r="KAG154" s="45"/>
      <c r="KAH154" s="46"/>
      <c r="KAI154" s="44"/>
      <c r="KAJ154" s="7"/>
      <c r="KAK154" s="51"/>
      <c r="KAL154" s="52"/>
      <c r="KAM154" s="53"/>
      <c r="KAN154" s="54"/>
      <c r="KAO154" s="52"/>
      <c r="KAP154" s="53"/>
      <c r="KAQ154" s="54"/>
      <c r="KAR154" s="52"/>
      <c r="KAS154" s="53"/>
      <c r="KAT154" s="8"/>
      <c r="KAU154" s="45"/>
      <c r="KAV154" s="45"/>
      <c r="KAW154" s="46"/>
      <c r="KAX154" s="44"/>
      <c r="KAY154" s="7"/>
      <c r="KAZ154" s="51"/>
      <c r="KBA154" s="52"/>
      <c r="KBB154" s="53"/>
      <c r="KBC154" s="54"/>
      <c r="KBD154" s="52"/>
      <c r="KBE154" s="53"/>
      <c r="KBF154" s="54"/>
      <c r="KBG154" s="52"/>
      <c r="KBH154" s="53"/>
      <c r="KBI154" s="8"/>
      <c r="KBJ154" s="45"/>
      <c r="KBK154" s="45"/>
      <c r="KBL154" s="46"/>
      <c r="KBM154" s="44"/>
      <c r="KBN154" s="7"/>
      <c r="KBO154" s="51"/>
      <c r="KBP154" s="52"/>
      <c r="KBQ154" s="53"/>
      <c r="KBR154" s="54"/>
      <c r="KBS154" s="52"/>
      <c r="KBT154" s="53"/>
      <c r="KBU154" s="54"/>
      <c r="KBV154" s="52"/>
      <c r="KBW154" s="53"/>
      <c r="KBX154" s="8"/>
      <c r="KBY154" s="45"/>
      <c r="KBZ154" s="45"/>
      <c r="KCA154" s="46"/>
      <c r="KCB154" s="44"/>
      <c r="KCC154" s="7"/>
      <c r="KCD154" s="51"/>
      <c r="KCE154" s="52"/>
      <c r="KCF154" s="53"/>
      <c r="KCG154" s="54"/>
      <c r="KCH154" s="52"/>
      <c r="KCI154" s="53"/>
      <c r="KCJ154" s="54"/>
      <c r="KCK154" s="52"/>
      <c r="KCL154" s="53"/>
      <c r="KCM154" s="8"/>
      <c r="KCN154" s="45"/>
      <c r="KCO154" s="45"/>
      <c r="KCP154" s="46"/>
      <c r="KCQ154" s="44"/>
      <c r="KCR154" s="7"/>
      <c r="KCS154" s="51"/>
      <c r="KCT154" s="52"/>
      <c r="KCU154" s="53"/>
      <c r="KCV154" s="54"/>
      <c r="KCW154" s="52"/>
      <c r="KCX154" s="53"/>
      <c r="KCY154" s="54"/>
      <c r="KCZ154" s="52"/>
      <c r="KDA154" s="53"/>
      <c r="KDB154" s="8"/>
      <c r="KDC154" s="45"/>
      <c r="KDD154" s="45"/>
      <c r="KDE154" s="46"/>
      <c r="KDF154" s="44"/>
      <c r="KDG154" s="7"/>
      <c r="KDH154" s="51"/>
      <c r="KDI154" s="52"/>
      <c r="KDJ154" s="53"/>
      <c r="KDK154" s="54"/>
      <c r="KDL154" s="52"/>
      <c r="KDM154" s="53"/>
      <c r="KDN154" s="54"/>
      <c r="KDO154" s="52"/>
      <c r="KDP154" s="53"/>
      <c r="KDQ154" s="8"/>
      <c r="KDR154" s="45"/>
      <c r="KDS154" s="45"/>
      <c r="KDT154" s="46"/>
      <c r="KDU154" s="44"/>
      <c r="KDV154" s="7"/>
      <c r="KDW154" s="51"/>
      <c r="KDX154" s="52"/>
      <c r="KDY154" s="53"/>
      <c r="KDZ154" s="54"/>
      <c r="KEA154" s="52"/>
      <c r="KEB154" s="53"/>
      <c r="KEC154" s="54"/>
      <c r="KED154" s="52"/>
      <c r="KEE154" s="53"/>
      <c r="KEF154" s="8"/>
      <c r="KEG154" s="45"/>
      <c r="KEH154" s="45"/>
      <c r="KEI154" s="46"/>
      <c r="KEJ154" s="44"/>
      <c r="KEK154" s="7"/>
      <c r="KEL154" s="51"/>
      <c r="KEM154" s="52"/>
      <c r="KEN154" s="53"/>
      <c r="KEO154" s="54"/>
      <c r="KEP154" s="52"/>
      <c r="KEQ154" s="53"/>
      <c r="KER154" s="54"/>
      <c r="KES154" s="52"/>
      <c r="KET154" s="53"/>
      <c r="KEU154" s="8"/>
      <c r="KEV154" s="45"/>
      <c r="KEW154" s="45"/>
      <c r="KEX154" s="46"/>
      <c r="KEY154" s="44"/>
      <c r="KEZ154" s="7"/>
      <c r="KFA154" s="51"/>
      <c r="KFB154" s="52"/>
      <c r="KFC154" s="53"/>
      <c r="KFD154" s="54"/>
      <c r="KFE154" s="52"/>
      <c r="KFF154" s="53"/>
      <c r="KFG154" s="54"/>
      <c r="KFH154" s="52"/>
      <c r="KFI154" s="53"/>
      <c r="KFJ154" s="8"/>
      <c r="KFK154" s="45"/>
      <c r="KFL154" s="45"/>
      <c r="KFM154" s="46"/>
      <c r="KFN154" s="44"/>
      <c r="KFO154" s="7"/>
      <c r="KFP154" s="51"/>
      <c r="KFQ154" s="52"/>
      <c r="KFR154" s="53"/>
      <c r="KFS154" s="54"/>
      <c r="KFT154" s="52"/>
      <c r="KFU154" s="53"/>
      <c r="KFV154" s="54"/>
      <c r="KFW154" s="52"/>
      <c r="KFX154" s="53"/>
      <c r="KFY154" s="8"/>
      <c r="KFZ154" s="45"/>
      <c r="KGA154" s="45"/>
      <c r="KGB154" s="46"/>
      <c r="KGC154" s="44"/>
      <c r="KGD154" s="7"/>
      <c r="KGE154" s="51"/>
      <c r="KGF154" s="52"/>
      <c r="KGG154" s="53"/>
      <c r="KGH154" s="54"/>
      <c r="KGI154" s="52"/>
      <c r="KGJ154" s="53"/>
      <c r="KGK154" s="54"/>
      <c r="KGL154" s="52"/>
      <c r="KGM154" s="53"/>
      <c r="KGN154" s="8"/>
      <c r="KGO154" s="45"/>
      <c r="KGP154" s="45"/>
      <c r="KGQ154" s="46"/>
      <c r="KGR154" s="44"/>
      <c r="KGS154" s="7"/>
      <c r="KGT154" s="51"/>
      <c r="KGU154" s="52"/>
      <c r="KGV154" s="53"/>
      <c r="KGW154" s="54"/>
      <c r="KGX154" s="52"/>
      <c r="KGY154" s="53"/>
      <c r="KGZ154" s="54"/>
      <c r="KHA154" s="52"/>
      <c r="KHB154" s="53"/>
      <c r="KHC154" s="8"/>
      <c r="KHD154" s="45"/>
      <c r="KHE154" s="45"/>
      <c r="KHF154" s="46"/>
      <c r="KHG154" s="44"/>
      <c r="KHH154" s="7"/>
      <c r="KHI154" s="51"/>
      <c r="KHJ154" s="52"/>
      <c r="KHK154" s="53"/>
      <c r="KHL154" s="54"/>
      <c r="KHM154" s="52"/>
      <c r="KHN154" s="53"/>
      <c r="KHO154" s="54"/>
      <c r="KHP154" s="52"/>
      <c r="KHQ154" s="53"/>
      <c r="KHR154" s="8"/>
      <c r="KHS154" s="45"/>
      <c r="KHT154" s="45"/>
      <c r="KHU154" s="46"/>
      <c r="KHV154" s="44"/>
      <c r="KHW154" s="7"/>
      <c r="KHX154" s="51"/>
      <c r="KHY154" s="52"/>
      <c r="KHZ154" s="53"/>
      <c r="KIA154" s="54"/>
      <c r="KIB154" s="52"/>
      <c r="KIC154" s="53"/>
      <c r="KID154" s="54"/>
      <c r="KIE154" s="52"/>
      <c r="KIF154" s="53"/>
      <c r="KIG154" s="8"/>
      <c r="KIH154" s="45"/>
      <c r="KII154" s="45"/>
      <c r="KIJ154" s="46"/>
      <c r="KIK154" s="44"/>
      <c r="KIL154" s="7"/>
      <c r="KIM154" s="51"/>
      <c r="KIN154" s="52"/>
      <c r="KIO154" s="53"/>
      <c r="KIP154" s="54"/>
      <c r="KIQ154" s="52"/>
      <c r="KIR154" s="53"/>
      <c r="KIS154" s="54"/>
      <c r="KIT154" s="52"/>
      <c r="KIU154" s="53"/>
      <c r="KIV154" s="8"/>
      <c r="KIW154" s="45"/>
      <c r="KIX154" s="45"/>
      <c r="KIY154" s="46"/>
      <c r="KIZ154" s="44"/>
      <c r="KJA154" s="7"/>
      <c r="KJB154" s="51"/>
      <c r="KJC154" s="52"/>
      <c r="KJD154" s="53"/>
      <c r="KJE154" s="54"/>
      <c r="KJF154" s="52"/>
      <c r="KJG154" s="53"/>
      <c r="KJH154" s="54"/>
      <c r="KJI154" s="52"/>
      <c r="KJJ154" s="53"/>
      <c r="KJK154" s="8"/>
      <c r="KJL154" s="45"/>
      <c r="KJM154" s="45"/>
      <c r="KJN154" s="46"/>
      <c r="KJO154" s="44"/>
      <c r="KJP154" s="7"/>
      <c r="KJQ154" s="51"/>
      <c r="KJR154" s="52"/>
      <c r="KJS154" s="53"/>
      <c r="KJT154" s="54"/>
      <c r="KJU154" s="52"/>
      <c r="KJV154" s="53"/>
      <c r="KJW154" s="54"/>
      <c r="KJX154" s="52"/>
      <c r="KJY154" s="53"/>
      <c r="KJZ154" s="8"/>
      <c r="KKA154" s="45"/>
      <c r="KKB154" s="45"/>
      <c r="KKC154" s="46"/>
      <c r="KKD154" s="44"/>
      <c r="KKE154" s="7"/>
      <c r="KKF154" s="51"/>
      <c r="KKG154" s="52"/>
      <c r="KKH154" s="53"/>
      <c r="KKI154" s="54"/>
      <c r="KKJ154" s="52"/>
      <c r="KKK154" s="53"/>
      <c r="KKL154" s="54"/>
      <c r="KKM154" s="52"/>
      <c r="KKN154" s="53"/>
      <c r="KKO154" s="8"/>
      <c r="KKP154" s="45"/>
      <c r="KKQ154" s="45"/>
      <c r="KKR154" s="46"/>
      <c r="KKS154" s="44"/>
      <c r="KKT154" s="7"/>
      <c r="KKU154" s="51"/>
      <c r="KKV154" s="52"/>
      <c r="KKW154" s="53"/>
      <c r="KKX154" s="54"/>
      <c r="KKY154" s="52"/>
      <c r="KKZ154" s="53"/>
      <c r="KLA154" s="54"/>
      <c r="KLB154" s="52"/>
      <c r="KLC154" s="53"/>
      <c r="KLD154" s="8"/>
      <c r="KLE154" s="45"/>
      <c r="KLF154" s="45"/>
      <c r="KLG154" s="46"/>
      <c r="KLH154" s="44"/>
      <c r="KLI154" s="7"/>
      <c r="KLJ154" s="51"/>
      <c r="KLK154" s="52"/>
      <c r="KLL154" s="53"/>
      <c r="KLM154" s="54"/>
      <c r="KLN154" s="52"/>
      <c r="KLO154" s="53"/>
      <c r="KLP154" s="54"/>
      <c r="KLQ154" s="52"/>
      <c r="KLR154" s="53"/>
      <c r="KLS154" s="8"/>
      <c r="KLT154" s="45"/>
      <c r="KLU154" s="45"/>
      <c r="KLV154" s="46"/>
      <c r="KLW154" s="44"/>
      <c r="KLX154" s="7"/>
      <c r="KLY154" s="51"/>
      <c r="KLZ154" s="52"/>
      <c r="KMA154" s="53"/>
      <c r="KMB154" s="54"/>
      <c r="KMC154" s="52"/>
      <c r="KMD154" s="53"/>
      <c r="KME154" s="54"/>
      <c r="KMF154" s="52"/>
      <c r="KMG154" s="53"/>
      <c r="KMH154" s="8"/>
      <c r="KMI154" s="45"/>
      <c r="KMJ154" s="45"/>
      <c r="KMK154" s="46"/>
      <c r="KML154" s="44"/>
      <c r="KMM154" s="7"/>
      <c r="KMN154" s="51"/>
      <c r="KMO154" s="52"/>
      <c r="KMP154" s="53"/>
      <c r="KMQ154" s="54"/>
      <c r="KMR154" s="52"/>
      <c r="KMS154" s="53"/>
      <c r="KMT154" s="54"/>
      <c r="KMU154" s="52"/>
      <c r="KMV154" s="53"/>
      <c r="KMW154" s="8"/>
      <c r="KMX154" s="45"/>
      <c r="KMY154" s="45"/>
      <c r="KMZ154" s="46"/>
      <c r="KNA154" s="44"/>
      <c r="KNB154" s="7"/>
      <c r="KNC154" s="51"/>
      <c r="KND154" s="52"/>
      <c r="KNE154" s="53"/>
      <c r="KNF154" s="54"/>
      <c r="KNG154" s="52"/>
      <c r="KNH154" s="53"/>
      <c r="KNI154" s="54"/>
      <c r="KNJ154" s="52"/>
      <c r="KNK154" s="53"/>
      <c r="KNL154" s="8"/>
      <c r="KNM154" s="45"/>
      <c r="KNN154" s="45"/>
      <c r="KNO154" s="46"/>
      <c r="KNP154" s="44"/>
      <c r="KNQ154" s="7"/>
      <c r="KNR154" s="51"/>
      <c r="KNS154" s="52"/>
      <c r="KNT154" s="53"/>
      <c r="KNU154" s="54"/>
      <c r="KNV154" s="52"/>
      <c r="KNW154" s="53"/>
      <c r="KNX154" s="54"/>
      <c r="KNY154" s="52"/>
      <c r="KNZ154" s="53"/>
      <c r="KOA154" s="8"/>
      <c r="KOB154" s="45"/>
      <c r="KOC154" s="45"/>
      <c r="KOD154" s="46"/>
      <c r="KOE154" s="44"/>
      <c r="KOF154" s="7"/>
      <c r="KOG154" s="51"/>
      <c r="KOH154" s="52"/>
      <c r="KOI154" s="53"/>
      <c r="KOJ154" s="54"/>
      <c r="KOK154" s="52"/>
      <c r="KOL154" s="53"/>
      <c r="KOM154" s="54"/>
      <c r="KON154" s="52"/>
      <c r="KOO154" s="53"/>
      <c r="KOP154" s="8"/>
      <c r="KOQ154" s="45"/>
      <c r="KOR154" s="45"/>
      <c r="KOS154" s="46"/>
      <c r="KOT154" s="44"/>
      <c r="KOU154" s="7"/>
      <c r="KOV154" s="51"/>
      <c r="KOW154" s="52"/>
      <c r="KOX154" s="53"/>
      <c r="KOY154" s="54"/>
      <c r="KOZ154" s="52"/>
      <c r="KPA154" s="53"/>
      <c r="KPB154" s="54"/>
      <c r="KPC154" s="52"/>
      <c r="KPD154" s="53"/>
      <c r="KPE154" s="8"/>
      <c r="KPF154" s="45"/>
      <c r="KPG154" s="45"/>
      <c r="KPH154" s="46"/>
      <c r="KPI154" s="44"/>
      <c r="KPJ154" s="7"/>
      <c r="KPK154" s="51"/>
      <c r="KPL154" s="52"/>
      <c r="KPM154" s="53"/>
      <c r="KPN154" s="54"/>
      <c r="KPO154" s="52"/>
      <c r="KPP154" s="53"/>
      <c r="KPQ154" s="54"/>
      <c r="KPR154" s="52"/>
      <c r="KPS154" s="53"/>
      <c r="KPT154" s="8"/>
      <c r="KPU154" s="45"/>
      <c r="KPV154" s="45"/>
      <c r="KPW154" s="46"/>
      <c r="KPX154" s="44"/>
      <c r="KPY154" s="7"/>
      <c r="KPZ154" s="51"/>
      <c r="KQA154" s="52"/>
      <c r="KQB154" s="53"/>
      <c r="KQC154" s="54"/>
      <c r="KQD154" s="52"/>
      <c r="KQE154" s="53"/>
      <c r="KQF154" s="54"/>
      <c r="KQG154" s="52"/>
      <c r="KQH154" s="53"/>
      <c r="KQI154" s="8"/>
      <c r="KQJ154" s="45"/>
      <c r="KQK154" s="45"/>
      <c r="KQL154" s="46"/>
      <c r="KQM154" s="44"/>
      <c r="KQN154" s="7"/>
      <c r="KQO154" s="51"/>
      <c r="KQP154" s="52"/>
      <c r="KQQ154" s="53"/>
      <c r="KQR154" s="54"/>
      <c r="KQS154" s="52"/>
      <c r="KQT154" s="53"/>
      <c r="KQU154" s="54"/>
      <c r="KQV154" s="52"/>
      <c r="KQW154" s="53"/>
      <c r="KQX154" s="8"/>
      <c r="KQY154" s="45"/>
      <c r="KQZ154" s="45"/>
      <c r="KRA154" s="46"/>
      <c r="KRB154" s="44"/>
      <c r="KRC154" s="7"/>
      <c r="KRD154" s="51"/>
      <c r="KRE154" s="52"/>
      <c r="KRF154" s="53"/>
      <c r="KRG154" s="54"/>
      <c r="KRH154" s="52"/>
      <c r="KRI154" s="53"/>
      <c r="KRJ154" s="54"/>
      <c r="KRK154" s="52"/>
      <c r="KRL154" s="53"/>
      <c r="KRM154" s="8"/>
      <c r="KRN154" s="45"/>
      <c r="KRO154" s="45"/>
      <c r="KRP154" s="46"/>
      <c r="KRQ154" s="44"/>
      <c r="KRR154" s="7"/>
      <c r="KRS154" s="51"/>
      <c r="KRT154" s="52"/>
      <c r="KRU154" s="53"/>
      <c r="KRV154" s="54"/>
      <c r="KRW154" s="52"/>
      <c r="KRX154" s="53"/>
      <c r="KRY154" s="54"/>
      <c r="KRZ154" s="52"/>
      <c r="KSA154" s="53"/>
      <c r="KSB154" s="8"/>
      <c r="KSC154" s="45"/>
      <c r="KSD154" s="45"/>
      <c r="KSE154" s="46"/>
      <c r="KSF154" s="44"/>
      <c r="KSG154" s="7"/>
      <c r="KSH154" s="51"/>
      <c r="KSI154" s="52"/>
      <c r="KSJ154" s="53"/>
      <c r="KSK154" s="54"/>
      <c r="KSL154" s="52"/>
      <c r="KSM154" s="53"/>
      <c r="KSN154" s="54"/>
      <c r="KSO154" s="52"/>
      <c r="KSP154" s="53"/>
      <c r="KSQ154" s="8"/>
      <c r="KSR154" s="45"/>
      <c r="KSS154" s="45"/>
      <c r="KST154" s="46"/>
      <c r="KSU154" s="44"/>
      <c r="KSV154" s="7"/>
      <c r="KSW154" s="51"/>
      <c r="KSX154" s="52"/>
      <c r="KSY154" s="53"/>
      <c r="KSZ154" s="54"/>
      <c r="KTA154" s="52"/>
      <c r="KTB154" s="53"/>
      <c r="KTC154" s="54"/>
      <c r="KTD154" s="52"/>
      <c r="KTE154" s="53"/>
      <c r="KTF154" s="8"/>
      <c r="KTG154" s="45"/>
      <c r="KTH154" s="45"/>
      <c r="KTI154" s="46"/>
      <c r="KTJ154" s="44"/>
      <c r="KTK154" s="7"/>
      <c r="KTL154" s="51"/>
      <c r="KTM154" s="52"/>
      <c r="KTN154" s="53"/>
      <c r="KTO154" s="54"/>
      <c r="KTP154" s="52"/>
      <c r="KTQ154" s="53"/>
      <c r="KTR154" s="54"/>
      <c r="KTS154" s="52"/>
      <c r="KTT154" s="53"/>
      <c r="KTU154" s="8"/>
      <c r="KTV154" s="45"/>
      <c r="KTW154" s="45"/>
      <c r="KTX154" s="46"/>
      <c r="KTY154" s="44"/>
      <c r="KTZ154" s="7"/>
      <c r="KUA154" s="51"/>
      <c r="KUB154" s="52"/>
      <c r="KUC154" s="53"/>
      <c r="KUD154" s="54"/>
      <c r="KUE154" s="52"/>
      <c r="KUF154" s="53"/>
      <c r="KUG154" s="54"/>
      <c r="KUH154" s="52"/>
      <c r="KUI154" s="53"/>
      <c r="KUJ154" s="8"/>
      <c r="KUK154" s="45"/>
      <c r="KUL154" s="45"/>
      <c r="KUM154" s="46"/>
      <c r="KUN154" s="44"/>
      <c r="KUO154" s="7"/>
      <c r="KUP154" s="51"/>
      <c r="KUQ154" s="52"/>
      <c r="KUR154" s="53"/>
      <c r="KUS154" s="54"/>
      <c r="KUT154" s="52"/>
      <c r="KUU154" s="53"/>
      <c r="KUV154" s="54"/>
      <c r="KUW154" s="52"/>
      <c r="KUX154" s="53"/>
      <c r="KUY154" s="8"/>
      <c r="KUZ154" s="45"/>
      <c r="KVA154" s="45"/>
      <c r="KVB154" s="46"/>
      <c r="KVC154" s="44"/>
      <c r="KVD154" s="7"/>
      <c r="KVE154" s="51"/>
      <c r="KVF154" s="52"/>
      <c r="KVG154" s="53"/>
      <c r="KVH154" s="54"/>
      <c r="KVI154" s="52"/>
      <c r="KVJ154" s="53"/>
      <c r="KVK154" s="54"/>
      <c r="KVL154" s="52"/>
      <c r="KVM154" s="53"/>
      <c r="KVN154" s="8"/>
      <c r="KVO154" s="45"/>
      <c r="KVP154" s="45"/>
      <c r="KVQ154" s="46"/>
      <c r="KVR154" s="44"/>
      <c r="KVS154" s="7"/>
      <c r="KVT154" s="51"/>
      <c r="KVU154" s="52"/>
      <c r="KVV154" s="53"/>
      <c r="KVW154" s="54"/>
      <c r="KVX154" s="52"/>
      <c r="KVY154" s="53"/>
      <c r="KVZ154" s="54"/>
      <c r="KWA154" s="52"/>
      <c r="KWB154" s="53"/>
      <c r="KWC154" s="8"/>
      <c r="KWD154" s="45"/>
      <c r="KWE154" s="45"/>
      <c r="KWF154" s="46"/>
      <c r="KWG154" s="44"/>
      <c r="KWH154" s="7"/>
      <c r="KWI154" s="51"/>
      <c r="KWJ154" s="52"/>
      <c r="KWK154" s="53"/>
      <c r="KWL154" s="54"/>
      <c r="KWM154" s="52"/>
      <c r="KWN154" s="53"/>
      <c r="KWO154" s="54"/>
      <c r="KWP154" s="52"/>
      <c r="KWQ154" s="53"/>
      <c r="KWR154" s="8"/>
      <c r="KWS154" s="45"/>
      <c r="KWT154" s="45"/>
      <c r="KWU154" s="46"/>
      <c r="KWV154" s="44"/>
      <c r="KWW154" s="7"/>
      <c r="KWX154" s="51"/>
      <c r="KWY154" s="52"/>
      <c r="KWZ154" s="53"/>
      <c r="KXA154" s="54"/>
      <c r="KXB154" s="52"/>
      <c r="KXC154" s="53"/>
      <c r="KXD154" s="54"/>
      <c r="KXE154" s="52"/>
      <c r="KXF154" s="53"/>
      <c r="KXG154" s="8"/>
      <c r="KXH154" s="45"/>
      <c r="KXI154" s="45"/>
      <c r="KXJ154" s="46"/>
      <c r="KXK154" s="44"/>
      <c r="KXL154" s="7"/>
      <c r="KXM154" s="51"/>
      <c r="KXN154" s="52"/>
      <c r="KXO154" s="53"/>
      <c r="KXP154" s="54"/>
      <c r="KXQ154" s="52"/>
      <c r="KXR154" s="53"/>
      <c r="KXS154" s="54"/>
      <c r="KXT154" s="52"/>
      <c r="KXU154" s="53"/>
      <c r="KXV154" s="8"/>
      <c r="KXW154" s="45"/>
      <c r="KXX154" s="45"/>
      <c r="KXY154" s="46"/>
      <c r="KXZ154" s="44"/>
      <c r="KYA154" s="7"/>
      <c r="KYB154" s="51"/>
      <c r="KYC154" s="52"/>
      <c r="KYD154" s="53"/>
      <c r="KYE154" s="54"/>
      <c r="KYF154" s="52"/>
      <c r="KYG154" s="53"/>
      <c r="KYH154" s="54"/>
      <c r="KYI154" s="52"/>
      <c r="KYJ154" s="53"/>
      <c r="KYK154" s="8"/>
      <c r="KYL154" s="45"/>
      <c r="KYM154" s="45"/>
      <c r="KYN154" s="46"/>
      <c r="KYO154" s="44"/>
      <c r="KYP154" s="7"/>
      <c r="KYQ154" s="51"/>
      <c r="KYR154" s="52"/>
      <c r="KYS154" s="53"/>
      <c r="KYT154" s="54"/>
      <c r="KYU154" s="52"/>
      <c r="KYV154" s="53"/>
      <c r="KYW154" s="54"/>
      <c r="KYX154" s="52"/>
      <c r="KYY154" s="53"/>
      <c r="KYZ154" s="8"/>
      <c r="KZA154" s="45"/>
      <c r="KZB154" s="45"/>
      <c r="KZC154" s="46"/>
      <c r="KZD154" s="44"/>
      <c r="KZE154" s="7"/>
      <c r="KZF154" s="51"/>
      <c r="KZG154" s="52"/>
      <c r="KZH154" s="53"/>
      <c r="KZI154" s="54"/>
      <c r="KZJ154" s="52"/>
      <c r="KZK154" s="53"/>
      <c r="KZL154" s="54"/>
      <c r="KZM154" s="52"/>
      <c r="KZN154" s="53"/>
      <c r="KZO154" s="8"/>
      <c r="KZP154" s="45"/>
      <c r="KZQ154" s="45"/>
      <c r="KZR154" s="46"/>
      <c r="KZS154" s="44"/>
      <c r="KZT154" s="7"/>
      <c r="KZU154" s="51"/>
      <c r="KZV154" s="52"/>
      <c r="KZW154" s="53"/>
      <c r="KZX154" s="54"/>
      <c r="KZY154" s="52"/>
      <c r="KZZ154" s="53"/>
      <c r="LAA154" s="54"/>
      <c r="LAB154" s="52"/>
      <c r="LAC154" s="53"/>
      <c r="LAD154" s="8"/>
      <c r="LAE154" s="45"/>
      <c r="LAF154" s="45"/>
      <c r="LAG154" s="46"/>
      <c r="LAH154" s="44"/>
      <c r="LAI154" s="7"/>
      <c r="LAJ154" s="51"/>
      <c r="LAK154" s="52"/>
      <c r="LAL154" s="53"/>
      <c r="LAM154" s="54"/>
      <c r="LAN154" s="52"/>
      <c r="LAO154" s="53"/>
      <c r="LAP154" s="54"/>
      <c r="LAQ154" s="52"/>
      <c r="LAR154" s="53"/>
      <c r="LAS154" s="8"/>
      <c r="LAT154" s="45"/>
      <c r="LAU154" s="45"/>
      <c r="LAV154" s="46"/>
      <c r="LAW154" s="44"/>
      <c r="LAX154" s="7"/>
      <c r="LAY154" s="51"/>
      <c r="LAZ154" s="52"/>
      <c r="LBA154" s="53"/>
      <c r="LBB154" s="54"/>
      <c r="LBC154" s="52"/>
      <c r="LBD154" s="53"/>
      <c r="LBE154" s="54"/>
      <c r="LBF154" s="52"/>
      <c r="LBG154" s="53"/>
      <c r="LBH154" s="8"/>
      <c r="LBI154" s="45"/>
      <c r="LBJ154" s="45"/>
      <c r="LBK154" s="46"/>
      <c r="LBL154" s="44"/>
      <c r="LBM154" s="7"/>
      <c r="LBN154" s="51"/>
      <c r="LBO154" s="52"/>
      <c r="LBP154" s="53"/>
      <c r="LBQ154" s="54"/>
      <c r="LBR154" s="52"/>
      <c r="LBS154" s="53"/>
      <c r="LBT154" s="54"/>
      <c r="LBU154" s="52"/>
      <c r="LBV154" s="53"/>
      <c r="LBW154" s="8"/>
      <c r="LBX154" s="45"/>
      <c r="LBY154" s="45"/>
      <c r="LBZ154" s="46"/>
      <c r="LCA154" s="44"/>
      <c r="LCB154" s="7"/>
      <c r="LCC154" s="51"/>
      <c r="LCD154" s="52"/>
      <c r="LCE154" s="53"/>
      <c r="LCF154" s="54"/>
      <c r="LCG154" s="52"/>
      <c r="LCH154" s="53"/>
      <c r="LCI154" s="54"/>
      <c r="LCJ154" s="52"/>
      <c r="LCK154" s="53"/>
      <c r="LCL154" s="8"/>
      <c r="LCM154" s="45"/>
      <c r="LCN154" s="45"/>
      <c r="LCO154" s="46"/>
      <c r="LCP154" s="44"/>
      <c r="LCQ154" s="7"/>
      <c r="LCR154" s="51"/>
      <c r="LCS154" s="52"/>
      <c r="LCT154" s="53"/>
      <c r="LCU154" s="54"/>
      <c r="LCV154" s="52"/>
      <c r="LCW154" s="53"/>
      <c r="LCX154" s="54"/>
      <c r="LCY154" s="52"/>
      <c r="LCZ154" s="53"/>
      <c r="LDA154" s="8"/>
      <c r="LDB154" s="45"/>
      <c r="LDC154" s="45"/>
      <c r="LDD154" s="46"/>
      <c r="LDE154" s="44"/>
      <c r="LDF154" s="7"/>
      <c r="LDG154" s="51"/>
      <c r="LDH154" s="52"/>
      <c r="LDI154" s="53"/>
      <c r="LDJ154" s="54"/>
      <c r="LDK154" s="52"/>
      <c r="LDL154" s="53"/>
      <c r="LDM154" s="54"/>
      <c r="LDN154" s="52"/>
      <c r="LDO154" s="53"/>
      <c r="LDP154" s="8"/>
      <c r="LDQ154" s="45"/>
      <c r="LDR154" s="45"/>
      <c r="LDS154" s="46"/>
      <c r="LDT154" s="44"/>
      <c r="LDU154" s="7"/>
      <c r="LDV154" s="51"/>
      <c r="LDW154" s="52"/>
      <c r="LDX154" s="53"/>
      <c r="LDY154" s="54"/>
      <c r="LDZ154" s="52"/>
      <c r="LEA154" s="53"/>
      <c r="LEB154" s="54"/>
      <c r="LEC154" s="52"/>
      <c r="LED154" s="53"/>
      <c r="LEE154" s="8"/>
      <c r="LEF154" s="45"/>
      <c r="LEG154" s="45"/>
      <c r="LEH154" s="46"/>
      <c r="LEI154" s="44"/>
      <c r="LEJ154" s="7"/>
      <c r="LEK154" s="51"/>
      <c r="LEL154" s="52"/>
      <c r="LEM154" s="53"/>
      <c r="LEN154" s="54"/>
      <c r="LEO154" s="52"/>
      <c r="LEP154" s="53"/>
      <c r="LEQ154" s="54"/>
      <c r="LER154" s="52"/>
      <c r="LES154" s="53"/>
      <c r="LET154" s="8"/>
      <c r="LEU154" s="45"/>
      <c r="LEV154" s="45"/>
      <c r="LEW154" s="46"/>
      <c r="LEX154" s="44"/>
      <c r="LEY154" s="7"/>
      <c r="LEZ154" s="51"/>
      <c r="LFA154" s="52"/>
      <c r="LFB154" s="53"/>
      <c r="LFC154" s="54"/>
      <c r="LFD154" s="52"/>
      <c r="LFE154" s="53"/>
      <c r="LFF154" s="54"/>
      <c r="LFG154" s="52"/>
      <c r="LFH154" s="53"/>
      <c r="LFI154" s="8"/>
      <c r="LFJ154" s="45"/>
      <c r="LFK154" s="45"/>
      <c r="LFL154" s="46"/>
      <c r="LFM154" s="44"/>
      <c r="LFN154" s="7"/>
      <c r="LFO154" s="51"/>
      <c r="LFP154" s="52"/>
      <c r="LFQ154" s="53"/>
      <c r="LFR154" s="54"/>
      <c r="LFS154" s="52"/>
      <c r="LFT154" s="53"/>
      <c r="LFU154" s="54"/>
      <c r="LFV154" s="52"/>
      <c r="LFW154" s="53"/>
      <c r="LFX154" s="8"/>
      <c r="LFY154" s="45"/>
      <c r="LFZ154" s="45"/>
      <c r="LGA154" s="46"/>
      <c r="LGB154" s="44"/>
      <c r="LGC154" s="7"/>
      <c r="LGD154" s="51"/>
      <c r="LGE154" s="52"/>
      <c r="LGF154" s="53"/>
      <c r="LGG154" s="54"/>
      <c r="LGH154" s="52"/>
      <c r="LGI154" s="53"/>
      <c r="LGJ154" s="54"/>
      <c r="LGK154" s="52"/>
      <c r="LGL154" s="53"/>
      <c r="LGM154" s="8"/>
      <c r="LGN154" s="45"/>
      <c r="LGO154" s="45"/>
      <c r="LGP154" s="46"/>
      <c r="LGQ154" s="44"/>
      <c r="LGR154" s="7"/>
      <c r="LGS154" s="51"/>
      <c r="LGT154" s="52"/>
      <c r="LGU154" s="53"/>
      <c r="LGV154" s="54"/>
      <c r="LGW154" s="52"/>
      <c r="LGX154" s="53"/>
      <c r="LGY154" s="54"/>
      <c r="LGZ154" s="52"/>
      <c r="LHA154" s="53"/>
      <c r="LHB154" s="8"/>
      <c r="LHC154" s="45"/>
      <c r="LHD154" s="45"/>
      <c r="LHE154" s="46"/>
      <c r="LHF154" s="44"/>
      <c r="LHG154" s="7"/>
      <c r="LHH154" s="51"/>
      <c r="LHI154" s="52"/>
      <c r="LHJ154" s="53"/>
      <c r="LHK154" s="54"/>
      <c r="LHL154" s="52"/>
      <c r="LHM154" s="53"/>
      <c r="LHN154" s="54"/>
      <c r="LHO154" s="52"/>
      <c r="LHP154" s="53"/>
      <c r="LHQ154" s="8"/>
      <c r="LHR154" s="45"/>
      <c r="LHS154" s="45"/>
      <c r="LHT154" s="46"/>
      <c r="LHU154" s="44"/>
      <c r="LHV154" s="7"/>
      <c r="LHW154" s="51"/>
      <c r="LHX154" s="52"/>
      <c r="LHY154" s="53"/>
      <c r="LHZ154" s="54"/>
      <c r="LIA154" s="52"/>
      <c r="LIB154" s="53"/>
      <c r="LIC154" s="54"/>
      <c r="LID154" s="52"/>
      <c r="LIE154" s="53"/>
      <c r="LIF154" s="8"/>
      <c r="LIG154" s="45"/>
      <c r="LIH154" s="45"/>
      <c r="LII154" s="46"/>
      <c r="LIJ154" s="44"/>
      <c r="LIK154" s="7"/>
      <c r="LIL154" s="51"/>
      <c r="LIM154" s="52"/>
      <c r="LIN154" s="53"/>
      <c r="LIO154" s="54"/>
      <c r="LIP154" s="52"/>
      <c r="LIQ154" s="53"/>
      <c r="LIR154" s="54"/>
      <c r="LIS154" s="52"/>
      <c r="LIT154" s="53"/>
      <c r="LIU154" s="8"/>
      <c r="LIV154" s="45"/>
      <c r="LIW154" s="45"/>
      <c r="LIX154" s="46"/>
      <c r="LIY154" s="44"/>
      <c r="LIZ154" s="7"/>
      <c r="LJA154" s="51"/>
      <c r="LJB154" s="52"/>
      <c r="LJC154" s="53"/>
      <c r="LJD154" s="54"/>
      <c r="LJE154" s="52"/>
      <c r="LJF154" s="53"/>
      <c r="LJG154" s="54"/>
      <c r="LJH154" s="52"/>
      <c r="LJI154" s="53"/>
      <c r="LJJ154" s="8"/>
      <c r="LJK154" s="45"/>
      <c r="LJL154" s="45"/>
      <c r="LJM154" s="46"/>
      <c r="LJN154" s="44"/>
      <c r="LJO154" s="7"/>
      <c r="LJP154" s="51"/>
      <c r="LJQ154" s="52"/>
      <c r="LJR154" s="53"/>
      <c r="LJS154" s="54"/>
      <c r="LJT154" s="52"/>
      <c r="LJU154" s="53"/>
      <c r="LJV154" s="54"/>
      <c r="LJW154" s="52"/>
      <c r="LJX154" s="53"/>
      <c r="LJY154" s="8"/>
      <c r="LJZ154" s="45"/>
      <c r="LKA154" s="45"/>
      <c r="LKB154" s="46"/>
      <c r="LKC154" s="44"/>
      <c r="LKD154" s="7"/>
      <c r="LKE154" s="51"/>
      <c r="LKF154" s="52"/>
      <c r="LKG154" s="53"/>
      <c r="LKH154" s="54"/>
      <c r="LKI154" s="52"/>
      <c r="LKJ154" s="53"/>
      <c r="LKK154" s="54"/>
      <c r="LKL154" s="52"/>
      <c r="LKM154" s="53"/>
      <c r="LKN154" s="8"/>
      <c r="LKO154" s="45"/>
      <c r="LKP154" s="45"/>
      <c r="LKQ154" s="46"/>
      <c r="LKR154" s="44"/>
      <c r="LKS154" s="7"/>
      <c r="LKT154" s="51"/>
      <c r="LKU154" s="52"/>
      <c r="LKV154" s="53"/>
      <c r="LKW154" s="54"/>
      <c r="LKX154" s="52"/>
      <c r="LKY154" s="53"/>
      <c r="LKZ154" s="54"/>
      <c r="LLA154" s="52"/>
      <c r="LLB154" s="53"/>
      <c r="LLC154" s="8"/>
      <c r="LLD154" s="45"/>
      <c r="LLE154" s="45"/>
      <c r="LLF154" s="46"/>
      <c r="LLG154" s="44"/>
      <c r="LLH154" s="7"/>
      <c r="LLI154" s="51"/>
      <c r="LLJ154" s="52"/>
      <c r="LLK154" s="53"/>
      <c r="LLL154" s="54"/>
      <c r="LLM154" s="52"/>
      <c r="LLN154" s="53"/>
      <c r="LLO154" s="54"/>
      <c r="LLP154" s="52"/>
      <c r="LLQ154" s="53"/>
      <c r="LLR154" s="8"/>
      <c r="LLS154" s="45"/>
      <c r="LLT154" s="45"/>
      <c r="LLU154" s="46"/>
      <c r="LLV154" s="44"/>
      <c r="LLW154" s="7"/>
      <c r="LLX154" s="51"/>
      <c r="LLY154" s="52"/>
      <c r="LLZ154" s="53"/>
      <c r="LMA154" s="54"/>
      <c r="LMB154" s="52"/>
      <c r="LMC154" s="53"/>
      <c r="LMD154" s="54"/>
      <c r="LME154" s="52"/>
      <c r="LMF154" s="53"/>
      <c r="LMG154" s="8"/>
      <c r="LMH154" s="45"/>
      <c r="LMI154" s="45"/>
      <c r="LMJ154" s="46"/>
      <c r="LMK154" s="44"/>
      <c r="LML154" s="7"/>
      <c r="LMM154" s="51"/>
      <c r="LMN154" s="52"/>
      <c r="LMO154" s="53"/>
      <c r="LMP154" s="54"/>
      <c r="LMQ154" s="52"/>
      <c r="LMR154" s="53"/>
      <c r="LMS154" s="54"/>
      <c r="LMT154" s="52"/>
      <c r="LMU154" s="53"/>
      <c r="LMV154" s="8"/>
      <c r="LMW154" s="45"/>
      <c r="LMX154" s="45"/>
      <c r="LMY154" s="46"/>
      <c r="LMZ154" s="44"/>
      <c r="LNA154" s="7"/>
      <c r="LNB154" s="51"/>
      <c r="LNC154" s="52"/>
      <c r="LND154" s="53"/>
      <c r="LNE154" s="54"/>
      <c r="LNF154" s="52"/>
      <c r="LNG154" s="53"/>
      <c r="LNH154" s="54"/>
      <c r="LNI154" s="52"/>
      <c r="LNJ154" s="53"/>
      <c r="LNK154" s="8"/>
      <c r="LNL154" s="45"/>
      <c r="LNM154" s="45"/>
      <c r="LNN154" s="46"/>
      <c r="LNO154" s="44"/>
      <c r="LNP154" s="7"/>
      <c r="LNQ154" s="51"/>
      <c r="LNR154" s="52"/>
      <c r="LNS154" s="53"/>
      <c r="LNT154" s="54"/>
      <c r="LNU154" s="52"/>
      <c r="LNV154" s="53"/>
      <c r="LNW154" s="54"/>
      <c r="LNX154" s="52"/>
      <c r="LNY154" s="53"/>
      <c r="LNZ154" s="8"/>
      <c r="LOA154" s="45"/>
      <c r="LOB154" s="45"/>
      <c r="LOC154" s="46"/>
      <c r="LOD154" s="44"/>
      <c r="LOE154" s="7"/>
      <c r="LOF154" s="51"/>
      <c r="LOG154" s="52"/>
      <c r="LOH154" s="53"/>
      <c r="LOI154" s="54"/>
      <c r="LOJ154" s="52"/>
      <c r="LOK154" s="53"/>
      <c r="LOL154" s="54"/>
      <c r="LOM154" s="52"/>
      <c r="LON154" s="53"/>
      <c r="LOO154" s="8"/>
      <c r="LOP154" s="45"/>
      <c r="LOQ154" s="45"/>
      <c r="LOR154" s="46"/>
      <c r="LOS154" s="44"/>
      <c r="LOT154" s="7"/>
      <c r="LOU154" s="51"/>
      <c r="LOV154" s="52"/>
      <c r="LOW154" s="53"/>
      <c r="LOX154" s="54"/>
      <c r="LOY154" s="52"/>
      <c r="LOZ154" s="53"/>
      <c r="LPA154" s="54"/>
      <c r="LPB154" s="52"/>
      <c r="LPC154" s="53"/>
      <c r="LPD154" s="8"/>
      <c r="LPE154" s="45"/>
      <c r="LPF154" s="45"/>
      <c r="LPG154" s="46"/>
      <c r="LPH154" s="44"/>
      <c r="LPI154" s="7"/>
      <c r="LPJ154" s="51"/>
      <c r="LPK154" s="52"/>
      <c r="LPL154" s="53"/>
      <c r="LPM154" s="54"/>
      <c r="LPN154" s="52"/>
      <c r="LPO154" s="53"/>
      <c r="LPP154" s="54"/>
      <c r="LPQ154" s="52"/>
      <c r="LPR154" s="53"/>
      <c r="LPS154" s="8"/>
      <c r="LPT154" s="45"/>
      <c r="LPU154" s="45"/>
      <c r="LPV154" s="46"/>
      <c r="LPW154" s="44"/>
      <c r="LPX154" s="7"/>
      <c r="LPY154" s="51"/>
      <c r="LPZ154" s="52"/>
      <c r="LQA154" s="53"/>
      <c r="LQB154" s="54"/>
      <c r="LQC154" s="52"/>
      <c r="LQD154" s="53"/>
      <c r="LQE154" s="54"/>
      <c r="LQF154" s="52"/>
      <c r="LQG154" s="53"/>
      <c r="LQH154" s="8"/>
      <c r="LQI154" s="45"/>
      <c r="LQJ154" s="45"/>
      <c r="LQK154" s="46"/>
      <c r="LQL154" s="44"/>
      <c r="LQM154" s="7"/>
      <c r="LQN154" s="51"/>
      <c r="LQO154" s="52"/>
      <c r="LQP154" s="53"/>
      <c r="LQQ154" s="54"/>
      <c r="LQR154" s="52"/>
      <c r="LQS154" s="53"/>
      <c r="LQT154" s="54"/>
      <c r="LQU154" s="52"/>
      <c r="LQV154" s="53"/>
      <c r="LQW154" s="8"/>
      <c r="LQX154" s="45"/>
      <c r="LQY154" s="45"/>
      <c r="LQZ154" s="46"/>
      <c r="LRA154" s="44"/>
      <c r="LRB154" s="7"/>
      <c r="LRC154" s="51"/>
      <c r="LRD154" s="52"/>
      <c r="LRE154" s="53"/>
      <c r="LRF154" s="54"/>
      <c r="LRG154" s="52"/>
      <c r="LRH154" s="53"/>
      <c r="LRI154" s="54"/>
      <c r="LRJ154" s="52"/>
      <c r="LRK154" s="53"/>
      <c r="LRL154" s="8"/>
      <c r="LRM154" s="45"/>
      <c r="LRN154" s="45"/>
      <c r="LRO154" s="46"/>
      <c r="LRP154" s="44"/>
      <c r="LRQ154" s="7"/>
      <c r="LRR154" s="51"/>
      <c r="LRS154" s="52"/>
      <c r="LRT154" s="53"/>
      <c r="LRU154" s="54"/>
      <c r="LRV154" s="52"/>
      <c r="LRW154" s="53"/>
      <c r="LRX154" s="54"/>
      <c r="LRY154" s="52"/>
      <c r="LRZ154" s="53"/>
      <c r="LSA154" s="8"/>
      <c r="LSB154" s="45"/>
      <c r="LSC154" s="45"/>
      <c r="LSD154" s="46"/>
      <c r="LSE154" s="44"/>
      <c r="LSF154" s="7"/>
      <c r="LSG154" s="51"/>
      <c r="LSH154" s="52"/>
      <c r="LSI154" s="53"/>
      <c r="LSJ154" s="54"/>
      <c r="LSK154" s="52"/>
      <c r="LSL154" s="53"/>
      <c r="LSM154" s="54"/>
      <c r="LSN154" s="52"/>
      <c r="LSO154" s="53"/>
      <c r="LSP154" s="8"/>
      <c r="LSQ154" s="45"/>
      <c r="LSR154" s="45"/>
      <c r="LSS154" s="46"/>
      <c r="LST154" s="44"/>
      <c r="LSU154" s="7"/>
      <c r="LSV154" s="51"/>
      <c r="LSW154" s="52"/>
      <c r="LSX154" s="53"/>
      <c r="LSY154" s="54"/>
      <c r="LSZ154" s="52"/>
      <c r="LTA154" s="53"/>
      <c r="LTB154" s="54"/>
      <c r="LTC154" s="52"/>
      <c r="LTD154" s="53"/>
      <c r="LTE154" s="8"/>
      <c r="LTF154" s="45"/>
      <c r="LTG154" s="45"/>
      <c r="LTH154" s="46"/>
      <c r="LTI154" s="44"/>
      <c r="LTJ154" s="7"/>
      <c r="LTK154" s="51"/>
      <c r="LTL154" s="52"/>
      <c r="LTM154" s="53"/>
      <c r="LTN154" s="54"/>
      <c r="LTO154" s="52"/>
      <c r="LTP154" s="53"/>
      <c r="LTQ154" s="54"/>
      <c r="LTR154" s="52"/>
      <c r="LTS154" s="53"/>
      <c r="LTT154" s="8"/>
      <c r="LTU154" s="45"/>
      <c r="LTV154" s="45"/>
      <c r="LTW154" s="46"/>
      <c r="LTX154" s="44"/>
      <c r="LTY154" s="7"/>
      <c r="LTZ154" s="51"/>
      <c r="LUA154" s="52"/>
      <c r="LUB154" s="53"/>
      <c r="LUC154" s="54"/>
      <c r="LUD154" s="52"/>
      <c r="LUE154" s="53"/>
      <c r="LUF154" s="54"/>
      <c r="LUG154" s="52"/>
      <c r="LUH154" s="53"/>
      <c r="LUI154" s="8"/>
      <c r="LUJ154" s="45"/>
      <c r="LUK154" s="45"/>
      <c r="LUL154" s="46"/>
      <c r="LUM154" s="44"/>
      <c r="LUN154" s="7"/>
      <c r="LUO154" s="51"/>
      <c r="LUP154" s="52"/>
      <c r="LUQ154" s="53"/>
      <c r="LUR154" s="54"/>
      <c r="LUS154" s="52"/>
      <c r="LUT154" s="53"/>
      <c r="LUU154" s="54"/>
      <c r="LUV154" s="52"/>
      <c r="LUW154" s="53"/>
      <c r="LUX154" s="8"/>
      <c r="LUY154" s="45"/>
      <c r="LUZ154" s="45"/>
      <c r="LVA154" s="46"/>
      <c r="LVB154" s="44"/>
      <c r="LVC154" s="7"/>
      <c r="LVD154" s="51"/>
      <c r="LVE154" s="52"/>
      <c r="LVF154" s="53"/>
      <c r="LVG154" s="54"/>
      <c r="LVH154" s="52"/>
      <c r="LVI154" s="53"/>
      <c r="LVJ154" s="54"/>
      <c r="LVK154" s="52"/>
      <c r="LVL154" s="53"/>
      <c r="LVM154" s="8"/>
      <c r="LVN154" s="45"/>
      <c r="LVO154" s="45"/>
      <c r="LVP154" s="46"/>
      <c r="LVQ154" s="44"/>
      <c r="LVR154" s="7"/>
      <c r="LVS154" s="51"/>
      <c r="LVT154" s="52"/>
      <c r="LVU154" s="53"/>
      <c r="LVV154" s="54"/>
      <c r="LVW154" s="52"/>
      <c r="LVX154" s="53"/>
      <c r="LVY154" s="54"/>
      <c r="LVZ154" s="52"/>
      <c r="LWA154" s="53"/>
      <c r="LWB154" s="8"/>
      <c r="LWC154" s="45"/>
      <c r="LWD154" s="45"/>
      <c r="LWE154" s="46"/>
      <c r="LWF154" s="44"/>
      <c r="LWG154" s="7"/>
      <c r="LWH154" s="51"/>
      <c r="LWI154" s="52"/>
      <c r="LWJ154" s="53"/>
      <c r="LWK154" s="54"/>
      <c r="LWL154" s="52"/>
      <c r="LWM154" s="53"/>
      <c r="LWN154" s="54"/>
      <c r="LWO154" s="52"/>
      <c r="LWP154" s="53"/>
      <c r="LWQ154" s="8"/>
      <c r="LWR154" s="45"/>
      <c r="LWS154" s="45"/>
      <c r="LWT154" s="46"/>
      <c r="LWU154" s="44"/>
      <c r="LWV154" s="7"/>
      <c r="LWW154" s="51"/>
      <c r="LWX154" s="52"/>
      <c r="LWY154" s="53"/>
      <c r="LWZ154" s="54"/>
      <c r="LXA154" s="52"/>
      <c r="LXB154" s="53"/>
      <c r="LXC154" s="54"/>
      <c r="LXD154" s="52"/>
      <c r="LXE154" s="53"/>
      <c r="LXF154" s="8"/>
      <c r="LXG154" s="45"/>
      <c r="LXH154" s="45"/>
      <c r="LXI154" s="46"/>
      <c r="LXJ154" s="44"/>
      <c r="LXK154" s="7"/>
      <c r="LXL154" s="51"/>
      <c r="LXM154" s="52"/>
      <c r="LXN154" s="53"/>
      <c r="LXO154" s="54"/>
      <c r="LXP154" s="52"/>
      <c r="LXQ154" s="53"/>
      <c r="LXR154" s="54"/>
      <c r="LXS154" s="52"/>
      <c r="LXT154" s="53"/>
      <c r="LXU154" s="8"/>
      <c r="LXV154" s="45"/>
      <c r="LXW154" s="45"/>
      <c r="LXX154" s="46"/>
      <c r="LXY154" s="44"/>
      <c r="LXZ154" s="7"/>
      <c r="LYA154" s="51"/>
      <c r="LYB154" s="52"/>
      <c r="LYC154" s="53"/>
      <c r="LYD154" s="54"/>
      <c r="LYE154" s="52"/>
      <c r="LYF154" s="53"/>
      <c r="LYG154" s="54"/>
      <c r="LYH154" s="52"/>
      <c r="LYI154" s="53"/>
      <c r="LYJ154" s="8"/>
      <c r="LYK154" s="45"/>
      <c r="LYL154" s="45"/>
      <c r="LYM154" s="46"/>
      <c r="LYN154" s="44"/>
      <c r="LYO154" s="7"/>
      <c r="LYP154" s="51"/>
      <c r="LYQ154" s="52"/>
      <c r="LYR154" s="53"/>
      <c r="LYS154" s="54"/>
      <c r="LYT154" s="52"/>
      <c r="LYU154" s="53"/>
      <c r="LYV154" s="54"/>
      <c r="LYW154" s="52"/>
      <c r="LYX154" s="53"/>
      <c r="LYY154" s="8"/>
      <c r="LYZ154" s="45"/>
      <c r="LZA154" s="45"/>
      <c r="LZB154" s="46"/>
      <c r="LZC154" s="44"/>
      <c r="LZD154" s="7"/>
      <c r="LZE154" s="51"/>
      <c r="LZF154" s="52"/>
      <c r="LZG154" s="53"/>
      <c r="LZH154" s="54"/>
      <c r="LZI154" s="52"/>
      <c r="LZJ154" s="53"/>
      <c r="LZK154" s="54"/>
      <c r="LZL154" s="52"/>
      <c r="LZM154" s="53"/>
      <c r="LZN154" s="8"/>
      <c r="LZO154" s="45"/>
      <c r="LZP154" s="45"/>
      <c r="LZQ154" s="46"/>
      <c r="LZR154" s="44"/>
      <c r="LZS154" s="7"/>
      <c r="LZT154" s="51"/>
      <c r="LZU154" s="52"/>
      <c r="LZV154" s="53"/>
      <c r="LZW154" s="54"/>
      <c r="LZX154" s="52"/>
      <c r="LZY154" s="53"/>
      <c r="LZZ154" s="54"/>
      <c r="MAA154" s="52"/>
      <c r="MAB154" s="53"/>
      <c r="MAC154" s="8"/>
      <c r="MAD154" s="45"/>
      <c r="MAE154" s="45"/>
      <c r="MAF154" s="46"/>
      <c r="MAG154" s="44"/>
      <c r="MAH154" s="7"/>
      <c r="MAI154" s="51"/>
      <c r="MAJ154" s="52"/>
      <c r="MAK154" s="53"/>
      <c r="MAL154" s="54"/>
      <c r="MAM154" s="52"/>
      <c r="MAN154" s="53"/>
      <c r="MAO154" s="54"/>
      <c r="MAP154" s="52"/>
      <c r="MAQ154" s="53"/>
      <c r="MAR154" s="8"/>
      <c r="MAS154" s="45"/>
      <c r="MAT154" s="45"/>
      <c r="MAU154" s="46"/>
      <c r="MAV154" s="44"/>
      <c r="MAW154" s="7"/>
      <c r="MAX154" s="51"/>
      <c r="MAY154" s="52"/>
      <c r="MAZ154" s="53"/>
      <c r="MBA154" s="54"/>
      <c r="MBB154" s="52"/>
      <c r="MBC154" s="53"/>
      <c r="MBD154" s="54"/>
      <c r="MBE154" s="52"/>
      <c r="MBF154" s="53"/>
      <c r="MBG154" s="8"/>
      <c r="MBH154" s="45"/>
      <c r="MBI154" s="45"/>
      <c r="MBJ154" s="46"/>
      <c r="MBK154" s="44"/>
      <c r="MBL154" s="7"/>
      <c r="MBM154" s="51"/>
      <c r="MBN154" s="52"/>
      <c r="MBO154" s="53"/>
      <c r="MBP154" s="54"/>
      <c r="MBQ154" s="52"/>
      <c r="MBR154" s="53"/>
      <c r="MBS154" s="54"/>
      <c r="MBT154" s="52"/>
      <c r="MBU154" s="53"/>
      <c r="MBV154" s="8"/>
      <c r="MBW154" s="45"/>
      <c r="MBX154" s="45"/>
      <c r="MBY154" s="46"/>
      <c r="MBZ154" s="44"/>
      <c r="MCA154" s="7"/>
      <c r="MCB154" s="51"/>
      <c r="MCC154" s="52"/>
      <c r="MCD154" s="53"/>
      <c r="MCE154" s="54"/>
      <c r="MCF154" s="52"/>
      <c r="MCG154" s="53"/>
      <c r="MCH154" s="54"/>
      <c r="MCI154" s="52"/>
      <c r="MCJ154" s="53"/>
      <c r="MCK154" s="8"/>
      <c r="MCL154" s="45"/>
      <c r="MCM154" s="45"/>
      <c r="MCN154" s="46"/>
      <c r="MCO154" s="44"/>
      <c r="MCP154" s="7"/>
      <c r="MCQ154" s="51"/>
      <c r="MCR154" s="52"/>
      <c r="MCS154" s="53"/>
      <c r="MCT154" s="54"/>
      <c r="MCU154" s="52"/>
      <c r="MCV154" s="53"/>
      <c r="MCW154" s="54"/>
      <c r="MCX154" s="52"/>
      <c r="MCY154" s="53"/>
      <c r="MCZ154" s="8"/>
      <c r="MDA154" s="45"/>
      <c r="MDB154" s="45"/>
      <c r="MDC154" s="46"/>
      <c r="MDD154" s="44"/>
      <c r="MDE154" s="7"/>
      <c r="MDF154" s="51"/>
      <c r="MDG154" s="52"/>
      <c r="MDH154" s="53"/>
      <c r="MDI154" s="54"/>
      <c r="MDJ154" s="52"/>
      <c r="MDK154" s="53"/>
      <c r="MDL154" s="54"/>
      <c r="MDM154" s="52"/>
      <c r="MDN154" s="53"/>
      <c r="MDO154" s="8"/>
      <c r="MDP154" s="45"/>
      <c r="MDQ154" s="45"/>
      <c r="MDR154" s="46"/>
      <c r="MDS154" s="44"/>
      <c r="MDT154" s="7"/>
      <c r="MDU154" s="51"/>
      <c r="MDV154" s="52"/>
      <c r="MDW154" s="53"/>
      <c r="MDX154" s="54"/>
      <c r="MDY154" s="52"/>
      <c r="MDZ154" s="53"/>
      <c r="MEA154" s="54"/>
      <c r="MEB154" s="52"/>
      <c r="MEC154" s="53"/>
      <c r="MED154" s="8"/>
      <c r="MEE154" s="45"/>
      <c r="MEF154" s="45"/>
      <c r="MEG154" s="46"/>
      <c r="MEH154" s="44"/>
      <c r="MEI154" s="7"/>
      <c r="MEJ154" s="51"/>
      <c r="MEK154" s="52"/>
      <c r="MEL154" s="53"/>
      <c r="MEM154" s="54"/>
      <c r="MEN154" s="52"/>
      <c r="MEO154" s="53"/>
      <c r="MEP154" s="54"/>
      <c r="MEQ154" s="52"/>
      <c r="MER154" s="53"/>
      <c r="MES154" s="8"/>
      <c r="MET154" s="45"/>
      <c r="MEU154" s="45"/>
      <c r="MEV154" s="46"/>
      <c r="MEW154" s="44"/>
      <c r="MEX154" s="7"/>
      <c r="MEY154" s="51"/>
      <c r="MEZ154" s="52"/>
      <c r="MFA154" s="53"/>
      <c r="MFB154" s="54"/>
      <c r="MFC154" s="52"/>
      <c r="MFD154" s="53"/>
      <c r="MFE154" s="54"/>
      <c r="MFF154" s="52"/>
      <c r="MFG154" s="53"/>
      <c r="MFH154" s="8"/>
      <c r="MFI154" s="45"/>
      <c r="MFJ154" s="45"/>
      <c r="MFK154" s="46"/>
      <c r="MFL154" s="44"/>
      <c r="MFM154" s="7"/>
      <c r="MFN154" s="51"/>
      <c r="MFO154" s="52"/>
      <c r="MFP154" s="53"/>
      <c r="MFQ154" s="54"/>
      <c r="MFR154" s="52"/>
      <c r="MFS154" s="53"/>
      <c r="MFT154" s="54"/>
      <c r="MFU154" s="52"/>
      <c r="MFV154" s="53"/>
      <c r="MFW154" s="8"/>
      <c r="MFX154" s="45"/>
      <c r="MFY154" s="45"/>
      <c r="MFZ154" s="46"/>
      <c r="MGA154" s="44"/>
      <c r="MGB154" s="7"/>
      <c r="MGC154" s="51"/>
      <c r="MGD154" s="52"/>
      <c r="MGE154" s="53"/>
      <c r="MGF154" s="54"/>
      <c r="MGG154" s="52"/>
      <c r="MGH154" s="53"/>
      <c r="MGI154" s="54"/>
      <c r="MGJ154" s="52"/>
      <c r="MGK154" s="53"/>
      <c r="MGL154" s="8"/>
      <c r="MGM154" s="45"/>
      <c r="MGN154" s="45"/>
      <c r="MGO154" s="46"/>
      <c r="MGP154" s="44"/>
      <c r="MGQ154" s="7"/>
      <c r="MGR154" s="51"/>
      <c r="MGS154" s="52"/>
      <c r="MGT154" s="53"/>
      <c r="MGU154" s="54"/>
      <c r="MGV154" s="52"/>
      <c r="MGW154" s="53"/>
      <c r="MGX154" s="54"/>
      <c r="MGY154" s="52"/>
      <c r="MGZ154" s="53"/>
      <c r="MHA154" s="8"/>
      <c r="MHB154" s="45"/>
      <c r="MHC154" s="45"/>
      <c r="MHD154" s="46"/>
      <c r="MHE154" s="44"/>
      <c r="MHF154" s="7"/>
      <c r="MHG154" s="51"/>
      <c r="MHH154" s="52"/>
      <c r="MHI154" s="53"/>
      <c r="MHJ154" s="54"/>
      <c r="MHK154" s="52"/>
      <c r="MHL154" s="53"/>
      <c r="MHM154" s="54"/>
      <c r="MHN154" s="52"/>
      <c r="MHO154" s="53"/>
      <c r="MHP154" s="8"/>
      <c r="MHQ154" s="45"/>
      <c r="MHR154" s="45"/>
      <c r="MHS154" s="46"/>
      <c r="MHT154" s="44"/>
      <c r="MHU154" s="7"/>
      <c r="MHV154" s="51"/>
      <c r="MHW154" s="52"/>
      <c r="MHX154" s="53"/>
      <c r="MHY154" s="54"/>
      <c r="MHZ154" s="52"/>
      <c r="MIA154" s="53"/>
      <c r="MIB154" s="54"/>
      <c r="MIC154" s="52"/>
      <c r="MID154" s="53"/>
      <c r="MIE154" s="8"/>
      <c r="MIF154" s="45"/>
      <c r="MIG154" s="45"/>
      <c r="MIH154" s="46"/>
      <c r="MII154" s="44"/>
      <c r="MIJ154" s="7"/>
      <c r="MIK154" s="51"/>
      <c r="MIL154" s="52"/>
      <c r="MIM154" s="53"/>
      <c r="MIN154" s="54"/>
      <c r="MIO154" s="52"/>
      <c r="MIP154" s="53"/>
      <c r="MIQ154" s="54"/>
      <c r="MIR154" s="52"/>
      <c r="MIS154" s="53"/>
      <c r="MIT154" s="8"/>
      <c r="MIU154" s="45"/>
      <c r="MIV154" s="45"/>
      <c r="MIW154" s="46"/>
      <c r="MIX154" s="44"/>
      <c r="MIY154" s="7"/>
      <c r="MIZ154" s="51"/>
      <c r="MJA154" s="52"/>
      <c r="MJB154" s="53"/>
      <c r="MJC154" s="54"/>
      <c r="MJD154" s="52"/>
      <c r="MJE154" s="53"/>
      <c r="MJF154" s="54"/>
      <c r="MJG154" s="52"/>
      <c r="MJH154" s="53"/>
      <c r="MJI154" s="8"/>
      <c r="MJJ154" s="45"/>
      <c r="MJK154" s="45"/>
      <c r="MJL154" s="46"/>
      <c r="MJM154" s="44"/>
      <c r="MJN154" s="7"/>
      <c r="MJO154" s="51"/>
      <c r="MJP154" s="52"/>
      <c r="MJQ154" s="53"/>
      <c r="MJR154" s="54"/>
      <c r="MJS154" s="52"/>
      <c r="MJT154" s="53"/>
      <c r="MJU154" s="54"/>
      <c r="MJV154" s="52"/>
      <c r="MJW154" s="53"/>
      <c r="MJX154" s="8"/>
      <c r="MJY154" s="45"/>
      <c r="MJZ154" s="45"/>
      <c r="MKA154" s="46"/>
      <c r="MKB154" s="44"/>
      <c r="MKC154" s="7"/>
      <c r="MKD154" s="51"/>
      <c r="MKE154" s="52"/>
      <c r="MKF154" s="53"/>
    </row>
    <row r="155" spans="1:9080">
      <c r="A155" s="44"/>
      <c r="B155" s="7"/>
      <c r="C155" s="51"/>
      <c r="D155" s="52"/>
      <c r="E155" s="53"/>
      <c r="F155" s="54"/>
      <c r="G155" s="52"/>
      <c r="H155" s="53"/>
      <c r="I155" s="54"/>
      <c r="J155" s="52"/>
      <c r="K155" s="53"/>
      <c r="L155" s="8"/>
      <c r="M155" s="45"/>
      <c r="N155" s="45"/>
      <c r="O155" s="46"/>
      <c r="NB155" s="54"/>
      <c r="NC155" s="52"/>
      <c r="ND155" s="53"/>
      <c r="NE155" s="54"/>
      <c r="NF155" s="52"/>
      <c r="NG155" s="53"/>
      <c r="NH155" s="8"/>
      <c r="NI155" s="45"/>
      <c r="NJ155" s="45"/>
      <c r="NK155" s="46"/>
      <c r="NL155" s="44"/>
      <c r="NM155" s="7"/>
      <c r="NN155" s="51"/>
      <c r="NO155" s="52"/>
      <c r="NP155" s="53"/>
      <c r="NQ155" s="54"/>
      <c r="NR155" s="52"/>
      <c r="NS155" s="53"/>
      <c r="NT155" s="54"/>
      <c r="NU155" s="52"/>
      <c r="NV155" s="53"/>
      <c r="NW155" s="8"/>
      <c r="NX155" s="45"/>
      <c r="NY155" s="45"/>
      <c r="NZ155" s="46"/>
      <c r="OA155" s="44"/>
      <c r="OB155" s="7"/>
      <c r="OC155" s="51"/>
      <c r="OD155" s="52"/>
      <c r="OE155" s="53"/>
      <c r="OF155" s="54"/>
      <c r="OG155" s="52"/>
      <c r="OH155" s="53"/>
      <c r="OI155" s="54"/>
      <c r="OJ155" s="52"/>
      <c r="OK155" s="53"/>
      <c r="OL155" s="8"/>
      <c r="OM155" s="45"/>
      <c r="ON155" s="45"/>
      <c r="OO155" s="46"/>
      <c r="OP155" s="44"/>
      <c r="OQ155" s="7"/>
      <c r="OR155" s="51"/>
      <c r="OS155" s="52"/>
      <c r="OT155" s="53"/>
      <c r="OU155" s="54"/>
      <c r="OV155" s="52"/>
      <c r="OW155" s="53"/>
      <c r="OX155" s="54"/>
      <c r="OY155" s="52"/>
      <c r="OZ155" s="53"/>
      <c r="PA155" s="8"/>
      <c r="PB155" s="45"/>
      <c r="PC155" s="45"/>
      <c r="PD155" s="46"/>
      <c r="PE155" s="44"/>
      <c r="PF155" s="7"/>
      <c r="PG155" s="51"/>
      <c r="PH155" s="52"/>
      <c r="PI155" s="53"/>
      <c r="PJ155" s="54"/>
      <c r="PK155" s="52"/>
      <c r="PL155" s="53"/>
      <c r="PM155" s="54"/>
      <c r="PN155" s="52"/>
      <c r="PO155" s="53"/>
      <c r="PP155" s="8"/>
      <c r="PQ155" s="45"/>
      <c r="PR155" s="45"/>
      <c r="PS155" s="46"/>
      <c r="PT155" s="44"/>
      <c r="PU155" s="7"/>
      <c r="PV155" s="51"/>
      <c r="PW155" s="52"/>
      <c r="PX155" s="53"/>
      <c r="PY155" s="54"/>
      <c r="PZ155" s="52"/>
      <c r="QA155" s="53"/>
      <c r="QB155" s="54"/>
      <c r="QC155" s="52"/>
      <c r="QD155" s="53"/>
      <c r="QE155" s="8"/>
      <c r="QF155" s="45"/>
      <c r="QG155" s="45"/>
      <c r="QH155" s="46"/>
      <c r="QI155" s="44"/>
      <c r="QJ155" s="7"/>
      <c r="QK155" s="51"/>
      <c r="QL155" s="52"/>
      <c r="QM155" s="53"/>
      <c r="QN155" s="54"/>
      <c r="QO155" s="52"/>
      <c r="QP155" s="53"/>
      <c r="QQ155" s="54"/>
      <c r="QR155" s="52"/>
      <c r="QS155" s="53"/>
      <c r="QT155" s="8"/>
      <c r="QU155" s="45"/>
      <c r="QV155" s="45"/>
      <c r="QW155" s="46"/>
      <c r="QX155" s="44"/>
      <c r="QY155" s="7"/>
      <c r="QZ155" s="51"/>
      <c r="RA155" s="52"/>
      <c r="RB155" s="53"/>
      <c r="RC155" s="54"/>
      <c r="RD155" s="52"/>
      <c r="RE155" s="53"/>
      <c r="RF155" s="54"/>
      <c r="RG155" s="52"/>
      <c r="RH155" s="53"/>
      <c r="RI155" s="8"/>
      <c r="RJ155" s="45"/>
      <c r="RK155" s="45"/>
      <c r="RL155" s="46"/>
      <c r="RM155" s="44"/>
      <c r="RN155" s="7"/>
      <c r="RO155" s="51"/>
      <c r="RP155" s="52"/>
      <c r="RQ155" s="53"/>
      <c r="RR155" s="54"/>
      <c r="RS155" s="52"/>
      <c r="RT155" s="53"/>
      <c r="RU155" s="54"/>
      <c r="RV155" s="52"/>
      <c r="RW155" s="53"/>
      <c r="RX155" s="8"/>
      <c r="RY155" s="45"/>
      <c r="RZ155" s="45"/>
      <c r="SA155" s="46"/>
      <c r="SB155" s="44"/>
      <c r="SC155" s="7"/>
      <c r="SD155" s="51"/>
      <c r="SE155" s="52"/>
      <c r="SF155" s="53"/>
      <c r="SG155" s="54"/>
      <c r="SH155" s="52"/>
      <c r="SI155" s="53"/>
      <c r="SJ155" s="54"/>
      <c r="SK155" s="52"/>
      <c r="SL155" s="53"/>
      <c r="SM155" s="8"/>
      <c r="SN155" s="45"/>
      <c r="SO155" s="45"/>
      <c r="SP155" s="46"/>
      <c r="SQ155" s="44"/>
      <c r="SR155" s="7"/>
      <c r="SS155" s="51"/>
      <c r="ST155" s="52"/>
      <c r="SU155" s="53"/>
      <c r="SV155" s="54"/>
      <c r="SW155" s="52"/>
      <c r="SX155" s="53"/>
      <c r="SY155" s="54"/>
      <c r="SZ155" s="52"/>
      <c r="TA155" s="53"/>
      <c r="TB155" s="8"/>
      <c r="TC155" s="45"/>
      <c r="TD155" s="45"/>
      <c r="TE155" s="46"/>
      <c r="TF155" s="44"/>
      <c r="TG155" s="7"/>
      <c r="TH155" s="51"/>
      <c r="TI155" s="52"/>
      <c r="TJ155" s="53"/>
      <c r="TK155" s="54"/>
      <c r="TL155" s="52"/>
      <c r="TM155" s="53"/>
      <c r="TN155" s="54"/>
      <c r="TO155" s="52"/>
      <c r="TP155" s="53"/>
      <c r="TQ155" s="8"/>
      <c r="TR155" s="45"/>
      <c r="TS155" s="45"/>
      <c r="TT155" s="46"/>
      <c r="TU155" s="44"/>
      <c r="TV155" s="7"/>
      <c r="TW155" s="51"/>
      <c r="TX155" s="52"/>
      <c r="TY155" s="53"/>
      <c r="TZ155" s="54"/>
      <c r="UA155" s="52"/>
      <c r="UB155" s="53"/>
      <c r="UC155" s="54"/>
      <c r="UD155" s="52"/>
      <c r="UE155" s="53"/>
      <c r="UF155" s="8"/>
      <c r="UG155" s="45"/>
      <c r="UH155" s="45"/>
      <c r="UI155" s="46"/>
      <c r="UJ155" s="44"/>
      <c r="UK155" s="7"/>
      <c r="UL155" s="51"/>
      <c r="UM155" s="52"/>
      <c r="UN155" s="53"/>
      <c r="UO155" s="54"/>
      <c r="UP155" s="52"/>
      <c r="UQ155" s="53"/>
      <c r="UR155" s="54"/>
      <c r="US155" s="52"/>
      <c r="UT155" s="53"/>
      <c r="UU155" s="8"/>
      <c r="UV155" s="45"/>
      <c r="UW155" s="45"/>
      <c r="UX155" s="46"/>
      <c r="UY155" s="44"/>
      <c r="UZ155" s="7"/>
      <c r="VA155" s="51"/>
      <c r="VB155" s="52"/>
      <c r="VC155" s="53"/>
      <c r="VD155" s="54"/>
      <c r="VE155" s="52"/>
      <c r="VF155" s="53"/>
      <c r="VG155" s="54"/>
      <c r="VH155" s="52"/>
      <c r="VI155" s="53"/>
      <c r="VJ155" s="8"/>
      <c r="VK155" s="45"/>
      <c r="VL155" s="45"/>
      <c r="VM155" s="46"/>
      <c r="VN155" s="44"/>
      <c r="VO155" s="7"/>
      <c r="VP155" s="51"/>
      <c r="VQ155" s="52"/>
      <c r="VR155" s="53"/>
      <c r="VS155" s="54"/>
      <c r="VT155" s="52"/>
      <c r="VU155" s="53"/>
      <c r="VV155" s="54"/>
      <c r="VW155" s="52"/>
      <c r="VX155" s="53"/>
      <c r="VY155" s="8"/>
      <c r="VZ155" s="45"/>
      <c r="WA155" s="45"/>
      <c r="WB155" s="46"/>
      <c r="WC155" s="44"/>
      <c r="WD155" s="7"/>
      <c r="WE155" s="51"/>
      <c r="WF155" s="52"/>
      <c r="WG155" s="53"/>
      <c r="WH155" s="54"/>
      <c r="WI155" s="52"/>
      <c r="WJ155" s="53"/>
      <c r="WK155" s="54"/>
      <c r="WL155" s="52"/>
      <c r="WM155" s="53"/>
      <c r="WN155" s="8"/>
      <c r="WO155" s="45"/>
      <c r="WP155" s="45"/>
      <c r="WQ155" s="46"/>
      <c r="WR155" s="44"/>
      <c r="WS155" s="7"/>
      <c r="WT155" s="51"/>
      <c r="WU155" s="52"/>
      <c r="WV155" s="53"/>
      <c r="WW155" s="54"/>
      <c r="WX155" s="52"/>
      <c r="WY155" s="53"/>
      <c r="WZ155" s="54"/>
      <c r="XA155" s="52"/>
      <c r="XB155" s="53"/>
      <c r="XC155" s="8"/>
      <c r="XD155" s="45"/>
      <c r="XE155" s="45"/>
      <c r="XF155" s="46"/>
      <c r="XG155" s="44"/>
      <c r="XH155" s="7"/>
      <c r="XI155" s="51"/>
      <c r="XJ155" s="52"/>
      <c r="XK155" s="53"/>
      <c r="XL155" s="54"/>
      <c r="XM155" s="52"/>
      <c r="XN155" s="53"/>
      <c r="XO155" s="54"/>
      <c r="XP155" s="52"/>
      <c r="XQ155" s="53"/>
      <c r="XR155" s="8"/>
      <c r="XS155" s="45"/>
      <c r="XT155" s="45"/>
      <c r="XU155" s="46"/>
      <c r="XV155" s="44"/>
      <c r="XW155" s="7"/>
      <c r="XX155" s="51"/>
      <c r="XY155" s="52"/>
      <c r="XZ155" s="53"/>
      <c r="YA155" s="54"/>
      <c r="YB155" s="52"/>
      <c r="YC155" s="53"/>
      <c r="YD155" s="54"/>
      <c r="YE155" s="52"/>
      <c r="YF155" s="53"/>
      <c r="YG155" s="8"/>
      <c r="YH155" s="45"/>
      <c r="YI155" s="45"/>
      <c r="YJ155" s="46"/>
      <c r="YK155" s="44"/>
      <c r="YL155" s="7"/>
      <c r="YM155" s="51"/>
      <c r="YN155" s="52"/>
      <c r="YO155" s="53"/>
      <c r="YP155" s="54"/>
      <c r="YQ155" s="52"/>
      <c r="YR155" s="53"/>
      <c r="YS155" s="54"/>
      <c r="YT155" s="52"/>
      <c r="YU155" s="53"/>
      <c r="YV155" s="8"/>
      <c r="YW155" s="45"/>
      <c r="YX155" s="45"/>
      <c r="YY155" s="46"/>
      <c r="YZ155" s="44"/>
      <c r="ZA155" s="7"/>
      <c r="ZB155" s="51"/>
      <c r="ZC155" s="52"/>
      <c r="ZD155" s="53"/>
      <c r="ZE155" s="54"/>
      <c r="ZF155" s="52"/>
      <c r="ZG155" s="53"/>
      <c r="ZH155" s="54"/>
      <c r="ZI155" s="52"/>
      <c r="ZJ155" s="53"/>
      <c r="ZK155" s="8"/>
      <c r="ZL155" s="45"/>
      <c r="ZM155" s="45"/>
      <c r="ZN155" s="46"/>
      <c r="ZO155" s="44"/>
      <c r="ZP155" s="7"/>
      <c r="ZQ155" s="51"/>
      <c r="ZR155" s="52"/>
      <c r="ZS155" s="53"/>
      <c r="ZT155" s="54"/>
      <c r="ZU155" s="52"/>
      <c r="ZV155" s="53"/>
      <c r="ZW155" s="54"/>
      <c r="ZX155" s="52"/>
      <c r="ZY155" s="53"/>
      <c r="ZZ155" s="8"/>
      <c r="AAA155" s="45"/>
      <c r="AAB155" s="45"/>
      <c r="AAC155" s="46"/>
      <c r="AAD155" s="44"/>
      <c r="AAE155" s="7"/>
      <c r="AAF155" s="51"/>
      <c r="AAG155" s="52"/>
      <c r="AAH155" s="53"/>
      <c r="AAI155" s="54"/>
      <c r="AAJ155" s="52"/>
      <c r="AAK155" s="53"/>
      <c r="AAL155" s="54"/>
      <c r="AAM155" s="52"/>
      <c r="AAN155" s="53"/>
      <c r="AAO155" s="8"/>
      <c r="AAP155" s="45"/>
      <c r="AAQ155" s="45"/>
      <c r="AAR155" s="46"/>
      <c r="AAS155" s="44"/>
      <c r="AAT155" s="7"/>
      <c r="AAU155" s="51"/>
      <c r="AAV155" s="52"/>
      <c r="AAW155" s="53"/>
      <c r="AAX155" s="54"/>
      <c r="AAY155" s="52"/>
      <c r="AAZ155" s="53"/>
      <c r="ABA155" s="54"/>
      <c r="ABB155" s="52"/>
      <c r="ABC155" s="53"/>
      <c r="ABD155" s="8"/>
      <c r="ABE155" s="45"/>
      <c r="ABF155" s="45"/>
      <c r="ABG155" s="46"/>
      <c r="ABH155" s="44"/>
      <c r="ABI155" s="7"/>
      <c r="ABJ155" s="51"/>
      <c r="ABK155" s="52"/>
      <c r="ABL155" s="53"/>
      <c r="ABM155" s="54"/>
      <c r="ABN155" s="52"/>
      <c r="ABO155" s="53"/>
      <c r="ABP155" s="54"/>
      <c r="ABQ155" s="52"/>
      <c r="ABR155" s="53"/>
      <c r="ABS155" s="8"/>
      <c r="ABT155" s="45"/>
      <c r="ABU155" s="45"/>
      <c r="ABV155" s="46"/>
      <c r="ABW155" s="44"/>
      <c r="ABX155" s="7"/>
      <c r="ABY155" s="51"/>
      <c r="ABZ155" s="52"/>
      <c r="ACA155" s="53"/>
      <c r="ACB155" s="54"/>
      <c r="ACC155" s="52"/>
      <c r="ACD155" s="53"/>
      <c r="ACE155" s="54"/>
      <c r="ACF155" s="52"/>
      <c r="ACG155" s="53"/>
      <c r="ACH155" s="8"/>
      <c r="ACI155" s="45"/>
      <c r="ACJ155" s="45"/>
      <c r="ACK155" s="46"/>
      <c r="ACL155" s="44"/>
      <c r="ACM155" s="7"/>
      <c r="ACN155" s="51"/>
      <c r="ACO155" s="52"/>
      <c r="ACP155" s="53"/>
      <c r="ACQ155" s="54"/>
      <c r="ACR155" s="52"/>
      <c r="ACS155" s="53"/>
      <c r="ACT155" s="54"/>
      <c r="ACU155" s="52"/>
      <c r="ACV155" s="53"/>
      <c r="ACW155" s="8"/>
      <c r="ACX155" s="45"/>
      <c r="ACY155" s="45"/>
      <c r="ACZ155" s="46"/>
      <c r="ADA155" s="44"/>
      <c r="ADB155" s="7"/>
      <c r="ADC155" s="51"/>
      <c r="ADD155" s="52"/>
      <c r="ADE155" s="53"/>
      <c r="ADF155" s="54"/>
      <c r="ADG155" s="52"/>
      <c r="ADH155" s="53"/>
      <c r="ADI155" s="54"/>
      <c r="ADJ155" s="52"/>
      <c r="ADK155" s="53"/>
      <c r="ADL155" s="8"/>
      <c r="ADM155" s="45"/>
      <c r="ADN155" s="45"/>
      <c r="ADO155" s="46"/>
      <c r="ADP155" s="44"/>
      <c r="ADQ155" s="7"/>
      <c r="ADR155" s="51"/>
      <c r="ADS155" s="52"/>
      <c r="ADT155" s="53"/>
      <c r="ADU155" s="54"/>
      <c r="ADV155" s="52"/>
      <c r="ADW155" s="53"/>
      <c r="ADX155" s="54"/>
      <c r="ADY155" s="52"/>
      <c r="ADZ155" s="53"/>
      <c r="AEA155" s="8"/>
      <c r="AEB155" s="45"/>
      <c r="AEC155" s="45"/>
      <c r="AED155" s="46"/>
      <c r="AEE155" s="44"/>
      <c r="AEF155" s="7"/>
      <c r="AEG155" s="51"/>
      <c r="AEH155" s="52"/>
      <c r="AEI155" s="53"/>
      <c r="AEJ155" s="54"/>
      <c r="AEK155" s="52"/>
      <c r="AEL155" s="53"/>
      <c r="AEM155" s="54"/>
      <c r="AEN155" s="52"/>
      <c r="AEO155" s="53"/>
      <c r="AEP155" s="8"/>
      <c r="AEQ155" s="45"/>
      <c r="AER155" s="45"/>
      <c r="AES155" s="46"/>
      <c r="AET155" s="44"/>
      <c r="AEU155" s="7"/>
      <c r="AEV155" s="51"/>
      <c r="AEW155" s="52"/>
      <c r="AEX155" s="53"/>
      <c r="AEY155" s="54"/>
      <c r="AEZ155" s="52"/>
      <c r="AFA155" s="53"/>
      <c r="AFB155" s="54"/>
      <c r="AFC155" s="52"/>
      <c r="AFD155" s="53"/>
      <c r="AFE155" s="8"/>
      <c r="AFF155" s="45"/>
      <c r="AFG155" s="45"/>
      <c r="AFH155" s="46"/>
      <c r="AFI155" s="44"/>
      <c r="AFJ155" s="7"/>
      <c r="AFK155" s="51"/>
      <c r="AFL155" s="52"/>
      <c r="AFM155" s="53"/>
      <c r="AFN155" s="54"/>
      <c r="AFO155" s="52"/>
      <c r="AFP155" s="53"/>
      <c r="AFQ155" s="54"/>
      <c r="AFR155" s="52"/>
      <c r="AFS155" s="53"/>
      <c r="AFT155" s="8"/>
      <c r="AFU155" s="45"/>
      <c r="AFV155" s="45"/>
      <c r="AFW155" s="46"/>
      <c r="AFX155" s="44"/>
      <c r="AFY155" s="7"/>
      <c r="AFZ155" s="51"/>
      <c r="AGA155" s="52"/>
      <c r="AGB155" s="53"/>
      <c r="AGC155" s="54"/>
      <c r="AGD155" s="52"/>
      <c r="AGE155" s="53"/>
      <c r="AGF155" s="54"/>
      <c r="AGG155" s="52"/>
      <c r="AGH155" s="53"/>
      <c r="AGI155" s="8"/>
      <c r="AGJ155" s="45"/>
      <c r="AGK155" s="45"/>
      <c r="AGL155" s="46"/>
      <c r="AGM155" s="44"/>
      <c r="AGN155" s="7"/>
      <c r="AGO155" s="51"/>
      <c r="AGP155" s="52"/>
      <c r="AGQ155" s="53"/>
      <c r="AGR155" s="54"/>
      <c r="AGS155" s="52"/>
      <c r="AGT155" s="53"/>
      <c r="AGU155" s="54"/>
      <c r="AGV155" s="52"/>
      <c r="AGW155" s="53"/>
      <c r="AGX155" s="8"/>
      <c r="AGY155" s="45"/>
      <c r="AGZ155" s="45"/>
      <c r="AHA155" s="46"/>
      <c r="AHB155" s="44"/>
      <c r="AHC155" s="7"/>
      <c r="AHD155" s="51"/>
      <c r="AHE155" s="52"/>
      <c r="AHF155" s="53"/>
      <c r="AHG155" s="54"/>
      <c r="AHH155" s="52"/>
      <c r="AHI155" s="53"/>
      <c r="AHJ155" s="54"/>
      <c r="AHK155" s="52"/>
      <c r="AHL155" s="53"/>
      <c r="AHM155" s="8"/>
      <c r="AHN155" s="45"/>
      <c r="AHO155" s="45"/>
      <c r="AHP155" s="46"/>
      <c r="AHQ155" s="44"/>
      <c r="AHR155" s="7"/>
      <c r="AHS155" s="51"/>
      <c r="AHT155" s="52"/>
      <c r="AHU155" s="53"/>
      <c r="AHV155" s="54"/>
      <c r="AHW155" s="52"/>
      <c r="AHX155" s="53"/>
      <c r="AHY155" s="54"/>
      <c r="AHZ155" s="52"/>
      <c r="AIA155" s="53"/>
      <c r="AIB155" s="8"/>
      <c r="AIC155" s="45"/>
      <c r="AID155" s="45"/>
      <c r="AIE155" s="46"/>
      <c r="AIF155" s="44"/>
      <c r="AIG155" s="7"/>
      <c r="AIH155" s="51"/>
      <c r="AII155" s="52"/>
      <c r="AIJ155" s="53"/>
      <c r="AIK155" s="54"/>
      <c r="AIL155" s="52"/>
      <c r="AIM155" s="53"/>
      <c r="AIN155" s="54"/>
      <c r="AIO155" s="52"/>
      <c r="AIP155" s="53"/>
      <c r="AIQ155" s="8"/>
      <c r="AIR155" s="45"/>
      <c r="AIS155" s="45"/>
      <c r="AIT155" s="46"/>
      <c r="AIU155" s="44"/>
      <c r="AIV155" s="7"/>
      <c r="AIW155" s="51"/>
      <c r="AIX155" s="52"/>
      <c r="AIY155" s="53"/>
      <c r="AIZ155" s="54"/>
      <c r="AJA155" s="52"/>
      <c r="AJB155" s="53"/>
      <c r="AJC155" s="54"/>
      <c r="AJD155" s="52"/>
      <c r="AJE155" s="53"/>
      <c r="AJF155" s="8"/>
      <c r="AJG155" s="45"/>
      <c r="AJH155" s="45"/>
      <c r="AJI155" s="46"/>
      <c r="AJJ155" s="44"/>
      <c r="AJK155" s="7"/>
      <c r="AJL155" s="51"/>
      <c r="AJM155" s="52"/>
      <c r="AJN155" s="53"/>
      <c r="AJO155" s="54"/>
      <c r="AJP155" s="52"/>
      <c r="AJQ155" s="53"/>
      <c r="AJR155" s="54"/>
      <c r="AJS155" s="52"/>
      <c r="AJT155" s="53"/>
      <c r="AJU155" s="8"/>
      <c r="AJV155" s="45"/>
      <c r="AJW155" s="45"/>
      <c r="AJX155" s="46"/>
      <c r="AJY155" s="44"/>
      <c r="AJZ155" s="7"/>
      <c r="AKA155" s="51"/>
      <c r="AKB155" s="52"/>
      <c r="AKC155" s="53"/>
      <c r="AKD155" s="54"/>
      <c r="AKE155" s="52"/>
      <c r="AKF155" s="53"/>
      <c r="AKG155" s="54"/>
      <c r="AKH155" s="52"/>
      <c r="AKI155" s="53"/>
      <c r="AKJ155" s="8"/>
      <c r="AKK155" s="45"/>
      <c r="AKL155" s="45"/>
      <c r="AKM155" s="46"/>
      <c r="AKN155" s="44"/>
      <c r="AKO155" s="7"/>
      <c r="AKP155" s="51"/>
      <c r="AKQ155" s="52"/>
      <c r="AKR155" s="53"/>
      <c r="AKS155" s="54"/>
      <c r="AKT155" s="52"/>
      <c r="AKU155" s="53"/>
      <c r="AKV155" s="54"/>
      <c r="AKW155" s="52"/>
      <c r="AKX155" s="53"/>
      <c r="AKY155" s="8"/>
      <c r="AKZ155" s="45"/>
      <c r="ALA155" s="45"/>
      <c r="ALB155" s="46"/>
      <c r="ALC155" s="44"/>
      <c r="ALD155" s="7"/>
      <c r="ALE155" s="51"/>
      <c r="ALF155" s="52"/>
      <c r="ALG155" s="53"/>
      <c r="ALH155" s="54"/>
      <c r="ALI155" s="52"/>
      <c r="ALJ155" s="53"/>
      <c r="ALK155" s="54"/>
      <c r="ALL155" s="52"/>
      <c r="ALM155" s="53"/>
      <c r="ALN155" s="8"/>
      <c r="ALO155" s="45"/>
      <c r="ALP155" s="45"/>
      <c r="ALQ155" s="46"/>
      <c r="ALR155" s="44"/>
      <c r="ALS155" s="7"/>
      <c r="ALT155" s="51"/>
      <c r="ALU155" s="52"/>
      <c r="ALV155" s="53"/>
      <c r="ALW155" s="54"/>
      <c r="ALX155" s="52"/>
      <c r="ALY155" s="53"/>
      <c r="ALZ155" s="54"/>
      <c r="AMA155" s="52"/>
      <c r="AMB155" s="53"/>
      <c r="AMC155" s="8"/>
      <c r="AMD155" s="45"/>
      <c r="AME155" s="45"/>
      <c r="AMF155" s="46"/>
      <c r="AMG155" s="44"/>
      <c r="AMH155" s="7"/>
      <c r="AMI155" s="51"/>
      <c r="AMJ155" s="52"/>
      <c r="AMK155" s="53"/>
      <c r="AML155" s="54"/>
      <c r="AMM155" s="52"/>
      <c r="AMN155" s="53"/>
      <c r="AMO155" s="54"/>
      <c r="AMP155" s="52"/>
      <c r="AMQ155" s="53"/>
      <c r="AMR155" s="8"/>
      <c r="AMS155" s="45"/>
      <c r="AMT155" s="45"/>
      <c r="AMU155" s="46"/>
      <c r="AMV155" s="44"/>
      <c r="AMW155" s="7"/>
      <c r="AMX155" s="51"/>
      <c r="AMY155" s="52"/>
      <c r="AMZ155" s="53"/>
      <c r="ANA155" s="54"/>
      <c r="ANB155" s="52"/>
      <c r="ANC155" s="53"/>
      <c r="AND155" s="54"/>
      <c r="ANE155" s="52"/>
      <c r="ANF155" s="53"/>
      <c r="ANG155" s="8"/>
      <c r="ANH155" s="45"/>
      <c r="ANI155" s="45"/>
      <c r="ANJ155" s="46"/>
      <c r="ANK155" s="44"/>
      <c r="ANL155" s="7"/>
      <c r="ANM155" s="51"/>
      <c r="ANN155" s="52"/>
      <c r="ANO155" s="53"/>
      <c r="ANP155" s="54"/>
      <c r="ANQ155" s="52"/>
      <c r="ANR155" s="53"/>
      <c r="ANS155" s="54"/>
      <c r="ANT155" s="52"/>
      <c r="ANU155" s="53"/>
      <c r="ANV155" s="8"/>
      <c r="ANW155" s="45"/>
      <c r="ANX155" s="45"/>
      <c r="ANY155" s="46"/>
      <c r="ANZ155" s="44"/>
      <c r="AOA155" s="7"/>
      <c r="AOB155" s="51"/>
      <c r="AOC155" s="52"/>
      <c r="AOD155" s="53"/>
      <c r="AOE155" s="54"/>
      <c r="AOF155" s="52"/>
      <c r="AOG155" s="53"/>
      <c r="AOH155" s="54"/>
      <c r="AOI155" s="52"/>
      <c r="AOJ155" s="53"/>
      <c r="AOK155" s="8"/>
      <c r="AOL155" s="45"/>
      <c r="AOM155" s="45"/>
      <c r="AON155" s="46"/>
      <c r="AOO155" s="44"/>
      <c r="AOP155" s="7"/>
      <c r="AOQ155" s="51"/>
      <c r="AOR155" s="52"/>
      <c r="AOS155" s="53"/>
      <c r="AOT155" s="54"/>
      <c r="AOU155" s="52"/>
      <c r="AOV155" s="53"/>
      <c r="AOW155" s="54"/>
      <c r="AOX155" s="52"/>
      <c r="AOY155" s="53"/>
      <c r="AOZ155" s="8"/>
      <c r="APA155" s="45"/>
      <c r="APB155" s="45"/>
      <c r="APC155" s="46"/>
      <c r="APD155" s="44"/>
      <c r="APE155" s="7"/>
      <c r="APF155" s="51"/>
      <c r="APG155" s="52"/>
      <c r="APH155" s="53"/>
      <c r="API155" s="54"/>
      <c r="APJ155" s="52"/>
      <c r="APK155" s="53"/>
      <c r="APL155" s="54"/>
      <c r="APM155" s="52"/>
      <c r="APN155" s="53"/>
      <c r="APO155" s="8"/>
      <c r="APP155" s="45"/>
      <c r="APQ155" s="45"/>
      <c r="APR155" s="46"/>
      <c r="APS155" s="44"/>
      <c r="APT155" s="7"/>
      <c r="APU155" s="51"/>
      <c r="APV155" s="52"/>
      <c r="APW155" s="53"/>
      <c r="APX155" s="54"/>
      <c r="APY155" s="52"/>
      <c r="APZ155" s="53"/>
      <c r="AQA155" s="54"/>
      <c r="AQB155" s="52"/>
      <c r="AQC155" s="53"/>
      <c r="AQD155" s="8"/>
      <c r="AQE155" s="45"/>
      <c r="AQF155" s="45"/>
      <c r="AQG155" s="46"/>
      <c r="AQH155" s="44"/>
      <c r="AQI155" s="7"/>
      <c r="AQJ155" s="51"/>
      <c r="AQK155" s="52"/>
      <c r="AQL155" s="53"/>
      <c r="AQM155" s="54"/>
      <c r="AQN155" s="52"/>
      <c r="AQO155" s="53"/>
      <c r="AQP155" s="54"/>
      <c r="AQQ155" s="52"/>
      <c r="AQR155" s="53"/>
      <c r="AQS155" s="8"/>
      <c r="AQT155" s="45"/>
      <c r="AQU155" s="45"/>
      <c r="AQV155" s="46"/>
      <c r="AQW155" s="44"/>
      <c r="AQX155" s="7"/>
      <c r="AQY155" s="51"/>
      <c r="AQZ155" s="52"/>
      <c r="ARA155" s="53"/>
      <c r="ARB155" s="54"/>
      <c r="ARC155" s="52"/>
      <c r="ARD155" s="53"/>
      <c r="ARE155" s="54"/>
      <c r="ARF155" s="52"/>
      <c r="ARG155" s="53"/>
      <c r="ARH155" s="8"/>
      <c r="ARI155" s="45"/>
      <c r="ARJ155" s="45"/>
      <c r="ARK155" s="46"/>
      <c r="ARL155" s="44"/>
      <c r="ARM155" s="7"/>
      <c r="ARN155" s="51"/>
      <c r="ARO155" s="52"/>
      <c r="ARP155" s="53"/>
      <c r="ARQ155" s="54"/>
      <c r="ARR155" s="52"/>
      <c r="ARS155" s="53"/>
      <c r="ART155" s="54"/>
      <c r="ARU155" s="52"/>
      <c r="ARV155" s="53"/>
      <c r="ARW155" s="8"/>
      <c r="ARX155" s="45"/>
      <c r="ARY155" s="45"/>
      <c r="ARZ155" s="46"/>
      <c r="ASA155" s="44"/>
      <c r="ASB155" s="7"/>
      <c r="ASC155" s="51"/>
      <c r="ASD155" s="52"/>
      <c r="ASE155" s="53"/>
      <c r="ASF155" s="54"/>
      <c r="ASG155" s="52"/>
      <c r="ASH155" s="53"/>
      <c r="ASI155" s="54"/>
      <c r="ASJ155" s="52"/>
      <c r="ASK155" s="53"/>
      <c r="ASL155" s="8"/>
      <c r="ASM155" s="45"/>
      <c r="ASN155" s="45"/>
      <c r="ASO155" s="46"/>
      <c r="ASP155" s="44"/>
      <c r="ASQ155" s="7"/>
      <c r="ASR155" s="51"/>
      <c r="ASS155" s="52"/>
      <c r="AST155" s="53"/>
      <c r="ASU155" s="54"/>
      <c r="ASV155" s="52"/>
      <c r="ASW155" s="53"/>
      <c r="ASX155" s="54"/>
      <c r="ASY155" s="52"/>
      <c r="ASZ155" s="53"/>
      <c r="ATA155" s="8"/>
      <c r="ATB155" s="45"/>
      <c r="ATC155" s="45"/>
      <c r="ATD155" s="46"/>
      <c r="ATE155" s="44"/>
      <c r="ATF155" s="7"/>
      <c r="ATG155" s="51"/>
      <c r="ATH155" s="52"/>
      <c r="ATI155" s="53"/>
      <c r="ATJ155" s="54"/>
      <c r="ATK155" s="52"/>
      <c r="ATL155" s="53"/>
      <c r="ATM155" s="54"/>
      <c r="ATN155" s="52"/>
      <c r="ATO155" s="53"/>
      <c r="ATP155" s="8"/>
      <c r="ATQ155" s="45"/>
      <c r="ATR155" s="45"/>
      <c r="ATS155" s="46"/>
      <c r="ATT155" s="44"/>
      <c r="ATU155" s="7"/>
      <c r="ATV155" s="51"/>
      <c r="ATW155" s="52"/>
      <c r="ATX155" s="53"/>
      <c r="ATY155" s="54"/>
      <c r="ATZ155" s="52"/>
      <c r="AUA155" s="53"/>
      <c r="AUB155" s="54"/>
      <c r="AUC155" s="52"/>
      <c r="AUD155" s="53"/>
      <c r="AUE155" s="8"/>
      <c r="AUF155" s="45"/>
      <c r="AUG155" s="45"/>
      <c r="AUH155" s="46"/>
      <c r="AUI155" s="44"/>
      <c r="AUJ155" s="7"/>
      <c r="AUK155" s="51"/>
      <c r="AUL155" s="52"/>
      <c r="AUM155" s="53"/>
      <c r="AUN155" s="54"/>
      <c r="AUO155" s="52"/>
      <c r="AUP155" s="53"/>
      <c r="AUQ155" s="54"/>
      <c r="AUR155" s="52"/>
      <c r="AUS155" s="53"/>
      <c r="AUT155" s="8"/>
      <c r="AUU155" s="45"/>
      <c r="AUV155" s="45"/>
      <c r="AUW155" s="46"/>
      <c r="AUX155" s="44"/>
      <c r="AUY155" s="7"/>
      <c r="AUZ155" s="51"/>
      <c r="AVA155" s="52"/>
      <c r="AVB155" s="53"/>
      <c r="AVC155" s="54"/>
      <c r="AVD155" s="52"/>
      <c r="AVE155" s="53"/>
      <c r="AVF155" s="54"/>
      <c r="AVG155" s="52"/>
      <c r="AVH155" s="53"/>
      <c r="AVI155" s="8"/>
      <c r="AVJ155" s="45"/>
      <c r="AVK155" s="45"/>
      <c r="AVL155" s="46"/>
      <c r="AVM155" s="44"/>
      <c r="AVN155" s="7"/>
      <c r="AVO155" s="51"/>
      <c r="AVP155" s="52"/>
      <c r="AVQ155" s="53"/>
      <c r="AVR155" s="54"/>
      <c r="AVS155" s="52"/>
      <c r="AVT155" s="53"/>
      <c r="AVU155" s="54"/>
      <c r="AVV155" s="52"/>
      <c r="AVW155" s="53"/>
      <c r="AVX155" s="8"/>
      <c r="AVY155" s="45"/>
      <c r="AVZ155" s="45"/>
      <c r="AWA155" s="46"/>
      <c r="AWB155" s="44"/>
      <c r="AWC155" s="7"/>
      <c r="AWD155" s="51"/>
      <c r="AWE155" s="52"/>
      <c r="AWF155" s="53"/>
      <c r="AWG155" s="54"/>
      <c r="AWH155" s="52"/>
      <c r="AWI155" s="53"/>
      <c r="AWJ155" s="54"/>
      <c r="AWK155" s="52"/>
      <c r="AWL155" s="53"/>
      <c r="AWM155" s="8"/>
      <c r="AWN155" s="45"/>
      <c r="AWO155" s="45"/>
      <c r="AWP155" s="46"/>
      <c r="AWQ155" s="44"/>
      <c r="AWR155" s="7"/>
      <c r="AWS155" s="51"/>
      <c r="AWT155" s="52"/>
      <c r="AWU155" s="53"/>
      <c r="AWV155" s="54"/>
      <c r="AWW155" s="52"/>
      <c r="AWX155" s="53"/>
      <c r="AWY155" s="54"/>
      <c r="AWZ155" s="52"/>
      <c r="AXA155" s="53"/>
      <c r="AXB155" s="8"/>
      <c r="AXC155" s="45"/>
      <c r="AXD155" s="45"/>
      <c r="AXE155" s="46"/>
      <c r="AXF155" s="44"/>
      <c r="AXG155" s="7"/>
      <c r="AXH155" s="51"/>
      <c r="AXI155" s="52"/>
      <c r="AXJ155" s="53"/>
      <c r="AXK155" s="54"/>
      <c r="AXL155" s="52"/>
      <c r="AXM155" s="53"/>
      <c r="AXN155" s="54"/>
      <c r="AXO155" s="52"/>
      <c r="AXP155" s="53"/>
      <c r="AXQ155" s="8"/>
      <c r="AXR155" s="45"/>
      <c r="AXS155" s="45"/>
      <c r="AXT155" s="46"/>
      <c r="AXU155" s="44"/>
      <c r="AXV155" s="7"/>
      <c r="AXW155" s="51"/>
      <c r="AXX155" s="52"/>
      <c r="AXY155" s="53"/>
      <c r="AXZ155" s="54"/>
      <c r="AYA155" s="52"/>
      <c r="AYB155" s="53"/>
      <c r="AYC155" s="54"/>
      <c r="AYD155" s="52"/>
      <c r="AYE155" s="53"/>
      <c r="AYF155" s="8"/>
      <c r="AYG155" s="45"/>
      <c r="AYH155" s="45"/>
      <c r="AYI155" s="46"/>
      <c r="AYJ155" s="44"/>
      <c r="AYK155" s="7"/>
      <c r="AYL155" s="51"/>
      <c r="AYM155" s="52"/>
      <c r="AYN155" s="53"/>
      <c r="AYO155" s="54"/>
      <c r="AYP155" s="52"/>
      <c r="AYQ155" s="53"/>
      <c r="AYR155" s="54"/>
      <c r="AYS155" s="52"/>
      <c r="AYT155" s="53"/>
      <c r="AYU155" s="8"/>
      <c r="AYV155" s="45"/>
      <c r="AYW155" s="45"/>
      <c r="AYX155" s="46"/>
      <c r="AYY155" s="44"/>
      <c r="AYZ155" s="7"/>
      <c r="AZA155" s="51"/>
      <c r="AZB155" s="52"/>
      <c r="AZC155" s="53"/>
      <c r="AZD155" s="54"/>
      <c r="AZE155" s="52"/>
      <c r="AZF155" s="53"/>
      <c r="AZG155" s="54"/>
      <c r="AZH155" s="52"/>
      <c r="AZI155" s="53"/>
      <c r="AZJ155" s="8"/>
      <c r="AZK155" s="45"/>
      <c r="AZL155" s="45"/>
      <c r="AZM155" s="46"/>
      <c r="AZN155" s="44"/>
      <c r="AZO155" s="7"/>
      <c r="AZP155" s="51"/>
      <c r="AZQ155" s="52"/>
      <c r="AZR155" s="53"/>
      <c r="AZS155" s="54"/>
      <c r="AZT155" s="52"/>
      <c r="AZU155" s="53"/>
      <c r="AZV155" s="54"/>
      <c r="AZW155" s="52"/>
      <c r="AZX155" s="53"/>
      <c r="AZY155" s="8"/>
      <c r="AZZ155" s="45"/>
      <c r="BAA155" s="45"/>
      <c r="BAB155" s="46"/>
      <c r="BAC155" s="44"/>
      <c r="BAD155" s="7"/>
      <c r="BAE155" s="51"/>
      <c r="BAF155" s="52"/>
      <c r="BAG155" s="53"/>
      <c r="BAH155" s="54"/>
      <c r="BAI155" s="52"/>
      <c r="BAJ155" s="53"/>
      <c r="BAK155" s="54"/>
      <c r="BAL155" s="52"/>
      <c r="BAM155" s="53"/>
      <c r="BAN155" s="8"/>
      <c r="BAO155" s="45"/>
      <c r="BAP155" s="45"/>
      <c r="BAQ155" s="46"/>
      <c r="BAR155" s="44"/>
      <c r="BAS155" s="7"/>
      <c r="BAT155" s="51"/>
      <c r="BAU155" s="52"/>
      <c r="BAV155" s="53"/>
      <c r="BAW155" s="54"/>
      <c r="BAX155" s="52"/>
      <c r="BAY155" s="53"/>
      <c r="BAZ155" s="54"/>
      <c r="BBA155" s="52"/>
      <c r="BBB155" s="53"/>
      <c r="BBC155" s="8"/>
      <c r="BBD155" s="45"/>
      <c r="BBE155" s="45"/>
      <c r="BBF155" s="46"/>
      <c r="BBG155" s="44"/>
      <c r="BBH155" s="7"/>
      <c r="BBI155" s="51"/>
      <c r="BBJ155" s="52"/>
      <c r="BBK155" s="53"/>
      <c r="BBL155" s="54"/>
      <c r="BBM155" s="52"/>
      <c r="BBN155" s="53"/>
      <c r="BBO155" s="54"/>
      <c r="BBP155" s="52"/>
      <c r="BBQ155" s="53"/>
      <c r="BBR155" s="8"/>
      <c r="BBS155" s="45"/>
      <c r="BBT155" s="45"/>
      <c r="BBU155" s="46"/>
      <c r="BBV155" s="44"/>
      <c r="BBW155" s="7"/>
      <c r="BBX155" s="51"/>
      <c r="BBY155" s="52"/>
      <c r="BBZ155" s="53"/>
      <c r="BCA155" s="54"/>
      <c r="BCB155" s="52"/>
      <c r="BCC155" s="53"/>
      <c r="BCD155" s="54"/>
      <c r="BCE155" s="52"/>
      <c r="BCF155" s="53"/>
      <c r="BCG155" s="8"/>
      <c r="BCH155" s="45"/>
      <c r="BCI155" s="45"/>
      <c r="BCJ155" s="46"/>
      <c r="BCK155" s="44"/>
      <c r="BCL155" s="7"/>
      <c r="BCM155" s="51"/>
      <c r="BCN155" s="52"/>
      <c r="BCO155" s="53"/>
      <c r="BCP155" s="54"/>
      <c r="BCQ155" s="52"/>
      <c r="BCR155" s="53"/>
      <c r="BCS155" s="54"/>
      <c r="BCT155" s="52"/>
      <c r="BCU155" s="53"/>
      <c r="BCV155" s="8"/>
      <c r="BCW155" s="45"/>
      <c r="BCX155" s="45"/>
      <c r="BCY155" s="46"/>
      <c r="BCZ155" s="44"/>
      <c r="BDA155" s="7"/>
      <c r="BDB155" s="51"/>
      <c r="BDC155" s="52"/>
      <c r="BDD155" s="53"/>
      <c r="BDE155" s="54"/>
      <c r="BDF155" s="52"/>
      <c r="BDG155" s="53"/>
      <c r="BDH155" s="54"/>
      <c r="BDI155" s="52"/>
      <c r="BDJ155" s="53"/>
      <c r="BDK155" s="8"/>
      <c r="BDL155" s="45"/>
      <c r="BDM155" s="45"/>
      <c r="BDN155" s="46"/>
      <c r="BDO155" s="44"/>
      <c r="BDP155" s="7"/>
      <c r="BDQ155" s="51"/>
      <c r="BDR155" s="52"/>
      <c r="BDS155" s="53"/>
      <c r="BDT155" s="54"/>
      <c r="BDU155" s="52"/>
      <c r="BDV155" s="53"/>
      <c r="BDW155" s="54"/>
      <c r="BDX155" s="52"/>
      <c r="BDY155" s="53"/>
      <c r="BDZ155" s="8"/>
      <c r="BEA155" s="45"/>
      <c r="BEB155" s="45"/>
      <c r="BEC155" s="46"/>
      <c r="BED155" s="44"/>
      <c r="BEE155" s="7"/>
      <c r="BEF155" s="51"/>
      <c r="BEG155" s="52"/>
      <c r="BEH155" s="53"/>
      <c r="BEI155" s="54"/>
      <c r="BEJ155" s="52"/>
      <c r="BEK155" s="53"/>
      <c r="BEL155" s="54"/>
      <c r="BEM155" s="52"/>
      <c r="BEN155" s="53"/>
      <c r="BEO155" s="8"/>
      <c r="BEP155" s="45"/>
      <c r="BEQ155" s="45"/>
      <c r="BER155" s="46"/>
      <c r="BES155" s="44"/>
      <c r="BET155" s="7"/>
      <c r="BEU155" s="51"/>
      <c r="BEV155" s="52"/>
      <c r="BEW155" s="53"/>
      <c r="BEX155" s="54"/>
      <c r="BEY155" s="52"/>
      <c r="BEZ155" s="53"/>
      <c r="BFA155" s="54"/>
      <c r="BFB155" s="52"/>
      <c r="BFC155" s="53"/>
      <c r="BFD155" s="8"/>
      <c r="BFE155" s="45"/>
      <c r="BFF155" s="45"/>
      <c r="BFG155" s="46"/>
      <c r="BFH155" s="44"/>
      <c r="BFI155" s="7"/>
      <c r="BFJ155" s="51"/>
      <c r="BFK155" s="52"/>
      <c r="BFL155" s="53"/>
      <c r="BFM155" s="54"/>
      <c r="BFN155" s="52"/>
      <c r="BFO155" s="53"/>
      <c r="BFP155" s="54"/>
      <c r="BFQ155" s="52"/>
      <c r="BFR155" s="53"/>
      <c r="BFS155" s="8"/>
      <c r="BFT155" s="45"/>
      <c r="BFU155" s="45"/>
      <c r="BFV155" s="46"/>
      <c r="BFW155" s="44"/>
      <c r="BFX155" s="7"/>
      <c r="BFY155" s="51"/>
      <c r="BFZ155" s="52"/>
      <c r="BGA155" s="53"/>
      <c r="BGB155" s="54"/>
      <c r="BGC155" s="52"/>
      <c r="BGD155" s="53"/>
      <c r="BGE155" s="54"/>
      <c r="BGF155" s="52"/>
      <c r="BGG155" s="53"/>
      <c r="BGH155" s="8"/>
      <c r="BGI155" s="45"/>
      <c r="BGJ155" s="45"/>
      <c r="BGK155" s="46"/>
      <c r="BGL155" s="44"/>
      <c r="BGM155" s="7"/>
      <c r="BGN155" s="51"/>
      <c r="BGO155" s="52"/>
      <c r="BGP155" s="53"/>
      <c r="BGQ155" s="54"/>
      <c r="BGR155" s="52"/>
      <c r="BGS155" s="53"/>
      <c r="BGT155" s="54"/>
      <c r="BGU155" s="52"/>
      <c r="BGV155" s="53"/>
      <c r="BGW155" s="8"/>
      <c r="BGX155" s="45"/>
      <c r="BGY155" s="45"/>
      <c r="BGZ155" s="46"/>
      <c r="BHA155" s="44"/>
      <c r="BHB155" s="7"/>
      <c r="BHC155" s="51"/>
      <c r="BHD155" s="52"/>
      <c r="BHE155" s="53"/>
      <c r="BHF155" s="54"/>
      <c r="BHG155" s="52"/>
      <c r="BHH155" s="53"/>
      <c r="BHI155" s="54"/>
      <c r="BHJ155" s="52"/>
      <c r="BHK155" s="53"/>
      <c r="BHL155" s="8"/>
      <c r="BHM155" s="45"/>
      <c r="BHN155" s="45"/>
      <c r="BHO155" s="46"/>
      <c r="BHP155" s="44"/>
      <c r="BHQ155" s="7"/>
      <c r="BHR155" s="51"/>
      <c r="BHS155" s="52"/>
      <c r="BHT155" s="53"/>
      <c r="BHU155" s="54"/>
      <c r="BHV155" s="52"/>
      <c r="BHW155" s="53"/>
      <c r="BHX155" s="54"/>
      <c r="BHY155" s="52"/>
      <c r="BHZ155" s="53"/>
      <c r="BIA155" s="8"/>
      <c r="BIB155" s="45"/>
      <c r="BIC155" s="45"/>
      <c r="BID155" s="46"/>
      <c r="BIE155" s="44"/>
      <c r="BIF155" s="7"/>
      <c r="BIG155" s="51"/>
      <c r="BIH155" s="52"/>
      <c r="BII155" s="53"/>
      <c r="BIJ155" s="54"/>
      <c r="BIK155" s="52"/>
      <c r="BIL155" s="53"/>
      <c r="BIM155" s="54"/>
      <c r="BIN155" s="52"/>
      <c r="BIO155" s="53"/>
      <c r="BIP155" s="8"/>
      <c r="BIQ155" s="45"/>
      <c r="BIR155" s="45"/>
      <c r="BIS155" s="46"/>
      <c r="BIT155" s="44"/>
      <c r="BIU155" s="7"/>
      <c r="BIV155" s="51"/>
      <c r="BIW155" s="52"/>
      <c r="BIX155" s="53"/>
      <c r="BIY155" s="54"/>
      <c r="BIZ155" s="52"/>
      <c r="BJA155" s="53"/>
      <c r="BJB155" s="54"/>
      <c r="BJC155" s="52"/>
      <c r="BJD155" s="53"/>
      <c r="BJE155" s="8"/>
      <c r="BJF155" s="45"/>
      <c r="BJG155" s="45"/>
      <c r="BJH155" s="46"/>
      <c r="BJI155" s="44"/>
      <c r="BJJ155" s="7"/>
      <c r="BJK155" s="51"/>
      <c r="BJL155" s="52"/>
      <c r="BJM155" s="53"/>
      <c r="BJN155" s="54"/>
      <c r="BJO155" s="52"/>
      <c r="BJP155" s="53"/>
      <c r="BJQ155" s="54"/>
      <c r="BJR155" s="52"/>
      <c r="BJS155" s="53"/>
      <c r="BJT155" s="8"/>
      <c r="BJU155" s="45"/>
      <c r="BJV155" s="45"/>
      <c r="BJW155" s="46"/>
      <c r="BJX155" s="44"/>
      <c r="BJY155" s="7"/>
      <c r="BJZ155" s="51"/>
      <c r="BKA155" s="52"/>
      <c r="BKB155" s="53"/>
      <c r="BKC155" s="54"/>
      <c r="BKD155" s="52"/>
      <c r="BKE155" s="53"/>
      <c r="BKF155" s="54"/>
      <c r="BKG155" s="52"/>
      <c r="BKH155" s="53"/>
      <c r="BKI155" s="8"/>
      <c r="BKJ155" s="45"/>
      <c r="BKK155" s="45"/>
      <c r="BKL155" s="46"/>
      <c r="BKM155" s="44"/>
      <c r="BKN155" s="7"/>
      <c r="BKO155" s="51"/>
      <c r="BKP155" s="52"/>
      <c r="BKQ155" s="53"/>
      <c r="BKR155" s="54"/>
      <c r="BKS155" s="52"/>
      <c r="BKT155" s="53"/>
      <c r="BKU155" s="54"/>
      <c r="BKV155" s="52"/>
      <c r="BKW155" s="53"/>
      <c r="BKX155" s="8"/>
      <c r="BKY155" s="45"/>
      <c r="BKZ155" s="45"/>
      <c r="BLA155" s="46"/>
      <c r="BLB155" s="44"/>
      <c r="BLC155" s="7"/>
      <c r="BLD155" s="51"/>
      <c r="BLE155" s="52"/>
      <c r="BLF155" s="53"/>
      <c r="BLG155" s="54"/>
      <c r="BLH155" s="52"/>
      <c r="BLI155" s="53"/>
      <c r="BLJ155" s="54"/>
      <c r="BLK155" s="52"/>
      <c r="BLL155" s="53"/>
      <c r="BLM155" s="8"/>
      <c r="BLN155" s="45"/>
      <c r="BLO155" s="45"/>
      <c r="BLP155" s="46"/>
      <c r="BLQ155" s="44"/>
      <c r="BLR155" s="7"/>
      <c r="BLS155" s="51"/>
      <c r="BLT155" s="52"/>
      <c r="BLU155" s="53"/>
      <c r="BLV155" s="54"/>
      <c r="BLW155" s="52"/>
      <c r="BLX155" s="53"/>
      <c r="BLY155" s="54"/>
      <c r="BLZ155" s="52"/>
      <c r="BMA155" s="53"/>
      <c r="BMB155" s="8"/>
      <c r="BMC155" s="45"/>
      <c r="BMD155" s="45"/>
      <c r="BME155" s="46"/>
      <c r="BMF155" s="44"/>
      <c r="BMG155" s="7"/>
      <c r="BMH155" s="51"/>
      <c r="BMI155" s="52"/>
      <c r="BMJ155" s="53"/>
      <c r="BMK155" s="54"/>
      <c r="BML155" s="52"/>
      <c r="BMM155" s="53"/>
      <c r="BMN155" s="54"/>
      <c r="BMO155" s="52"/>
      <c r="BMP155" s="53"/>
      <c r="BMQ155" s="8"/>
      <c r="BMR155" s="45"/>
      <c r="BMS155" s="45"/>
      <c r="BMT155" s="46"/>
      <c r="BMU155" s="44"/>
      <c r="BMV155" s="7"/>
      <c r="BMW155" s="51"/>
      <c r="BMX155" s="52"/>
      <c r="BMY155" s="53"/>
      <c r="BMZ155" s="54"/>
      <c r="BNA155" s="52"/>
      <c r="BNB155" s="53"/>
      <c r="BNC155" s="54"/>
      <c r="BND155" s="52"/>
      <c r="BNE155" s="53"/>
      <c r="BNF155" s="8"/>
      <c r="BNG155" s="45"/>
      <c r="BNH155" s="45"/>
      <c r="BNI155" s="46"/>
      <c r="BNJ155" s="44"/>
      <c r="BNK155" s="7"/>
      <c r="BNL155" s="51"/>
      <c r="BNM155" s="52"/>
      <c r="BNN155" s="53"/>
      <c r="BNO155" s="54"/>
      <c r="BNP155" s="52"/>
      <c r="BNQ155" s="53"/>
      <c r="BNR155" s="54"/>
      <c r="BNS155" s="52"/>
      <c r="BNT155" s="53"/>
      <c r="BNU155" s="8"/>
      <c r="BNV155" s="45"/>
      <c r="BNW155" s="45"/>
      <c r="BNX155" s="46"/>
      <c r="BNY155" s="44"/>
      <c r="BNZ155" s="7"/>
      <c r="BOA155" s="51"/>
      <c r="BOB155" s="52"/>
      <c r="BOC155" s="53"/>
      <c r="BOD155" s="54"/>
      <c r="BOE155" s="52"/>
      <c r="BOF155" s="53"/>
      <c r="BOG155" s="54"/>
      <c r="BOH155" s="52"/>
      <c r="BOI155" s="53"/>
      <c r="BOJ155" s="8"/>
      <c r="BOK155" s="45"/>
      <c r="BOL155" s="45"/>
      <c r="BOM155" s="46"/>
      <c r="BON155" s="44"/>
      <c r="BOO155" s="7"/>
      <c r="BOP155" s="51"/>
      <c r="BOQ155" s="52"/>
      <c r="BOR155" s="53"/>
      <c r="BOS155" s="54"/>
      <c r="BOT155" s="52"/>
      <c r="BOU155" s="53"/>
      <c r="BOV155" s="54"/>
      <c r="BOW155" s="52"/>
      <c r="BOX155" s="53"/>
      <c r="BOY155" s="8"/>
      <c r="BOZ155" s="45"/>
      <c r="BPA155" s="45"/>
      <c r="BPB155" s="46"/>
      <c r="BPC155" s="44"/>
      <c r="BPD155" s="7"/>
      <c r="BPE155" s="51"/>
      <c r="BPF155" s="52"/>
      <c r="BPG155" s="53"/>
      <c r="BPH155" s="54"/>
      <c r="BPI155" s="52"/>
      <c r="BPJ155" s="53"/>
      <c r="BPK155" s="54"/>
      <c r="BPL155" s="52"/>
      <c r="BPM155" s="53"/>
      <c r="BPN155" s="8"/>
      <c r="BPO155" s="45"/>
      <c r="BPP155" s="45"/>
      <c r="BPQ155" s="46"/>
      <c r="BPR155" s="44"/>
      <c r="BPS155" s="7"/>
      <c r="BPT155" s="51"/>
      <c r="BPU155" s="52"/>
      <c r="BPV155" s="53"/>
      <c r="BPW155" s="54"/>
      <c r="BPX155" s="52"/>
      <c r="BPY155" s="53"/>
      <c r="BPZ155" s="54"/>
      <c r="BQA155" s="52"/>
      <c r="BQB155" s="53"/>
      <c r="BQC155" s="8"/>
      <c r="BQD155" s="45"/>
      <c r="BQE155" s="45"/>
      <c r="BQF155" s="46"/>
      <c r="BQG155" s="44"/>
      <c r="BQH155" s="7"/>
      <c r="BQI155" s="51"/>
      <c r="BQJ155" s="52"/>
      <c r="BQK155" s="53"/>
      <c r="BQL155" s="54"/>
      <c r="BQM155" s="52"/>
      <c r="BQN155" s="53"/>
      <c r="BQO155" s="54"/>
      <c r="BQP155" s="52"/>
      <c r="BQQ155" s="53"/>
      <c r="BQR155" s="8"/>
      <c r="BQS155" s="45"/>
      <c r="BQT155" s="45"/>
      <c r="BQU155" s="46"/>
      <c r="BQV155" s="44"/>
      <c r="BQW155" s="7"/>
      <c r="BQX155" s="51"/>
      <c r="BQY155" s="52"/>
      <c r="BQZ155" s="53"/>
      <c r="BRA155" s="54"/>
      <c r="BRB155" s="52"/>
      <c r="BRC155" s="53"/>
      <c r="BRD155" s="54"/>
      <c r="BRE155" s="52"/>
      <c r="BRF155" s="53"/>
      <c r="BRG155" s="8"/>
      <c r="BRH155" s="45"/>
      <c r="BRI155" s="45"/>
      <c r="BRJ155" s="46"/>
      <c r="BRK155" s="44"/>
      <c r="BRL155" s="7"/>
      <c r="BRM155" s="51"/>
      <c r="BRN155" s="52"/>
      <c r="BRO155" s="53"/>
      <c r="BRP155" s="54"/>
      <c r="BRQ155" s="52"/>
      <c r="BRR155" s="53"/>
      <c r="BRS155" s="54"/>
      <c r="BRT155" s="52"/>
      <c r="BRU155" s="53"/>
      <c r="BRV155" s="8"/>
      <c r="BRW155" s="45"/>
      <c r="BRX155" s="45"/>
      <c r="BRY155" s="46"/>
      <c r="BRZ155" s="44"/>
      <c r="BSA155" s="7"/>
      <c r="BSB155" s="51"/>
      <c r="BSC155" s="52"/>
      <c r="BSD155" s="53"/>
      <c r="BSE155" s="54"/>
      <c r="BSF155" s="52"/>
      <c r="BSG155" s="53"/>
      <c r="BSH155" s="54"/>
      <c r="BSI155" s="52"/>
      <c r="BSJ155" s="53"/>
      <c r="BSK155" s="8"/>
      <c r="BSL155" s="45"/>
      <c r="BSM155" s="45"/>
      <c r="BSN155" s="46"/>
      <c r="BSO155" s="44"/>
      <c r="BSP155" s="7"/>
      <c r="BSQ155" s="51"/>
      <c r="BSR155" s="52"/>
      <c r="BSS155" s="53"/>
      <c r="BST155" s="54"/>
      <c r="BSU155" s="52"/>
      <c r="BSV155" s="53"/>
      <c r="BSW155" s="54"/>
      <c r="BSX155" s="52"/>
      <c r="BSY155" s="53"/>
      <c r="BSZ155" s="8"/>
      <c r="BTA155" s="45"/>
      <c r="BTB155" s="45"/>
      <c r="BTC155" s="46"/>
      <c r="BTD155" s="44"/>
      <c r="BTE155" s="7"/>
      <c r="BTF155" s="51"/>
      <c r="BTG155" s="52"/>
      <c r="BTH155" s="53"/>
      <c r="BTI155" s="54"/>
      <c r="BTJ155" s="52"/>
      <c r="BTK155" s="53"/>
      <c r="BTL155" s="54"/>
      <c r="BTM155" s="52"/>
      <c r="BTN155" s="53"/>
      <c r="BTO155" s="8"/>
      <c r="BTP155" s="45"/>
      <c r="BTQ155" s="45"/>
      <c r="BTR155" s="46"/>
      <c r="BTS155" s="44"/>
      <c r="BTT155" s="7"/>
      <c r="BTU155" s="51"/>
      <c r="BTV155" s="52"/>
      <c r="BTW155" s="53"/>
      <c r="BTX155" s="54"/>
      <c r="BTY155" s="52"/>
      <c r="BTZ155" s="53"/>
      <c r="BUA155" s="54"/>
      <c r="BUB155" s="52"/>
      <c r="BUC155" s="53"/>
      <c r="BUD155" s="8"/>
      <c r="BUE155" s="45"/>
      <c r="BUF155" s="45"/>
      <c r="BUG155" s="46"/>
      <c r="BUH155" s="44"/>
      <c r="BUI155" s="7"/>
      <c r="BUJ155" s="51"/>
      <c r="BUK155" s="52"/>
      <c r="BUL155" s="53"/>
      <c r="BUM155" s="54"/>
      <c r="BUN155" s="52"/>
      <c r="BUO155" s="53"/>
      <c r="BUP155" s="54"/>
      <c r="BUQ155" s="52"/>
      <c r="BUR155" s="53"/>
      <c r="BUS155" s="8"/>
      <c r="BUT155" s="45"/>
      <c r="BUU155" s="45"/>
      <c r="BUV155" s="46"/>
      <c r="BUW155" s="44"/>
      <c r="BUX155" s="7"/>
      <c r="BUY155" s="51"/>
      <c r="BUZ155" s="52"/>
      <c r="BVA155" s="53"/>
      <c r="BVB155" s="54"/>
      <c r="BVC155" s="52"/>
      <c r="BVD155" s="53"/>
      <c r="BVE155" s="54"/>
      <c r="BVF155" s="52"/>
      <c r="BVG155" s="53"/>
      <c r="BVH155" s="8"/>
      <c r="BVI155" s="45"/>
      <c r="BVJ155" s="45"/>
      <c r="BVK155" s="46"/>
      <c r="BVL155" s="44"/>
      <c r="BVM155" s="7"/>
      <c r="BVN155" s="51"/>
      <c r="BVO155" s="52"/>
      <c r="BVP155" s="53"/>
      <c r="BVQ155" s="54"/>
      <c r="BVR155" s="52"/>
      <c r="BVS155" s="53"/>
      <c r="BVT155" s="54"/>
      <c r="BVU155" s="52"/>
      <c r="BVV155" s="53"/>
      <c r="BVW155" s="8"/>
      <c r="BVX155" s="45"/>
      <c r="BVY155" s="45"/>
      <c r="BVZ155" s="46"/>
      <c r="BWA155" s="44"/>
      <c r="BWB155" s="7"/>
      <c r="BWC155" s="51"/>
      <c r="BWD155" s="52"/>
      <c r="BWE155" s="53"/>
      <c r="BWF155" s="54"/>
      <c r="BWG155" s="52"/>
      <c r="BWH155" s="53"/>
      <c r="BWI155" s="54"/>
      <c r="BWJ155" s="52"/>
      <c r="BWK155" s="53"/>
      <c r="BWL155" s="8"/>
      <c r="BWM155" s="45"/>
      <c r="BWN155" s="45"/>
      <c r="BWO155" s="46"/>
      <c r="BWP155" s="44"/>
      <c r="BWQ155" s="7"/>
      <c r="BWR155" s="51"/>
      <c r="BWS155" s="52"/>
      <c r="BWT155" s="53"/>
      <c r="BWU155" s="54"/>
      <c r="BWV155" s="52"/>
      <c r="BWW155" s="53"/>
      <c r="BWX155" s="54"/>
      <c r="BWY155" s="52"/>
      <c r="BWZ155" s="53"/>
      <c r="BXA155" s="8"/>
      <c r="BXB155" s="45"/>
      <c r="BXC155" s="45"/>
      <c r="BXD155" s="46"/>
      <c r="BXE155" s="44"/>
      <c r="BXF155" s="7"/>
      <c r="BXG155" s="51"/>
      <c r="BXH155" s="52"/>
      <c r="BXI155" s="53"/>
      <c r="BXJ155" s="54"/>
      <c r="BXK155" s="52"/>
      <c r="BXL155" s="53"/>
      <c r="BXM155" s="54"/>
      <c r="BXN155" s="52"/>
      <c r="BXO155" s="53"/>
      <c r="BXP155" s="8"/>
      <c r="BXQ155" s="45"/>
      <c r="BXR155" s="45"/>
      <c r="BXS155" s="46"/>
      <c r="BXT155" s="44"/>
      <c r="BXU155" s="7"/>
      <c r="BXV155" s="51"/>
      <c r="BXW155" s="52"/>
      <c r="BXX155" s="53"/>
      <c r="BXY155" s="54"/>
      <c r="BXZ155" s="52"/>
      <c r="BYA155" s="53"/>
      <c r="BYB155" s="54"/>
      <c r="BYC155" s="52"/>
      <c r="BYD155" s="53"/>
      <c r="BYE155" s="8"/>
      <c r="BYF155" s="45"/>
      <c r="BYG155" s="45"/>
      <c r="BYH155" s="46"/>
      <c r="BYI155" s="44"/>
      <c r="BYJ155" s="7"/>
      <c r="BYK155" s="51"/>
      <c r="BYL155" s="52"/>
      <c r="BYM155" s="53"/>
      <c r="BYN155" s="54"/>
      <c r="BYO155" s="52"/>
      <c r="BYP155" s="53"/>
      <c r="BYQ155" s="54"/>
      <c r="BYR155" s="52"/>
      <c r="BYS155" s="53"/>
      <c r="BYT155" s="8"/>
      <c r="BYU155" s="45"/>
      <c r="BYV155" s="45"/>
      <c r="BYW155" s="46"/>
      <c r="BYX155" s="44"/>
      <c r="BYY155" s="7"/>
      <c r="BYZ155" s="51"/>
      <c r="BZA155" s="52"/>
      <c r="BZB155" s="53"/>
      <c r="BZC155" s="54"/>
      <c r="BZD155" s="52"/>
      <c r="BZE155" s="53"/>
      <c r="BZF155" s="54"/>
      <c r="BZG155" s="52"/>
      <c r="BZH155" s="53"/>
      <c r="BZI155" s="8"/>
      <c r="BZJ155" s="45"/>
      <c r="BZK155" s="45"/>
      <c r="BZL155" s="46"/>
      <c r="BZM155" s="44"/>
      <c r="BZN155" s="7"/>
      <c r="BZO155" s="51"/>
      <c r="BZP155" s="52"/>
      <c r="BZQ155" s="53"/>
      <c r="BZR155" s="54"/>
      <c r="BZS155" s="52"/>
      <c r="BZT155" s="53"/>
      <c r="BZU155" s="54"/>
      <c r="BZV155" s="52"/>
      <c r="BZW155" s="53"/>
      <c r="BZX155" s="8"/>
      <c r="BZY155" s="45"/>
      <c r="BZZ155" s="45"/>
      <c r="CAA155" s="46"/>
      <c r="CAB155" s="44"/>
      <c r="CAC155" s="7"/>
      <c r="CAD155" s="51"/>
      <c r="CAE155" s="52"/>
      <c r="CAF155" s="53"/>
      <c r="CAG155" s="54"/>
      <c r="CAH155" s="52"/>
      <c r="CAI155" s="53"/>
      <c r="CAJ155" s="54"/>
      <c r="CAK155" s="52"/>
      <c r="CAL155" s="53"/>
      <c r="CAM155" s="8"/>
      <c r="CAN155" s="45"/>
      <c r="CAO155" s="45"/>
      <c r="CAP155" s="46"/>
      <c r="CAQ155" s="44"/>
      <c r="CAR155" s="7"/>
      <c r="CAS155" s="51"/>
      <c r="CAT155" s="52"/>
      <c r="CAU155" s="53"/>
      <c r="CAV155" s="54"/>
      <c r="CAW155" s="52"/>
      <c r="CAX155" s="53"/>
      <c r="CAY155" s="54"/>
      <c r="CAZ155" s="52"/>
      <c r="CBA155" s="53"/>
      <c r="CBB155" s="8"/>
      <c r="CBC155" s="45"/>
      <c r="CBD155" s="45"/>
      <c r="CBE155" s="46"/>
      <c r="CBF155" s="44"/>
      <c r="CBG155" s="7"/>
      <c r="CBH155" s="51"/>
      <c r="CBI155" s="52"/>
      <c r="CBJ155" s="53"/>
      <c r="CBK155" s="54"/>
      <c r="CBL155" s="52"/>
      <c r="CBM155" s="53"/>
      <c r="CBN155" s="54"/>
      <c r="CBO155" s="52"/>
      <c r="CBP155" s="53"/>
      <c r="CBQ155" s="8"/>
      <c r="CBR155" s="45"/>
      <c r="CBS155" s="45"/>
      <c r="CBT155" s="46"/>
      <c r="CBU155" s="44"/>
      <c r="CBV155" s="7"/>
      <c r="CBW155" s="51"/>
      <c r="CBX155" s="52"/>
      <c r="CBY155" s="53"/>
      <c r="CBZ155" s="54"/>
      <c r="CCA155" s="52"/>
      <c r="CCB155" s="53"/>
      <c r="CCC155" s="54"/>
      <c r="CCD155" s="52"/>
      <c r="CCE155" s="53"/>
      <c r="CCF155" s="8"/>
      <c r="CCG155" s="45"/>
      <c r="CCH155" s="45"/>
      <c r="CCI155" s="46"/>
      <c r="CCJ155" s="44"/>
      <c r="CCK155" s="7"/>
      <c r="CCL155" s="51"/>
      <c r="CCM155" s="52"/>
      <c r="CCN155" s="53"/>
      <c r="CCO155" s="54"/>
      <c r="CCP155" s="52"/>
      <c r="CCQ155" s="53"/>
      <c r="CCR155" s="54"/>
      <c r="CCS155" s="52"/>
      <c r="CCT155" s="53"/>
      <c r="CCU155" s="8"/>
      <c r="CCV155" s="45"/>
      <c r="CCW155" s="45"/>
      <c r="CCX155" s="46"/>
      <c r="CCY155" s="44"/>
      <c r="CCZ155" s="7"/>
      <c r="CDA155" s="51"/>
      <c r="CDB155" s="52"/>
      <c r="CDC155" s="53"/>
      <c r="CDD155" s="54"/>
      <c r="CDE155" s="52"/>
      <c r="CDF155" s="53"/>
      <c r="CDG155" s="54"/>
      <c r="CDH155" s="52"/>
      <c r="CDI155" s="53"/>
      <c r="CDJ155" s="8"/>
      <c r="CDK155" s="45"/>
      <c r="CDL155" s="45"/>
      <c r="CDM155" s="46"/>
      <c r="CDN155" s="44"/>
      <c r="CDO155" s="7"/>
      <c r="CDP155" s="51"/>
      <c r="CDQ155" s="52"/>
      <c r="CDR155" s="53"/>
      <c r="CDS155" s="54"/>
      <c r="CDT155" s="52"/>
      <c r="CDU155" s="53"/>
      <c r="CDV155" s="54"/>
      <c r="CDW155" s="52"/>
      <c r="CDX155" s="53"/>
      <c r="CDY155" s="8"/>
      <c r="CDZ155" s="45"/>
      <c r="CEA155" s="45"/>
      <c r="CEB155" s="46"/>
      <c r="CEC155" s="44"/>
      <c r="CED155" s="7"/>
      <c r="CEE155" s="51"/>
      <c r="CEF155" s="52"/>
      <c r="CEG155" s="53"/>
      <c r="CEH155" s="54"/>
      <c r="CEI155" s="52"/>
      <c r="CEJ155" s="53"/>
      <c r="CEK155" s="54"/>
      <c r="CEL155" s="52"/>
      <c r="CEM155" s="53"/>
      <c r="CEN155" s="8"/>
      <c r="CEO155" s="45"/>
      <c r="CEP155" s="45"/>
      <c r="CEQ155" s="46"/>
      <c r="CER155" s="44"/>
      <c r="CES155" s="7"/>
      <c r="CET155" s="51"/>
      <c r="CEU155" s="52"/>
      <c r="CEV155" s="53"/>
      <c r="CEW155" s="54"/>
      <c r="CEX155" s="52"/>
      <c r="CEY155" s="53"/>
      <c r="CEZ155" s="54"/>
      <c r="CFA155" s="52"/>
      <c r="CFB155" s="53"/>
      <c r="CFC155" s="8"/>
      <c r="CFD155" s="45"/>
      <c r="CFE155" s="45"/>
      <c r="CFF155" s="46"/>
      <c r="CFG155" s="44"/>
      <c r="CFH155" s="7"/>
      <c r="CFI155" s="51"/>
      <c r="CFJ155" s="52"/>
      <c r="CFK155" s="53"/>
      <c r="CFL155" s="54"/>
      <c r="CFM155" s="52"/>
      <c r="CFN155" s="53"/>
      <c r="CFO155" s="54"/>
      <c r="CFP155" s="52"/>
      <c r="CFQ155" s="53"/>
      <c r="CFR155" s="8"/>
      <c r="CFS155" s="45"/>
      <c r="CFT155" s="45"/>
      <c r="CFU155" s="46"/>
      <c r="CFV155" s="44"/>
      <c r="CFW155" s="7"/>
      <c r="CFX155" s="51"/>
      <c r="CFY155" s="52"/>
      <c r="CFZ155" s="53"/>
      <c r="CGA155" s="54"/>
      <c r="CGB155" s="52"/>
      <c r="CGC155" s="53"/>
      <c r="CGD155" s="54"/>
      <c r="CGE155" s="52"/>
      <c r="CGF155" s="53"/>
      <c r="CGG155" s="8"/>
      <c r="CGH155" s="45"/>
      <c r="CGI155" s="45"/>
      <c r="CGJ155" s="46"/>
      <c r="CGK155" s="44"/>
      <c r="CGL155" s="7"/>
      <c r="CGM155" s="51"/>
      <c r="CGN155" s="52"/>
      <c r="CGO155" s="53"/>
      <c r="CGP155" s="54"/>
      <c r="CGQ155" s="52"/>
      <c r="CGR155" s="53"/>
      <c r="CGS155" s="54"/>
      <c r="CGT155" s="52"/>
      <c r="CGU155" s="53"/>
      <c r="CGV155" s="8"/>
      <c r="CGW155" s="45"/>
      <c r="CGX155" s="45"/>
      <c r="CGY155" s="46"/>
      <c r="CGZ155" s="44"/>
      <c r="CHA155" s="7"/>
      <c r="CHB155" s="51"/>
      <c r="CHC155" s="52"/>
      <c r="CHD155" s="53"/>
      <c r="CHE155" s="54"/>
      <c r="CHF155" s="52"/>
      <c r="CHG155" s="53"/>
      <c r="CHH155" s="54"/>
      <c r="CHI155" s="52"/>
      <c r="CHJ155" s="53"/>
      <c r="CHK155" s="8"/>
      <c r="CHL155" s="45"/>
      <c r="CHM155" s="45"/>
      <c r="CHN155" s="46"/>
      <c r="CHO155" s="44"/>
      <c r="CHP155" s="7"/>
      <c r="CHQ155" s="51"/>
      <c r="CHR155" s="52"/>
      <c r="CHS155" s="53"/>
      <c r="CHT155" s="54"/>
      <c r="CHU155" s="52"/>
      <c r="CHV155" s="53"/>
      <c r="CHW155" s="54"/>
      <c r="CHX155" s="52"/>
      <c r="CHY155" s="53"/>
      <c r="CHZ155" s="8"/>
      <c r="CIA155" s="45"/>
      <c r="CIB155" s="45"/>
      <c r="CIC155" s="46"/>
      <c r="CID155" s="44"/>
      <c r="CIE155" s="7"/>
      <c r="CIF155" s="51"/>
      <c r="CIG155" s="52"/>
      <c r="CIH155" s="53"/>
      <c r="CII155" s="54"/>
      <c r="CIJ155" s="52"/>
      <c r="CIK155" s="53"/>
      <c r="CIL155" s="54"/>
      <c r="CIM155" s="52"/>
      <c r="CIN155" s="53"/>
      <c r="CIO155" s="8"/>
      <c r="CIP155" s="45"/>
      <c r="CIQ155" s="45"/>
      <c r="CIR155" s="46"/>
      <c r="CIS155" s="44"/>
      <c r="CIT155" s="7"/>
      <c r="CIU155" s="51"/>
      <c r="CIV155" s="52"/>
      <c r="CIW155" s="53"/>
      <c r="CIX155" s="54"/>
      <c r="CIY155" s="52"/>
      <c r="CIZ155" s="53"/>
      <c r="CJA155" s="54"/>
      <c r="CJB155" s="52"/>
      <c r="CJC155" s="53"/>
      <c r="CJD155" s="8"/>
      <c r="CJE155" s="45"/>
      <c r="CJF155" s="45"/>
      <c r="CJG155" s="46"/>
      <c r="CJH155" s="44"/>
      <c r="CJI155" s="7"/>
      <c r="CJJ155" s="51"/>
      <c r="CJK155" s="52"/>
      <c r="CJL155" s="53"/>
      <c r="CJM155" s="54"/>
      <c r="CJN155" s="52"/>
      <c r="CJO155" s="53"/>
      <c r="CJP155" s="54"/>
      <c r="CJQ155" s="52"/>
      <c r="CJR155" s="53"/>
      <c r="CJS155" s="8"/>
      <c r="CJT155" s="45"/>
      <c r="CJU155" s="45"/>
      <c r="CJV155" s="46"/>
      <c r="CJW155" s="44"/>
      <c r="CJX155" s="7"/>
      <c r="CJY155" s="51"/>
      <c r="CJZ155" s="52"/>
      <c r="CKA155" s="53"/>
      <c r="CKB155" s="54"/>
      <c r="CKC155" s="52"/>
      <c r="CKD155" s="53"/>
      <c r="CKE155" s="54"/>
      <c r="CKF155" s="52"/>
      <c r="CKG155" s="53"/>
      <c r="CKH155" s="8"/>
      <c r="CKI155" s="45"/>
      <c r="CKJ155" s="45"/>
      <c r="CKK155" s="46"/>
      <c r="CKL155" s="44"/>
      <c r="CKM155" s="7"/>
      <c r="CKN155" s="51"/>
      <c r="CKO155" s="52"/>
      <c r="CKP155" s="53"/>
      <c r="CKQ155" s="54"/>
      <c r="CKR155" s="52"/>
      <c r="CKS155" s="53"/>
      <c r="CKT155" s="54"/>
      <c r="CKU155" s="52"/>
      <c r="CKV155" s="53"/>
      <c r="CKW155" s="8"/>
      <c r="CKX155" s="45"/>
      <c r="CKY155" s="45"/>
      <c r="CKZ155" s="46"/>
      <c r="CLA155" s="44"/>
      <c r="CLB155" s="7"/>
      <c r="CLC155" s="51"/>
      <c r="CLD155" s="52"/>
      <c r="CLE155" s="53"/>
      <c r="CLF155" s="54"/>
      <c r="CLG155" s="52"/>
      <c r="CLH155" s="53"/>
      <c r="CLI155" s="54"/>
      <c r="CLJ155" s="52"/>
      <c r="CLK155" s="53"/>
      <c r="CLL155" s="8"/>
      <c r="CLM155" s="45"/>
      <c r="CLN155" s="45"/>
      <c r="CLO155" s="46"/>
      <c r="CLP155" s="44"/>
      <c r="CLQ155" s="7"/>
      <c r="CLR155" s="51"/>
      <c r="CLS155" s="52"/>
      <c r="CLT155" s="53"/>
      <c r="CLU155" s="54"/>
      <c r="CLV155" s="52"/>
      <c r="CLW155" s="53"/>
      <c r="CLX155" s="54"/>
      <c r="CLY155" s="52"/>
      <c r="CLZ155" s="53"/>
      <c r="CMA155" s="8"/>
      <c r="CMB155" s="45"/>
      <c r="CMC155" s="45"/>
      <c r="CMD155" s="46"/>
      <c r="CME155" s="44"/>
      <c r="CMF155" s="7"/>
      <c r="CMG155" s="51"/>
      <c r="CMH155" s="52"/>
      <c r="CMI155" s="53"/>
      <c r="CMJ155" s="54"/>
      <c r="CMK155" s="52"/>
      <c r="CML155" s="53"/>
      <c r="CMM155" s="54"/>
      <c r="CMN155" s="52"/>
      <c r="CMO155" s="53"/>
      <c r="CMP155" s="8"/>
      <c r="CMQ155" s="45"/>
      <c r="CMR155" s="45"/>
      <c r="CMS155" s="46"/>
      <c r="CMT155" s="44"/>
      <c r="CMU155" s="7"/>
      <c r="CMV155" s="51"/>
      <c r="CMW155" s="52"/>
      <c r="CMX155" s="53"/>
      <c r="CMY155" s="54"/>
      <c r="CMZ155" s="52"/>
      <c r="CNA155" s="53"/>
      <c r="CNB155" s="54"/>
      <c r="CNC155" s="52"/>
      <c r="CND155" s="53"/>
      <c r="CNE155" s="8"/>
      <c r="CNF155" s="45"/>
      <c r="CNG155" s="45"/>
      <c r="CNH155" s="46"/>
      <c r="CNI155" s="44"/>
      <c r="CNJ155" s="7"/>
      <c r="CNK155" s="51"/>
      <c r="CNL155" s="52"/>
      <c r="CNM155" s="53"/>
      <c r="CNN155" s="54"/>
      <c r="CNO155" s="52"/>
      <c r="CNP155" s="53"/>
      <c r="CNQ155" s="54"/>
      <c r="CNR155" s="52"/>
      <c r="CNS155" s="53"/>
      <c r="CNT155" s="8"/>
      <c r="CNU155" s="45"/>
      <c r="CNV155" s="45"/>
      <c r="CNW155" s="46"/>
      <c r="CNX155" s="44"/>
      <c r="CNY155" s="7"/>
      <c r="CNZ155" s="51"/>
      <c r="COA155" s="52"/>
      <c r="COB155" s="53"/>
      <c r="COC155" s="54"/>
      <c r="COD155" s="52"/>
      <c r="COE155" s="53"/>
      <c r="COF155" s="54"/>
      <c r="COG155" s="52"/>
      <c r="COH155" s="53"/>
      <c r="COI155" s="8"/>
      <c r="COJ155" s="45"/>
      <c r="COK155" s="45"/>
      <c r="COL155" s="46"/>
      <c r="COM155" s="44"/>
      <c r="CON155" s="7"/>
      <c r="COO155" s="51"/>
      <c r="COP155" s="52"/>
      <c r="COQ155" s="53"/>
      <c r="COR155" s="54"/>
      <c r="COS155" s="52"/>
      <c r="COT155" s="53"/>
      <c r="COU155" s="54"/>
      <c r="COV155" s="52"/>
      <c r="COW155" s="53"/>
      <c r="COX155" s="8"/>
      <c r="COY155" s="45"/>
      <c r="COZ155" s="45"/>
      <c r="CPA155" s="46"/>
      <c r="CPB155" s="44"/>
      <c r="CPC155" s="7"/>
      <c r="CPD155" s="51"/>
      <c r="CPE155" s="52"/>
      <c r="CPF155" s="53"/>
      <c r="CPG155" s="54"/>
      <c r="CPH155" s="52"/>
      <c r="CPI155" s="53"/>
      <c r="CPJ155" s="54"/>
      <c r="CPK155" s="52"/>
      <c r="CPL155" s="53"/>
      <c r="CPM155" s="8"/>
      <c r="CPN155" s="45"/>
      <c r="CPO155" s="45"/>
      <c r="CPP155" s="46"/>
      <c r="CPQ155" s="44"/>
      <c r="CPR155" s="7"/>
      <c r="CPS155" s="51"/>
      <c r="CPT155" s="52"/>
      <c r="CPU155" s="53"/>
      <c r="CPV155" s="54"/>
      <c r="CPW155" s="52"/>
      <c r="CPX155" s="53"/>
      <c r="CPY155" s="54"/>
      <c r="CPZ155" s="52"/>
      <c r="CQA155" s="53"/>
      <c r="CQB155" s="8"/>
      <c r="CQC155" s="45"/>
      <c r="CQD155" s="45"/>
      <c r="CQE155" s="46"/>
      <c r="CQF155" s="44"/>
      <c r="CQG155" s="7"/>
      <c r="CQH155" s="51"/>
      <c r="CQI155" s="52"/>
      <c r="CQJ155" s="53"/>
      <c r="CQK155" s="54"/>
      <c r="CQL155" s="52"/>
      <c r="CQM155" s="53"/>
      <c r="CQN155" s="54"/>
      <c r="CQO155" s="52"/>
      <c r="CQP155" s="53"/>
      <c r="CQQ155" s="8"/>
      <c r="CQR155" s="45"/>
      <c r="CQS155" s="45"/>
      <c r="CQT155" s="46"/>
      <c r="CQU155" s="44"/>
      <c r="CQV155" s="7"/>
      <c r="CQW155" s="51"/>
      <c r="CQX155" s="52"/>
      <c r="CQY155" s="53"/>
      <c r="CQZ155" s="54"/>
      <c r="CRA155" s="52"/>
      <c r="CRB155" s="53"/>
      <c r="CRC155" s="54"/>
      <c r="CRD155" s="52"/>
      <c r="CRE155" s="53"/>
      <c r="CRF155" s="8"/>
      <c r="CRG155" s="45"/>
      <c r="CRH155" s="45"/>
      <c r="CRI155" s="46"/>
      <c r="CRJ155" s="44"/>
      <c r="CRK155" s="7"/>
      <c r="CRL155" s="51"/>
      <c r="CRM155" s="52"/>
      <c r="CRN155" s="53"/>
      <c r="CRO155" s="54"/>
      <c r="CRP155" s="52"/>
      <c r="CRQ155" s="53"/>
      <c r="CRR155" s="54"/>
      <c r="CRS155" s="52"/>
      <c r="CRT155" s="53"/>
      <c r="CRU155" s="8"/>
      <c r="CRV155" s="45"/>
      <c r="CRW155" s="45"/>
      <c r="CRX155" s="46"/>
      <c r="CRY155" s="44"/>
      <c r="CRZ155" s="7"/>
      <c r="CSA155" s="51"/>
      <c r="CSB155" s="52"/>
      <c r="CSC155" s="53"/>
      <c r="CSD155" s="54"/>
      <c r="CSE155" s="52"/>
      <c r="CSF155" s="53"/>
      <c r="CSG155" s="54"/>
      <c r="CSH155" s="52"/>
      <c r="CSI155" s="53"/>
      <c r="CSJ155" s="8"/>
      <c r="CSK155" s="45"/>
      <c r="CSL155" s="45"/>
      <c r="CSM155" s="46"/>
      <c r="CSN155" s="44"/>
      <c r="CSO155" s="7"/>
      <c r="CSP155" s="51"/>
      <c r="CSQ155" s="52"/>
      <c r="CSR155" s="53"/>
      <c r="CSS155" s="54"/>
      <c r="CST155" s="52"/>
      <c r="CSU155" s="53"/>
      <c r="CSV155" s="54"/>
      <c r="CSW155" s="52"/>
      <c r="CSX155" s="53"/>
      <c r="CSY155" s="8"/>
      <c r="CSZ155" s="45"/>
      <c r="CTA155" s="45"/>
      <c r="CTB155" s="46"/>
      <c r="CTC155" s="44"/>
      <c r="CTD155" s="7"/>
      <c r="CTE155" s="51"/>
      <c r="CTF155" s="52"/>
      <c r="CTG155" s="53"/>
      <c r="CTH155" s="54"/>
      <c r="CTI155" s="52"/>
      <c r="CTJ155" s="53"/>
      <c r="CTK155" s="54"/>
      <c r="CTL155" s="52"/>
      <c r="CTM155" s="53"/>
      <c r="CTN155" s="8"/>
      <c r="CTO155" s="45"/>
      <c r="CTP155" s="45"/>
      <c r="CTQ155" s="46"/>
      <c r="CTR155" s="44"/>
      <c r="CTS155" s="7"/>
      <c r="CTT155" s="51"/>
      <c r="CTU155" s="52"/>
      <c r="CTV155" s="53"/>
      <c r="CTW155" s="54"/>
      <c r="CTX155" s="52"/>
      <c r="CTY155" s="53"/>
      <c r="CTZ155" s="54"/>
      <c r="CUA155" s="52"/>
      <c r="CUB155" s="53"/>
      <c r="CUC155" s="8"/>
      <c r="CUD155" s="45"/>
      <c r="CUE155" s="45"/>
      <c r="CUF155" s="46"/>
      <c r="CUG155" s="44"/>
      <c r="CUH155" s="7"/>
      <c r="CUI155" s="51"/>
      <c r="CUJ155" s="52"/>
      <c r="CUK155" s="53"/>
      <c r="CUL155" s="54"/>
      <c r="CUM155" s="52"/>
      <c r="CUN155" s="53"/>
      <c r="CUO155" s="54"/>
      <c r="CUP155" s="52"/>
      <c r="CUQ155" s="53"/>
      <c r="CUR155" s="8"/>
      <c r="CUS155" s="45"/>
      <c r="CUT155" s="45"/>
      <c r="CUU155" s="46"/>
      <c r="CUV155" s="44"/>
      <c r="CUW155" s="7"/>
      <c r="CUX155" s="51"/>
      <c r="CUY155" s="52"/>
      <c r="CUZ155" s="53"/>
      <c r="CVA155" s="54"/>
      <c r="CVB155" s="52"/>
      <c r="CVC155" s="53"/>
      <c r="CVD155" s="54"/>
      <c r="CVE155" s="52"/>
      <c r="CVF155" s="53"/>
      <c r="CVG155" s="8"/>
      <c r="CVH155" s="45"/>
      <c r="CVI155" s="45"/>
      <c r="CVJ155" s="46"/>
      <c r="CVK155" s="44"/>
      <c r="CVL155" s="7"/>
      <c r="CVM155" s="51"/>
      <c r="CVN155" s="52"/>
      <c r="CVO155" s="53"/>
      <c r="CVP155" s="54"/>
      <c r="CVQ155" s="52"/>
      <c r="CVR155" s="53"/>
      <c r="CVS155" s="54"/>
      <c r="CVT155" s="52"/>
      <c r="CVU155" s="53"/>
      <c r="CVV155" s="8"/>
      <c r="CVW155" s="45"/>
      <c r="CVX155" s="45"/>
      <c r="CVY155" s="46"/>
      <c r="CVZ155" s="44"/>
      <c r="CWA155" s="7"/>
      <c r="CWB155" s="51"/>
      <c r="CWC155" s="52"/>
      <c r="CWD155" s="53"/>
      <c r="CWE155" s="54"/>
      <c r="CWF155" s="52"/>
      <c r="CWG155" s="53"/>
      <c r="CWH155" s="54"/>
      <c r="CWI155" s="52"/>
      <c r="CWJ155" s="53"/>
      <c r="CWK155" s="8"/>
      <c r="CWL155" s="45"/>
      <c r="CWM155" s="45"/>
      <c r="CWN155" s="46"/>
      <c r="CWO155" s="44"/>
      <c r="CWP155" s="7"/>
      <c r="CWQ155" s="51"/>
      <c r="CWR155" s="52"/>
      <c r="CWS155" s="53"/>
      <c r="CWT155" s="54"/>
      <c r="CWU155" s="52"/>
      <c r="CWV155" s="53"/>
      <c r="CWW155" s="54"/>
      <c r="CWX155" s="52"/>
      <c r="CWY155" s="53"/>
      <c r="CWZ155" s="8"/>
      <c r="CXA155" s="45"/>
      <c r="CXB155" s="45"/>
      <c r="CXC155" s="46"/>
      <c r="CXD155" s="44"/>
      <c r="CXE155" s="7"/>
      <c r="CXF155" s="51"/>
      <c r="CXG155" s="52"/>
      <c r="CXH155" s="53"/>
      <c r="CXI155" s="54"/>
      <c r="CXJ155" s="52"/>
      <c r="CXK155" s="53"/>
      <c r="CXL155" s="54"/>
      <c r="CXM155" s="52"/>
      <c r="CXN155" s="53"/>
      <c r="CXO155" s="8"/>
      <c r="CXP155" s="45"/>
      <c r="CXQ155" s="45"/>
      <c r="CXR155" s="46"/>
      <c r="CXS155" s="44"/>
      <c r="CXT155" s="7"/>
      <c r="CXU155" s="51"/>
      <c r="CXV155" s="52"/>
      <c r="CXW155" s="53"/>
      <c r="CXX155" s="54"/>
      <c r="CXY155" s="52"/>
      <c r="CXZ155" s="53"/>
      <c r="CYA155" s="54"/>
      <c r="CYB155" s="52"/>
      <c r="CYC155" s="53"/>
      <c r="CYD155" s="8"/>
      <c r="CYE155" s="45"/>
      <c r="CYF155" s="45"/>
      <c r="CYG155" s="46"/>
      <c r="CYH155" s="44"/>
      <c r="CYI155" s="7"/>
      <c r="CYJ155" s="51"/>
      <c r="CYK155" s="52"/>
      <c r="CYL155" s="53"/>
      <c r="CYM155" s="54"/>
      <c r="CYN155" s="52"/>
      <c r="CYO155" s="53"/>
      <c r="CYP155" s="54"/>
      <c r="CYQ155" s="52"/>
      <c r="CYR155" s="53"/>
      <c r="CYS155" s="8"/>
      <c r="CYT155" s="45"/>
      <c r="CYU155" s="45"/>
      <c r="CYV155" s="46"/>
      <c r="CYW155" s="44"/>
      <c r="CYX155" s="7"/>
      <c r="CYY155" s="51"/>
      <c r="CYZ155" s="52"/>
      <c r="CZA155" s="53"/>
      <c r="CZB155" s="54"/>
      <c r="CZC155" s="52"/>
      <c r="CZD155" s="53"/>
      <c r="CZE155" s="54"/>
      <c r="CZF155" s="52"/>
      <c r="CZG155" s="53"/>
      <c r="CZH155" s="8"/>
      <c r="CZI155" s="45"/>
      <c r="CZJ155" s="45"/>
      <c r="CZK155" s="46"/>
      <c r="CZL155" s="44"/>
      <c r="CZM155" s="7"/>
      <c r="CZN155" s="51"/>
      <c r="CZO155" s="52"/>
      <c r="CZP155" s="53"/>
      <c r="CZQ155" s="54"/>
      <c r="CZR155" s="52"/>
      <c r="CZS155" s="53"/>
      <c r="CZT155" s="54"/>
      <c r="CZU155" s="52"/>
      <c r="CZV155" s="53"/>
      <c r="CZW155" s="8"/>
      <c r="CZX155" s="45"/>
      <c r="CZY155" s="45"/>
      <c r="CZZ155" s="46"/>
      <c r="DAA155" s="44"/>
      <c r="DAB155" s="7"/>
      <c r="DAC155" s="51"/>
      <c r="DAD155" s="52"/>
      <c r="DAE155" s="53"/>
      <c r="DAF155" s="54"/>
      <c r="DAG155" s="52"/>
      <c r="DAH155" s="53"/>
      <c r="DAI155" s="54"/>
      <c r="DAJ155" s="52"/>
      <c r="DAK155" s="53"/>
      <c r="DAL155" s="8"/>
      <c r="DAM155" s="45"/>
      <c r="DAN155" s="45"/>
      <c r="DAO155" s="46"/>
      <c r="DAP155" s="44"/>
      <c r="DAQ155" s="7"/>
      <c r="DAR155" s="51"/>
      <c r="DAS155" s="52"/>
      <c r="DAT155" s="53"/>
      <c r="DAU155" s="54"/>
      <c r="DAV155" s="52"/>
      <c r="DAW155" s="53"/>
      <c r="DAX155" s="54"/>
      <c r="DAY155" s="52"/>
      <c r="DAZ155" s="53"/>
      <c r="DBA155" s="8"/>
      <c r="DBB155" s="45"/>
      <c r="DBC155" s="45"/>
      <c r="DBD155" s="46"/>
      <c r="DBE155" s="44"/>
      <c r="DBF155" s="7"/>
      <c r="DBG155" s="51"/>
      <c r="DBH155" s="52"/>
      <c r="DBI155" s="53"/>
      <c r="DBJ155" s="54"/>
      <c r="DBK155" s="52"/>
      <c r="DBL155" s="53"/>
      <c r="DBM155" s="54"/>
      <c r="DBN155" s="52"/>
      <c r="DBO155" s="53"/>
      <c r="DBP155" s="8"/>
      <c r="DBQ155" s="45"/>
      <c r="DBR155" s="45"/>
      <c r="DBS155" s="46"/>
      <c r="DBT155" s="44"/>
      <c r="DBU155" s="7"/>
      <c r="DBV155" s="51"/>
      <c r="DBW155" s="52"/>
      <c r="DBX155" s="53"/>
      <c r="DBY155" s="54"/>
      <c r="DBZ155" s="52"/>
      <c r="DCA155" s="53"/>
      <c r="DCB155" s="54"/>
      <c r="DCC155" s="52"/>
      <c r="DCD155" s="53"/>
      <c r="DCE155" s="8"/>
      <c r="DCF155" s="45"/>
      <c r="DCG155" s="45"/>
      <c r="DCH155" s="46"/>
      <c r="DCI155" s="44"/>
      <c r="DCJ155" s="7"/>
      <c r="DCK155" s="51"/>
      <c r="DCL155" s="52"/>
      <c r="DCM155" s="53"/>
      <c r="DCN155" s="54"/>
      <c r="DCO155" s="52"/>
      <c r="DCP155" s="53"/>
      <c r="DCQ155" s="54"/>
      <c r="DCR155" s="52"/>
      <c r="DCS155" s="53"/>
      <c r="DCT155" s="8"/>
      <c r="DCU155" s="45"/>
      <c r="DCV155" s="45"/>
      <c r="DCW155" s="46"/>
      <c r="DCX155" s="44"/>
      <c r="DCY155" s="7"/>
      <c r="DCZ155" s="51"/>
      <c r="DDA155" s="52"/>
      <c r="DDB155" s="53"/>
      <c r="DDC155" s="54"/>
      <c r="DDD155" s="52"/>
      <c r="DDE155" s="53"/>
      <c r="DDF155" s="54"/>
      <c r="DDG155" s="52"/>
      <c r="DDH155" s="53"/>
      <c r="DDI155" s="8"/>
      <c r="DDJ155" s="45"/>
      <c r="DDK155" s="45"/>
      <c r="DDL155" s="46"/>
      <c r="DDM155" s="44"/>
      <c r="DDN155" s="7"/>
      <c r="DDO155" s="51"/>
      <c r="DDP155" s="52"/>
      <c r="DDQ155" s="53"/>
      <c r="DDR155" s="54"/>
      <c r="DDS155" s="52"/>
      <c r="DDT155" s="53"/>
      <c r="DDU155" s="54"/>
      <c r="DDV155" s="52"/>
      <c r="DDW155" s="53"/>
      <c r="DDX155" s="8"/>
      <c r="DDY155" s="45"/>
      <c r="DDZ155" s="45"/>
      <c r="DEA155" s="46"/>
      <c r="DEB155" s="44"/>
      <c r="DEC155" s="7"/>
      <c r="DED155" s="51"/>
      <c r="DEE155" s="52"/>
      <c r="DEF155" s="53"/>
      <c r="DEG155" s="54"/>
      <c r="DEH155" s="52"/>
      <c r="DEI155" s="53"/>
      <c r="DEJ155" s="54"/>
      <c r="DEK155" s="52"/>
      <c r="DEL155" s="53"/>
      <c r="DEM155" s="8"/>
      <c r="DEN155" s="45"/>
      <c r="DEO155" s="45"/>
      <c r="DEP155" s="46"/>
      <c r="DEQ155" s="44"/>
      <c r="DER155" s="7"/>
      <c r="DES155" s="51"/>
      <c r="DET155" s="52"/>
      <c r="DEU155" s="53"/>
      <c r="DEV155" s="54"/>
      <c r="DEW155" s="52"/>
      <c r="DEX155" s="53"/>
      <c r="DEY155" s="54"/>
      <c r="DEZ155" s="52"/>
      <c r="DFA155" s="53"/>
      <c r="DFB155" s="8"/>
      <c r="DFC155" s="45"/>
      <c r="DFD155" s="45"/>
      <c r="DFE155" s="46"/>
      <c r="DFF155" s="44"/>
      <c r="DFG155" s="7"/>
      <c r="DFH155" s="51"/>
      <c r="DFI155" s="52"/>
      <c r="DFJ155" s="53"/>
      <c r="DFK155" s="54"/>
      <c r="DFL155" s="52"/>
      <c r="DFM155" s="53"/>
      <c r="DFN155" s="54"/>
      <c r="DFO155" s="52"/>
      <c r="DFP155" s="53"/>
      <c r="DFQ155" s="8"/>
      <c r="DFR155" s="45"/>
      <c r="DFS155" s="45"/>
      <c r="DFT155" s="46"/>
      <c r="DFU155" s="44"/>
      <c r="DFV155" s="7"/>
      <c r="DFW155" s="51"/>
      <c r="DFX155" s="52"/>
      <c r="DFY155" s="53"/>
      <c r="DFZ155" s="54"/>
      <c r="DGA155" s="52"/>
      <c r="DGB155" s="53"/>
      <c r="DGC155" s="54"/>
      <c r="DGD155" s="52"/>
      <c r="DGE155" s="53"/>
      <c r="DGF155" s="8"/>
      <c r="DGG155" s="45"/>
      <c r="DGH155" s="45"/>
      <c r="DGI155" s="46"/>
      <c r="DGJ155" s="44"/>
      <c r="DGK155" s="7"/>
      <c r="DGL155" s="51"/>
      <c r="DGM155" s="52"/>
      <c r="DGN155" s="53"/>
      <c r="DGO155" s="54"/>
      <c r="DGP155" s="52"/>
      <c r="DGQ155" s="53"/>
      <c r="DGR155" s="54"/>
      <c r="DGS155" s="52"/>
      <c r="DGT155" s="53"/>
      <c r="DGU155" s="8"/>
      <c r="DGV155" s="45"/>
      <c r="DGW155" s="45"/>
      <c r="DGX155" s="46"/>
      <c r="DGY155" s="44"/>
      <c r="DGZ155" s="7"/>
      <c r="DHA155" s="51"/>
      <c r="DHB155" s="52"/>
      <c r="DHC155" s="53"/>
      <c r="DHD155" s="54"/>
      <c r="DHE155" s="52"/>
      <c r="DHF155" s="53"/>
      <c r="DHG155" s="54"/>
      <c r="DHH155" s="52"/>
      <c r="DHI155" s="53"/>
      <c r="DHJ155" s="8"/>
      <c r="DHK155" s="45"/>
      <c r="DHL155" s="45"/>
      <c r="DHM155" s="46"/>
      <c r="DHN155" s="44"/>
      <c r="DHO155" s="7"/>
      <c r="DHP155" s="51"/>
      <c r="DHQ155" s="52"/>
      <c r="DHR155" s="53"/>
      <c r="DHS155" s="54"/>
      <c r="DHT155" s="52"/>
      <c r="DHU155" s="53"/>
      <c r="DHV155" s="54"/>
      <c r="DHW155" s="52"/>
      <c r="DHX155" s="53"/>
      <c r="DHY155" s="8"/>
      <c r="DHZ155" s="45"/>
      <c r="DIA155" s="45"/>
      <c r="DIB155" s="46"/>
      <c r="DIC155" s="44"/>
      <c r="DID155" s="7"/>
      <c r="DIE155" s="51"/>
      <c r="DIF155" s="52"/>
      <c r="DIG155" s="53"/>
      <c r="DIH155" s="54"/>
      <c r="DII155" s="52"/>
      <c r="DIJ155" s="53"/>
      <c r="DIK155" s="54"/>
      <c r="DIL155" s="52"/>
      <c r="DIM155" s="53"/>
      <c r="DIN155" s="8"/>
      <c r="DIO155" s="45"/>
      <c r="DIP155" s="45"/>
      <c r="DIQ155" s="46"/>
      <c r="DIR155" s="44"/>
      <c r="DIS155" s="7"/>
      <c r="DIT155" s="51"/>
      <c r="DIU155" s="52"/>
      <c r="DIV155" s="53"/>
      <c r="DIW155" s="54"/>
      <c r="DIX155" s="52"/>
      <c r="DIY155" s="53"/>
      <c r="DIZ155" s="54"/>
      <c r="DJA155" s="52"/>
      <c r="DJB155" s="53"/>
      <c r="DJC155" s="8"/>
      <c r="DJD155" s="45"/>
      <c r="DJE155" s="45"/>
      <c r="DJF155" s="46"/>
      <c r="DJG155" s="44"/>
      <c r="DJH155" s="7"/>
      <c r="DJI155" s="51"/>
      <c r="DJJ155" s="52"/>
      <c r="DJK155" s="53"/>
      <c r="DJL155" s="54"/>
      <c r="DJM155" s="52"/>
      <c r="DJN155" s="53"/>
      <c r="DJO155" s="54"/>
      <c r="DJP155" s="52"/>
      <c r="DJQ155" s="53"/>
      <c r="DJR155" s="8"/>
      <c r="DJS155" s="45"/>
      <c r="DJT155" s="45"/>
      <c r="DJU155" s="46"/>
      <c r="DJV155" s="44"/>
      <c r="DJW155" s="7"/>
      <c r="DJX155" s="51"/>
      <c r="DJY155" s="52"/>
      <c r="DJZ155" s="53"/>
      <c r="DKA155" s="54"/>
      <c r="DKB155" s="52"/>
      <c r="DKC155" s="53"/>
      <c r="DKD155" s="54"/>
      <c r="DKE155" s="52"/>
      <c r="DKF155" s="53"/>
      <c r="DKG155" s="8"/>
      <c r="DKH155" s="45"/>
      <c r="DKI155" s="45"/>
      <c r="DKJ155" s="46"/>
      <c r="DKK155" s="44"/>
      <c r="DKL155" s="7"/>
      <c r="DKM155" s="51"/>
      <c r="DKN155" s="52"/>
      <c r="DKO155" s="53"/>
      <c r="DKP155" s="54"/>
      <c r="DKQ155" s="52"/>
      <c r="DKR155" s="53"/>
      <c r="DKS155" s="54"/>
      <c r="DKT155" s="52"/>
      <c r="DKU155" s="53"/>
      <c r="DKV155" s="8"/>
      <c r="DKW155" s="45"/>
      <c r="DKX155" s="45"/>
      <c r="DKY155" s="46"/>
      <c r="DKZ155" s="44"/>
      <c r="DLA155" s="7"/>
      <c r="DLB155" s="51"/>
      <c r="DLC155" s="52"/>
      <c r="DLD155" s="53"/>
      <c r="DLE155" s="54"/>
      <c r="DLF155" s="52"/>
      <c r="DLG155" s="53"/>
      <c r="DLH155" s="54"/>
      <c r="DLI155" s="52"/>
      <c r="DLJ155" s="53"/>
      <c r="DLK155" s="8"/>
      <c r="DLL155" s="45"/>
      <c r="DLM155" s="45"/>
      <c r="DLN155" s="46"/>
      <c r="DLO155" s="44"/>
      <c r="DLP155" s="7"/>
      <c r="DLQ155" s="51"/>
      <c r="DLR155" s="52"/>
      <c r="DLS155" s="53"/>
      <c r="DLT155" s="54"/>
      <c r="DLU155" s="52"/>
      <c r="DLV155" s="53"/>
      <c r="DLW155" s="54"/>
      <c r="DLX155" s="52"/>
      <c r="DLY155" s="53"/>
      <c r="DLZ155" s="8"/>
      <c r="DMA155" s="45"/>
      <c r="DMB155" s="45"/>
      <c r="DMC155" s="46"/>
      <c r="DMD155" s="44"/>
      <c r="DME155" s="7"/>
      <c r="DMF155" s="51"/>
      <c r="DMG155" s="52"/>
      <c r="DMH155" s="53"/>
      <c r="DMI155" s="54"/>
      <c r="DMJ155" s="52"/>
      <c r="DMK155" s="53"/>
      <c r="DML155" s="54"/>
      <c r="DMM155" s="52"/>
      <c r="DMN155" s="53"/>
      <c r="DMO155" s="8"/>
      <c r="DMP155" s="45"/>
      <c r="DMQ155" s="45"/>
      <c r="DMR155" s="46"/>
      <c r="DMS155" s="44"/>
      <c r="DMT155" s="7"/>
      <c r="DMU155" s="51"/>
      <c r="DMV155" s="52"/>
      <c r="DMW155" s="53"/>
      <c r="DMX155" s="54"/>
      <c r="DMY155" s="52"/>
      <c r="DMZ155" s="53"/>
      <c r="DNA155" s="54"/>
      <c r="DNB155" s="52"/>
      <c r="DNC155" s="53"/>
      <c r="DND155" s="8"/>
      <c r="DNE155" s="45"/>
      <c r="DNF155" s="45"/>
      <c r="DNG155" s="46"/>
      <c r="DNH155" s="44"/>
      <c r="DNI155" s="7"/>
      <c r="DNJ155" s="51"/>
      <c r="DNK155" s="52"/>
      <c r="DNL155" s="53"/>
      <c r="DNM155" s="54"/>
      <c r="DNN155" s="52"/>
      <c r="DNO155" s="53"/>
      <c r="DNP155" s="54"/>
      <c r="DNQ155" s="52"/>
      <c r="DNR155" s="53"/>
      <c r="DNS155" s="8"/>
      <c r="DNT155" s="45"/>
      <c r="DNU155" s="45"/>
      <c r="DNV155" s="46"/>
      <c r="DNW155" s="44"/>
      <c r="DNX155" s="7"/>
      <c r="DNY155" s="51"/>
      <c r="DNZ155" s="52"/>
      <c r="DOA155" s="53"/>
      <c r="DOB155" s="54"/>
      <c r="DOC155" s="52"/>
      <c r="DOD155" s="53"/>
      <c r="DOE155" s="54"/>
      <c r="DOF155" s="52"/>
      <c r="DOG155" s="53"/>
      <c r="DOH155" s="8"/>
      <c r="DOI155" s="45"/>
      <c r="DOJ155" s="45"/>
      <c r="DOK155" s="46"/>
      <c r="DOL155" s="44"/>
      <c r="DOM155" s="7"/>
      <c r="DON155" s="51"/>
      <c r="DOO155" s="52"/>
      <c r="DOP155" s="53"/>
      <c r="DOQ155" s="54"/>
      <c r="DOR155" s="52"/>
      <c r="DOS155" s="53"/>
      <c r="DOT155" s="54"/>
      <c r="DOU155" s="52"/>
      <c r="DOV155" s="53"/>
      <c r="DOW155" s="8"/>
      <c r="DOX155" s="45"/>
      <c r="DOY155" s="45"/>
      <c r="DOZ155" s="46"/>
      <c r="DPA155" s="44"/>
      <c r="DPB155" s="7"/>
      <c r="DPC155" s="51"/>
      <c r="DPD155" s="52"/>
      <c r="DPE155" s="53"/>
      <c r="DPF155" s="54"/>
      <c r="DPG155" s="52"/>
      <c r="DPH155" s="53"/>
      <c r="DPI155" s="54"/>
      <c r="DPJ155" s="52"/>
      <c r="DPK155" s="53"/>
      <c r="DPL155" s="8"/>
      <c r="DPM155" s="45"/>
      <c r="DPN155" s="45"/>
      <c r="DPO155" s="46"/>
      <c r="DPP155" s="44"/>
      <c r="DPQ155" s="7"/>
      <c r="DPR155" s="51"/>
      <c r="DPS155" s="52"/>
      <c r="DPT155" s="53"/>
      <c r="DPU155" s="54"/>
      <c r="DPV155" s="52"/>
      <c r="DPW155" s="53"/>
      <c r="DPX155" s="54"/>
      <c r="DPY155" s="52"/>
      <c r="DPZ155" s="53"/>
      <c r="DQA155" s="8"/>
      <c r="DQB155" s="45"/>
      <c r="DQC155" s="45"/>
      <c r="DQD155" s="46"/>
      <c r="DQE155" s="44"/>
      <c r="DQF155" s="7"/>
      <c r="DQG155" s="51"/>
      <c r="DQH155" s="52"/>
      <c r="DQI155" s="53"/>
      <c r="DQJ155" s="54"/>
      <c r="DQK155" s="52"/>
      <c r="DQL155" s="53"/>
      <c r="DQM155" s="54"/>
      <c r="DQN155" s="52"/>
      <c r="DQO155" s="53"/>
      <c r="DQP155" s="8"/>
      <c r="DQQ155" s="45"/>
      <c r="DQR155" s="45"/>
      <c r="DQS155" s="46"/>
      <c r="DQT155" s="44"/>
      <c r="DQU155" s="7"/>
      <c r="DQV155" s="51"/>
      <c r="DQW155" s="52"/>
      <c r="DQX155" s="53"/>
      <c r="DQY155" s="54"/>
      <c r="DQZ155" s="52"/>
      <c r="DRA155" s="53"/>
      <c r="DRB155" s="54"/>
      <c r="DRC155" s="52"/>
      <c r="DRD155" s="53"/>
      <c r="DRE155" s="8"/>
      <c r="DRF155" s="45"/>
      <c r="DRG155" s="45"/>
      <c r="DRH155" s="46"/>
      <c r="DRI155" s="44"/>
      <c r="DRJ155" s="7"/>
      <c r="DRK155" s="51"/>
      <c r="DRL155" s="52"/>
      <c r="DRM155" s="53"/>
      <c r="DRN155" s="54"/>
      <c r="DRO155" s="52"/>
      <c r="DRP155" s="53"/>
      <c r="DRQ155" s="54"/>
      <c r="DRR155" s="52"/>
      <c r="DRS155" s="53"/>
      <c r="DRT155" s="8"/>
      <c r="DRU155" s="45"/>
      <c r="DRV155" s="45"/>
      <c r="DRW155" s="46"/>
      <c r="DRX155" s="44"/>
      <c r="DRY155" s="7"/>
      <c r="DRZ155" s="51"/>
      <c r="DSA155" s="52"/>
      <c r="DSB155" s="53"/>
      <c r="DSC155" s="54"/>
      <c r="DSD155" s="52"/>
      <c r="DSE155" s="53"/>
      <c r="DSF155" s="54"/>
      <c r="DSG155" s="52"/>
      <c r="DSH155" s="53"/>
      <c r="DSI155" s="8"/>
      <c r="DSJ155" s="45"/>
      <c r="DSK155" s="45"/>
      <c r="DSL155" s="46"/>
      <c r="DSM155" s="44"/>
      <c r="DSN155" s="7"/>
      <c r="DSO155" s="51"/>
      <c r="DSP155" s="52"/>
      <c r="DSQ155" s="53"/>
      <c r="DSR155" s="54"/>
      <c r="DSS155" s="52"/>
      <c r="DST155" s="53"/>
      <c r="DSU155" s="54"/>
      <c r="DSV155" s="52"/>
      <c r="DSW155" s="53"/>
      <c r="DSX155" s="8"/>
      <c r="DSY155" s="45"/>
      <c r="DSZ155" s="45"/>
      <c r="DTA155" s="46"/>
      <c r="DTB155" s="44"/>
      <c r="DTC155" s="7"/>
      <c r="DTD155" s="51"/>
      <c r="DTE155" s="52"/>
      <c r="DTF155" s="53"/>
      <c r="DTG155" s="54"/>
      <c r="DTH155" s="52"/>
      <c r="DTI155" s="53"/>
      <c r="DTJ155" s="54"/>
      <c r="DTK155" s="52"/>
      <c r="DTL155" s="53"/>
      <c r="DTM155" s="8"/>
      <c r="DTN155" s="45"/>
      <c r="DTO155" s="45"/>
      <c r="DTP155" s="46"/>
      <c r="DTQ155" s="44"/>
      <c r="DTR155" s="7"/>
      <c r="DTS155" s="51"/>
      <c r="DTT155" s="52"/>
      <c r="DTU155" s="53"/>
      <c r="DTV155" s="54"/>
      <c r="DTW155" s="52"/>
      <c r="DTX155" s="53"/>
      <c r="DTY155" s="54"/>
      <c r="DTZ155" s="52"/>
      <c r="DUA155" s="53"/>
      <c r="DUB155" s="8"/>
      <c r="DUC155" s="45"/>
      <c r="DUD155" s="45"/>
      <c r="DUE155" s="46"/>
      <c r="DUF155" s="44"/>
      <c r="DUG155" s="7"/>
      <c r="DUH155" s="51"/>
      <c r="DUI155" s="52"/>
      <c r="DUJ155" s="53"/>
      <c r="DUK155" s="54"/>
      <c r="DUL155" s="52"/>
      <c r="DUM155" s="53"/>
      <c r="DUN155" s="54"/>
      <c r="DUO155" s="52"/>
      <c r="DUP155" s="53"/>
      <c r="DUQ155" s="8"/>
      <c r="DUR155" s="45"/>
      <c r="DUS155" s="45"/>
      <c r="DUT155" s="46"/>
      <c r="DUU155" s="44"/>
      <c r="DUV155" s="7"/>
      <c r="DUW155" s="51"/>
      <c r="DUX155" s="52"/>
      <c r="DUY155" s="53"/>
      <c r="DUZ155" s="54"/>
      <c r="DVA155" s="52"/>
      <c r="DVB155" s="53"/>
      <c r="DVC155" s="54"/>
      <c r="DVD155" s="52"/>
      <c r="DVE155" s="53"/>
      <c r="DVF155" s="8"/>
      <c r="DVG155" s="45"/>
      <c r="DVH155" s="45"/>
      <c r="DVI155" s="46"/>
      <c r="DVJ155" s="44"/>
      <c r="DVK155" s="7"/>
      <c r="DVL155" s="51"/>
      <c r="DVM155" s="52"/>
      <c r="DVN155" s="53"/>
      <c r="DVO155" s="54"/>
      <c r="DVP155" s="52"/>
      <c r="DVQ155" s="53"/>
      <c r="DVR155" s="54"/>
      <c r="DVS155" s="52"/>
      <c r="DVT155" s="53"/>
      <c r="DVU155" s="8"/>
      <c r="DVV155" s="45"/>
      <c r="DVW155" s="45"/>
      <c r="DVX155" s="46"/>
      <c r="DVY155" s="44"/>
      <c r="DVZ155" s="7"/>
      <c r="DWA155" s="51"/>
      <c r="DWB155" s="52"/>
      <c r="DWC155" s="53"/>
      <c r="DWD155" s="54"/>
      <c r="DWE155" s="52"/>
      <c r="DWF155" s="53"/>
      <c r="DWG155" s="54"/>
      <c r="DWH155" s="52"/>
      <c r="DWI155" s="53"/>
      <c r="DWJ155" s="8"/>
      <c r="DWK155" s="45"/>
      <c r="DWL155" s="45"/>
      <c r="DWM155" s="46"/>
      <c r="DWN155" s="44"/>
      <c r="DWO155" s="7"/>
      <c r="DWP155" s="51"/>
      <c r="DWQ155" s="52"/>
      <c r="DWR155" s="53"/>
      <c r="DWS155" s="54"/>
      <c r="DWT155" s="52"/>
      <c r="DWU155" s="53"/>
      <c r="DWV155" s="54"/>
      <c r="DWW155" s="52"/>
      <c r="DWX155" s="53"/>
      <c r="DWY155" s="8"/>
      <c r="DWZ155" s="45"/>
      <c r="DXA155" s="45"/>
      <c r="DXB155" s="46"/>
      <c r="DXC155" s="44"/>
      <c r="DXD155" s="7"/>
      <c r="DXE155" s="51"/>
      <c r="DXF155" s="52"/>
      <c r="DXG155" s="53"/>
      <c r="DXH155" s="54"/>
      <c r="DXI155" s="52"/>
      <c r="DXJ155" s="53"/>
      <c r="DXK155" s="54"/>
      <c r="DXL155" s="52"/>
      <c r="DXM155" s="53"/>
      <c r="DXN155" s="8"/>
      <c r="DXO155" s="45"/>
      <c r="DXP155" s="45"/>
      <c r="DXQ155" s="46"/>
      <c r="DXR155" s="44"/>
      <c r="DXS155" s="7"/>
      <c r="DXT155" s="51"/>
      <c r="DXU155" s="52"/>
      <c r="DXV155" s="53"/>
      <c r="DXW155" s="54"/>
      <c r="DXX155" s="52"/>
      <c r="DXY155" s="53"/>
      <c r="DXZ155" s="54"/>
      <c r="DYA155" s="52"/>
      <c r="DYB155" s="53"/>
      <c r="DYC155" s="8"/>
      <c r="DYD155" s="45"/>
      <c r="DYE155" s="45"/>
      <c r="DYF155" s="46"/>
      <c r="DYG155" s="44"/>
      <c r="DYH155" s="7"/>
      <c r="DYI155" s="51"/>
      <c r="DYJ155" s="52"/>
      <c r="DYK155" s="53"/>
      <c r="DYL155" s="54"/>
      <c r="DYM155" s="52"/>
      <c r="DYN155" s="53"/>
      <c r="DYO155" s="54"/>
      <c r="DYP155" s="52"/>
      <c r="DYQ155" s="53"/>
      <c r="DYR155" s="8"/>
      <c r="DYS155" s="45"/>
      <c r="DYT155" s="45"/>
      <c r="DYU155" s="46"/>
      <c r="DYV155" s="44"/>
      <c r="DYW155" s="7"/>
      <c r="DYX155" s="51"/>
      <c r="DYY155" s="52"/>
      <c r="DYZ155" s="53"/>
      <c r="DZA155" s="54"/>
      <c r="DZB155" s="52"/>
      <c r="DZC155" s="53"/>
      <c r="DZD155" s="54"/>
      <c r="DZE155" s="52"/>
      <c r="DZF155" s="53"/>
      <c r="DZG155" s="8"/>
      <c r="DZH155" s="45"/>
      <c r="DZI155" s="45"/>
      <c r="DZJ155" s="46"/>
      <c r="DZK155" s="44"/>
      <c r="DZL155" s="7"/>
      <c r="DZM155" s="51"/>
      <c r="DZN155" s="52"/>
      <c r="DZO155" s="53"/>
      <c r="DZP155" s="54"/>
      <c r="DZQ155" s="52"/>
      <c r="DZR155" s="53"/>
      <c r="DZS155" s="54"/>
      <c r="DZT155" s="52"/>
      <c r="DZU155" s="53"/>
      <c r="DZV155" s="8"/>
      <c r="DZW155" s="45"/>
      <c r="DZX155" s="45"/>
      <c r="DZY155" s="46"/>
      <c r="DZZ155" s="44"/>
      <c r="EAA155" s="7"/>
      <c r="EAB155" s="51"/>
      <c r="EAC155" s="52"/>
      <c r="EAD155" s="53"/>
      <c r="EAE155" s="54"/>
      <c r="EAF155" s="52"/>
      <c r="EAG155" s="53"/>
      <c r="EAH155" s="54"/>
      <c r="EAI155" s="52"/>
      <c r="EAJ155" s="53"/>
      <c r="EAK155" s="8"/>
      <c r="EAL155" s="45"/>
      <c r="EAM155" s="45"/>
      <c r="EAN155" s="46"/>
      <c r="EAO155" s="44"/>
      <c r="EAP155" s="7"/>
      <c r="EAQ155" s="51"/>
      <c r="EAR155" s="52"/>
      <c r="EAS155" s="53"/>
      <c r="EAT155" s="54"/>
      <c r="EAU155" s="52"/>
      <c r="EAV155" s="53"/>
      <c r="EAW155" s="54"/>
      <c r="EAX155" s="52"/>
      <c r="EAY155" s="53"/>
      <c r="EAZ155" s="8"/>
      <c r="EBA155" s="45"/>
      <c r="EBB155" s="45"/>
      <c r="EBC155" s="46"/>
      <c r="EBD155" s="44"/>
      <c r="EBE155" s="7"/>
      <c r="EBF155" s="51"/>
      <c r="EBG155" s="52"/>
      <c r="EBH155" s="53"/>
      <c r="EBI155" s="54"/>
      <c r="EBJ155" s="52"/>
      <c r="EBK155" s="53"/>
      <c r="EBL155" s="54"/>
      <c r="EBM155" s="52"/>
      <c r="EBN155" s="53"/>
      <c r="EBO155" s="8"/>
      <c r="EBP155" s="45"/>
      <c r="EBQ155" s="45"/>
      <c r="EBR155" s="46"/>
      <c r="EBS155" s="44"/>
      <c r="EBT155" s="7"/>
      <c r="EBU155" s="51"/>
      <c r="EBV155" s="52"/>
      <c r="EBW155" s="53"/>
      <c r="EBX155" s="54"/>
      <c r="EBY155" s="52"/>
      <c r="EBZ155" s="53"/>
      <c r="ECA155" s="54"/>
      <c r="ECB155" s="52"/>
      <c r="ECC155" s="53"/>
      <c r="ECD155" s="8"/>
      <c r="ECE155" s="45"/>
      <c r="ECF155" s="45"/>
      <c r="ECG155" s="46"/>
      <c r="ECH155" s="44"/>
      <c r="ECI155" s="7"/>
      <c r="ECJ155" s="51"/>
      <c r="ECK155" s="52"/>
      <c r="ECL155" s="53"/>
      <c r="ECM155" s="54"/>
      <c r="ECN155" s="52"/>
      <c r="ECO155" s="53"/>
      <c r="ECP155" s="54"/>
      <c r="ECQ155" s="52"/>
      <c r="ECR155" s="53"/>
      <c r="ECS155" s="8"/>
      <c r="ECT155" s="45"/>
      <c r="ECU155" s="45"/>
      <c r="ECV155" s="46"/>
      <c r="ECW155" s="44"/>
      <c r="ECX155" s="7"/>
      <c r="ECY155" s="51"/>
      <c r="ECZ155" s="52"/>
      <c r="EDA155" s="53"/>
      <c r="EDB155" s="54"/>
      <c r="EDC155" s="52"/>
      <c r="EDD155" s="53"/>
      <c r="EDE155" s="54"/>
      <c r="EDF155" s="52"/>
      <c r="EDG155" s="53"/>
      <c r="EDH155" s="8"/>
      <c r="EDI155" s="45"/>
      <c r="EDJ155" s="45"/>
      <c r="EDK155" s="46"/>
      <c r="EDL155" s="44"/>
      <c r="EDM155" s="7"/>
      <c r="EDN155" s="51"/>
      <c r="EDO155" s="52"/>
      <c r="EDP155" s="53"/>
      <c r="EDQ155" s="54"/>
      <c r="EDR155" s="52"/>
      <c r="EDS155" s="53"/>
      <c r="EDT155" s="54"/>
      <c r="EDU155" s="52"/>
      <c r="EDV155" s="53"/>
      <c r="EDW155" s="8"/>
      <c r="EDX155" s="45"/>
      <c r="EDY155" s="45"/>
      <c r="EDZ155" s="46"/>
      <c r="EEA155" s="44"/>
      <c r="EEB155" s="7"/>
      <c r="EEC155" s="51"/>
      <c r="EED155" s="52"/>
      <c r="EEE155" s="53"/>
      <c r="EEF155" s="54"/>
      <c r="EEG155" s="52"/>
      <c r="EEH155" s="53"/>
      <c r="EEI155" s="54"/>
      <c r="EEJ155" s="52"/>
      <c r="EEK155" s="53"/>
      <c r="EEL155" s="8"/>
      <c r="EEM155" s="45"/>
      <c r="EEN155" s="45"/>
      <c r="EEO155" s="46"/>
      <c r="EEP155" s="44"/>
      <c r="EEQ155" s="7"/>
      <c r="EER155" s="51"/>
      <c r="EES155" s="52"/>
      <c r="EET155" s="53"/>
      <c r="EEU155" s="54"/>
      <c r="EEV155" s="52"/>
      <c r="EEW155" s="53"/>
      <c r="EEX155" s="54"/>
      <c r="EEY155" s="52"/>
      <c r="EEZ155" s="53"/>
      <c r="EFA155" s="8"/>
      <c r="EFB155" s="45"/>
      <c r="EFC155" s="45"/>
      <c r="EFD155" s="46"/>
      <c r="EFE155" s="44"/>
      <c r="EFF155" s="7"/>
      <c r="EFG155" s="51"/>
      <c r="EFH155" s="52"/>
      <c r="EFI155" s="53"/>
      <c r="EFJ155" s="54"/>
      <c r="EFK155" s="52"/>
      <c r="EFL155" s="53"/>
      <c r="EFM155" s="54"/>
      <c r="EFN155" s="52"/>
      <c r="EFO155" s="53"/>
      <c r="EFP155" s="8"/>
      <c r="EFQ155" s="45"/>
      <c r="EFR155" s="45"/>
      <c r="EFS155" s="46"/>
      <c r="EFT155" s="44"/>
      <c r="EFU155" s="7"/>
      <c r="EFV155" s="51"/>
      <c r="EFW155" s="52"/>
      <c r="EFX155" s="53"/>
      <c r="EFY155" s="54"/>
      <c r="EFZ155" s="52"/>
      <c r="EGA155" s="53"/>
      <c r="EGB155" s="54"/>
      <c r="EGC155" s="52"/>
      <c r="EGD155" s="53"/>
      <c r="EGE155" s="8"/>
      <c r="EGF155" s="45"/>
      <c r="EGG155" s="45"/>
      <c r="EGH155" s="46"/>
      <c r="EGI155" s="44"/>
      <c r="EGJ155" s="7"/>
      <c r="EGK155" s="51"/>
      <c r="EGL155" s="52"/>
      <c r="EGM155" s="53"/>
      <c r="EGN155" s="54"/>
      <c r="EGO155" s="52"/>
      <c r="EGP155" s="53"/>
      <c r="EGQ155" s="54"/>
      <c r="EGR155" s="52"/>
      <c r="EGS155" s="53"/>
      <c r="EGT155" s="8"/>
      <c r="EGU155" s="45"/>
      <c r="EGV155" s="45"/>
      <c r="EGW155" s="46"/>
      <c r="EGX155" s="44"/>
      <c r="EGY155" s="7"/>
      <c r="EGZ155" s="51"/>
      <c r="EHA155" s="52"/>
      <c r="EHB155" s="53"/>
      <c r="EHC155" s="54"/>
      <c r="EHD155" s="52"/>
      <c r="EHE155" s="53"/>
      <c r="EHF155" s="54"/>
      <c r="EHG155" s="52"/>
      <c r="EHH155" s="53"/>
      <c r="EHI155" s="8"/>
      <c r="EHJ155" s="45"/>
      <c r="EHK155" s="45"/>
      <c r="EHL155" s="46"/>
      <c r="EHM155" s="44"/>
      <c r="EHN155" s="7"/>
      <c r="EHO155" s="51"/>
      <c r="EHP155" s="52"/>
      <c r="EHQ155" s="53"/>
      <c r="EHR155" s="54"/>
      <c r="EHS155" s="52"/>
      <c r="EHT155" s="53"/>
      <c r="EHU155" s="54"/>
      <c r="EHV155" s="52"/>
      <c r="EHW155" s="53"/>
      <c r="EHX155" s="8"/>
      <c r="EHY155" s="45"/>
      <c r="EHZ155" s="45"/>
      <c r="EIA155" s="46"/>
      <c r="EIB155" s="44"/>
      <c r="EIC155" s="7"/>
      <c r="EID155" s="51"/>
      <c r="EIE155" s="52"/>
      <c r="EIF155" s="53"/>
      <c r="EIG155" s="54"/>
      <c r="EIH155" s="52"/>
      <c r="EII155" s="53"/>
      <c r="EIJ155" s="54"/>
      <c r="EIK155" s="52"/>
      <c r="EIL155" s="53"/>
      <c r="EIM155" s="8"/>
      <c r="EIN155" s="45"/>
      <c r="EIO155" s="45"/>
      <c r="EIP155" s="46"/>
      <c r="EIQ155" s="44"/>
      <c r="EIR155" s="7"/>
      <c r="EIS155" s="51"/>
      <c r="EIT155" s="52"/>
      <c r="EIU155" s="53"/>
      <c r="EIV155" s="54"/>
      <c r="EIW155" s="52"/>
      <c r="EIX155" s="53"/>
      <c r="EIY155" s="54"/>
      <c r="EIZ155" s="52"/>
      <c r="EJA155" s="53"/>
      <c r="EJB155" s="8"/>
      <c r="EJC155" s="45"/>
      <c r="EJD155" s="45"/>
      <c r="EJE155" s="46"/>
      <c r="EJF155" s="44"/>
      <c r="EJG155" s="7"/>
      <c r="EJH155" s="51"/>
      <c r="EJI155" s="52"/>
      <c r="EJJ155" s="53"/>
      <c r="EJK155" s="54"/>
      <c r="EJL155" s="52"/>
      <c r="EJM155" s="53"/>
      <c r="EJN155" s="54"/>
      <c r="EJO155" s="52"/>
      <c r="EJP155" s="53"/>
      <c r="EJQ155" s="8"/>
      <c r="EJR155" s="45"/>
      <c r="EJS155" s="45"/>
      <c r="EJT155" s="46"/>
      <c r="EJU155" s="44"/>
      <c r="EJV155" s="7"/>
      <c r="EJW155" s="51"/>
      <c r="EJX155" s="52"/>
      <c r="EJY155" s="53"/>
      <c r="EJZ155" s="54"/>
      <c r="EKA155" s="52"/>
      <c r="EKB155" s="53"/>
      <c r="EKC155" s="54"/>
      <c r="EKD155" s="52"/>
      <c r="EKE155" s="53"/>
      <c r="EKF155" s="8"/>
      <c r="EKG155" s="45"/>
      <c r="EKH155" s="45"/>
      <c r="EKI155" s="46"/>
      <c r="EKJ155" s="44"/>
      <c r="EKK155" s="7"/>
      <c r="EKL155" s="51"/>
      <c r="EKM155" s="52"/>
      <c r="EKN155" s="53"/>
      <c r="EKO155" s="54"/>
      <c r="EKP155" s="52"/>
      <c r="EKQ155" s="53"/>
      <c r="EKR155" s="54"/>
      <c r="EKS155" s="52"/>
      <c r="EKT155" s="53"/>
      <c r="EKU155" s="8"/>
      <c r="EKV155" s="45"/>
      <c r="EKW155" s="45"/>
      <c r="EKX155" s="46"/>
      <c r="EKY155" s="44"/>
      <c r="EKZ155" s="7"/>
      <c r="ELA155" s="51"/>
      <c r="ELB155" s="52"/>
      <c r="ELC155" s="53"/>
      <c r="ELD155" s="54"/>
      <c r="ELE155" s="52"/>
      <c r="ELF155" s="53"/>
      <c r="ELG155" s="54"/>
      <c r="ELH155" s="52"/>
      <c r="ELI155" s="53"/>
      <c r="ELJ155" s="8"/>
      <c r="ELK155" s="45"/>
      <c r="ELL155" s="45"/>
      <c r="ELM155" s="46"/>
      <c r="ELN155" s="44"/>
      <c r="ELO155" s="7"/>
      <c r="ELP155" s="51"/>
      <c r="ELQ155" s="52"/>
      <c r="ELR155" s="53"/>
      <c r="ELS155" s="54"/>
      <c r="ELT155" s="52"/>
      <c r="ELU155" s="53"/>
      <c r="ELV155" s="54"/>
      <c r="ELW155" s="52"/>
      <c r="ELX155" s="53"/>
      <c r="ELY155" s="8"/>
      <c r="ELZ155" s="45"/>
      <c r="EMA155" s="45"/>
      <c r="EMB155" s="46"/>
      <c r="EMC155" s="44"/>
      <c r="EMD155" s="7"/>
      <c r="EME155" s="51"/>
      <c r="EMF155" s="52"/>
      <c r="EMG155" s="53"/>
      <c r="EMH155" s="54"/>
      <c r="EMI155" s="52"/>
      <c r="EMJ155" s="53"/>
      <c r="EMK155" s="54"/>
      <c r="EML155" s="52"/>
      <c r="EMM155" s="53"/>
      <c r="EMN155" s="8"/>
      <c r="EMO155" s="45"/>
      <c r="EMP155" s="45"/>
      <c r="EMQ155" s="46"/>
      <c r="EMR155" s="44"/>
      <c r="EMS155" s="7"/>
      <c r="EMT155" s="51"/>
      <c r="EMU155" s="52"/>
      <c r="EMV155" s="53"/>
      <c r="EMW155" s="54"/>
      <c r="EMX155" s="52"/>
      <c r="EMY155" s="53"/>
      <c r="EMZ155" s="54"/>
      <c r="ENA155" s="52"/>
      <c r="ENB155" s="53"/>
      <c r="ENC155" s="8"/>
      <c r="END155" s="45"/>
      <c r="ENE155" s="45"/>
      <c r="ENF155" s="46"/>
      <c r="ENG155" s="44"/>
      <c r="ENH155" s="7"/>
      <c r="ENI155" s="51"/>
      <c r="ENJ155" s="52"/>
      <c r="ENK155" s="53"/>
      <c r="ENL155" s="54"/>
      <c r="ENM155" s="52"/>
      <c r="ENN155" s="53"/>
      <c r="ENO155" s="54"/>
      <c r="ENP155" s="52"/>
      <c r="ENQ155" s="53"/>
      <c r="ENR155" s="8"/>
      <c r="ENS155" s="45"/>
      <c r="ENT155" s="45"/>
      <c r="ENU155" s="46"/>
      <c r="ENV155" s="44"/>
      <c r="ENW155" s="7"/>
      <c r="ENX155" s="51"/>
      <c r="ENY155" s="52"/>
      <c r="ENZ155" s="53"/>
      <c r="EOA155" s="54"/>
      <c r="EOB155" s="52"/>
      <c r="EOC155" s="53"/>
      <c r="EOD155" s="54"/>
      <c r="EOE155" s="52"/>
      <c r="EOF155" s="53"/>
      <c r="EOG155" s="8"/>
      <c r="EOH155" s="45"/>
      <c r="EOI155" s="45"/>
      <c r="EOJ155" s="46"/>
      <c r="EOK155" s="44"/>
      <c r="EOL155" s="7"/>
      <c r="EOM155" s="51"/>
      <c r="EON155" s="52"/>
      <c r="EOO155" s="53"/>
      <c r="EOP155" s="54"/>
      <c r="EOQ155" s="52"/>
      <c r="EOR155" s="53"/>
      <c r="EOS155" s="54"/>
      <c r="EOT155" s="52"/>
      <c r="EOU155" s="53"/>
      <c r="EOV155" s="8"/>
      <c r="EOW155" s="45"/>
      <c r="EOX155" s="45"/>
      <c r="EOY155" s="46"/>
      <c r="EOZ155" s="44"/>
      <c r="EPA155" s="7"/>
      <c r="EPB155" s="51"/>
      <c r="EPC155" s="52"/>
      <c r="EPD155" s="53"/>
      <c r="EPE155" s="54"/>
      <c r="EPF155" s="52"/>
      <c r="EPG155" s="53"/>
      <c r="EPH155" s="54"/>
      <c r="EPI155" s="52"/>
      <c r="EPJ155" s="53"/>
      <c r="EPK155" s="8"/>
      <c r="EPL155" s="45"/>
      <c r="EPM155" s="45"/>
      <c r="EPN155" s="46"/>
      <c r="EPO155" s="44"/>
      <c r="EPP155" s="7"/>
      <c r="EPQ155" s="51"/>
      <c r="EPR155" s="52"/>
      <c r="EPS155" s="53"/>
      <c r="EPT155" s="54"/>
      <c r="EPU155" s="52"/>
      <c r="EPV155" s="53"/>
      <c r="EPW155" s="54"/>
      <c r="EPX155" s="52"/>
      <c r="EPY155" s="53"/>
      <c r="EPZ155" s="8"/>
      <c r="EQA155" s="45"/>
      <c r="EQB155" s="45"/>
      <c r="EQC155" s="46"/>
      <c r="EQD155" s="44"/>
      <c r="EQE155" s="7"/>
      <c r="EQF155" s="51"/>
      <c r="EQG155" s="52"/>
      <c r="EQH155" s="53"/>
      <c r="EQI155" s="54"/>
      <c r="EQJ155" s="52"/>
      <c r="EQK155" s="53"/>
      <c r="EQL155" s="54"/>
      <c r="EQM155" s="52"/>
      <c r="EQN155" s="53"/>
      <c r="EQO155" s="8"/>
      <c r="EQP155" s="45"/>
      <c r="EQQ155" s="45"/>
      <c r="EQR155" s="46"/>
      <c r="EQS155" s="44"/>
      <c r="EQT155" s="7"/>
      <c r="EQU155" s="51"/>
      <c r="EQV155" s="52"/>
      <c r="EQW155" s="53"/>
      <c r="EQX155" s="54"/>
      <c r="EQY155" s="52"/>
      <c r="EQZ155" s="53"/>
      <c r="ERA155" s="54"/>
      <c r="ERB155" s="52"/>
      <c r="ERC155" s="53"/>
      <c r="ERD155" s="8"/>
      <c r="ERE155" s="45"/>
      <c r="ERF155" s="45"/>
      <c r="ERG155" s="46"/>
      <c r="ERH155" s="44"/>
      <c r="ERI155" s="7"/>
      <c r="ERJ155" s="51"/>
      <c r="ERK155" s="52"/>
      <c r="ERL155" s="53"/>
      <c r="ERM155" s="54"/>
      <c r="ERN155" s="52"/>
      <c r="ERO155" s="53"/>
      <c r="ERP155" s="54"/>
      <c r="ERQ155" s="52"/>
      <c r="ERR155" s="53"/>
      <c r="ERS155" s="8"/>
      <c r="ERT155" s="45"/>
      <c r="ERU155" s="45"/>
      <c r="ERV155" s="46"/>
      <c r="ERW155" s="44"/>
      <c r="ERX155" s="7"/>
      <c r="ERY155" s="51"/>
      <c r="ERZ155" s="52"/>
      <c r="ESA155" s="53"/>
      <c r="ESB155" s="54"/>
      <c r="ESC155" s="52"/>
      <c r="ESD155" s="53"/>
      <c r="ESE155" s="54"/>
      <c r="ESF155" s="52"/>
      <c r="ESG155" s="53"/>
      <c r="ESH155" s="8"/>
      <c r="ESI155" s="45"/>
      <c r="ESJ155" s="45"/>
      <c r="ESK155" s="46"/>
      <c r="ESL155" s="44"/>
      <c r="ESM155" s="7"/>
      <c r="ESN155" s="51"/>
      <c r="ESO155" s="52"/>
      <c r="ESP155" s="53"/>
      <c r="ESQ155" s="54"/>
      <c r="ESR155" s="52"/>
      <c r="ESS155" s="53"/>
      <c r="EST155" s="54"/>
      <c r="ESU155" s="52"/>
      <c r="ESV155" s="53"/>
      <c r="ESW155" s="8"/>
      <c r="ESX155" s="45"/>
      <c r="ESY155" s="45"/>
      <c r="ESZ155" s="46"/>
      <c r="ETA155" s="44"/>
      <c r="ETB155" s="7"/>
      <c r="ETC155" s="51"/>
      <c r="ETD155" s="52"/>
      <c r="ETE155" s="53"/>
      <c r="ETF155" s="54"/>
      <c r="ETG155" s="52"/>
      <c r="ETH155" s="53"/>
      <c r="ETI155" s="54"/>
      <c r="ETJ155" s="52"/>
      <c r="ETK155" s="53"/>
      <c r="ETL155" s="8"/>
      <c r="ETM155" s="45"/>
      <c r="ETN155" s="45"/>
      <c r="ETO155" s="46"/>
      <c r="ETP155" s="44"/>
      <c r="ETQ155" s="7"/>
      <c r="ETR155" s="51"/>
      <c r="ETS155" s="52"/>
      <c r="ETT155" s="53"/>
      <c r="ETU155" s="54"/>
      <c r="ETV155" s="52"/>
      <c r="ETW155" s="53"/>
      <c r="ETX155" s="54"/>
      <c r="ETY155" s="52"/>
      <c r="ETZ155" s="53"/>
      <c r="EUA155" s="8"/>
      <c r="EUB155" s="45"/>
      <c r="EUC155" s="45"/>
      <c r="EUD155" s="46"/>
      <c r="EUE155" s="44"/>
      <c r="EUF155" s="7"/>
      <c r="EUG155" s="51"/>
      <c r="EUH155" s="52"/>
      <c r="EUI155" s="53"/>
      <c r="EUJ155" s="54"/>
      <c r="EUK155" s="52"/>
      <c r="EUL155" s="53"/>
      <c r="EUM155" s="54"/>
      <c r="EUN155" s="52"/>
      <c r="EUO155" s="53"/>
      <c r="EUP155" s="8"/>
      <c r="EUQ155" s="45"/>
      <c r="EUR155" s="45"/>
      <c r="EUS155" s="46"/>
      <c r="EUT155" s="44"/>
      <c r="EUU155" s="7"/>
      <c r="EUV155" s="51"/>
      <c r="EUW155" s="52"/>
      <c r="EUX155" s="53"/>
      <c r="EUY155" s="54"/>
      <c r="EUZ155" s="52"/>
      <c r="EVA155" s="53"/>
      <c r="EVB155" s="54"/>
      <c r="EVC155" s="52"/>
      <c r="EVD155" s="53"/>
      <c r="EVE155" s="8"/>
      <c r="EVF155" s="45"/>
      <c r="EVG155" s="45"/>
      <c r="EVH155" s="46"/>
      <c r="EVI155" s="44"/>
      <c r="EVJ155" s="7"/>
      <c r="EVK155" s="51"/>
      <c r="EVL155" s="52"/>
      <c r="EVM155" s="53"/>
      <c r="EVN155" s="54"/>
      <c r="EVO155" s="52"/>
      <c r="EVP155" s="53"/>
      <c r="EVQ155" s="54"/>
      <c r="EVR155" s="52"/>
      <c r="EVS155" s="53"/>
      <c r="EVT155" s="8"/>
      <c r="EVU155" s="45"/>
      <c r="EVV155" s="45"/>
      <c r="EVW155" s="46"/>
      <c r="EVX155" s="44"/>
      <c r="EVY155" s="7"/>
      <c r="EVZ155" s="51"/>
      <c r="EWA155" s="52"/>
      <c r="EWB155" s="53"/>
      <c r="EWC155" s="54"/>
      <c r="EWD155" s="52"/>
      <c r="EWE155" s="53"/>
      <c r="EWF155" s="54"/>
      <c r="EWG155" s="52"/>
      <c r="EWH155" s="53"/>
      <c r="EWI155" s="8"/>
      <c r="EWJ155" s="45"/>
      <c r="EWK155" s="45"/>
      <c r="EWL155" s="46"/>
      <c r="EWM155" s="44"/>
      <c r="EWN155" s="7"/>
      <c r="EWO155" s="51"/>
      <c r="EWP155" s="52"/>
      <c r="EWQ155" s="53"/>
      <c r="EWR155" s="54"/>
      <c r="EWS155" s="52"/>
      <c r="EWT155" s="53"/>
      <c r="EWU155" s="54"/>
      <c r="EWV155" s="52"/>
      <c r="EWW155" s="53"/>
      <c r="EWX155" s="8"/>
      <c r="EWY155" s="45"/>
      <c r="EWZ155" s="45"/>
      <c r="EXA155" s="46"/>
      <c r="EXB155" s="44"/>
      <c r="EXC155" s="7"/>
      <c r="EXD155" s="51"/>
      <c r="EXE155" s="52"/>
      <c r="EXF155" s="53"/>
      <c r="EXG155" s="54"/>
      <c r="EXH155" s="52"/>
      <c r="EXI155" s="53"/>
      <c r="EXJ155" s="54"/>
      <c r="EXK155" s="52"/>
      <c r="EXL155" s="53"/>
      <c r="EXM155" s="8"/>
      <c r="EXN155" s="45"/>
      <c r="EXO155" s="45"/>
      <c r="EXP155" s="46"/>
      <c r="EXQ155" s="44"/>
      <c r="EXR155" s="7"/>
      <c r="EXS155" s="51"/>
      <c r="EXT155" s="52"/>
      <c r="EXU155" s="53"/>
      <c r="EXV155" s="54"/>
      <c r="EXW155" s="52"/>
      <c r="EXX155" s="53"/>
      <c r="EXY155" s="54"/>
      <c r="EXZ155" s="52"/>
      <c r="EYA155" s="53"/>
      <c r="EYB155" s="8"/>
      <c r="EYC155" s="45"/>
      <c r="EYD155" s="45"/>
      <c r="EYE155" s="46"/>
      <c r="EYF155" s="44"/>
      <c r="EYG155" s="7"/>
      <c r="EYH155" s="51"/>
      <c r="EYI155" s="52"/>
      <c r="EYJ155" s="53"/>
      <c r="EYK155" s="54"/>
      <c r="EYL155" s="52"/>
      <c r="EYM155" s="53"/>
      <c r="EYN155" s="54"/>
      <c r="EYO155" s="52"/>
      <c r="EYP155" s="53"/>
      <c r="EYQ155" s="8"/>
      <c r="EYR155" s="45"/>
      <c r="EYS155" s="45"/>
      <c r="EYT155" s="46"/>
      <c r="EYU155" s="44"/>
      <c r="EYV155" s="7"/>
      <c r="EYW155" s="51"/>
      <c r="EYX155" s="52"/>
      <c r="EYY155" s="53"/>
      <c r="EYZ155" s="54"/>
      <c r="EZA155" s="52"/>
      <c r="EZB155" s="53"/>
      <c r="EZC155" s="54"/>
      <c r="EZD155" s="52"/>
      <c r="EZE155" s="53"/>
      <c r="EZF155" s="8"/>
      <c r="EZG155" s="45"/>
      <c r="EZH155" s="45"/>
      <c r="EZI155" s="46"/>
      <c r="EZJ155" s="44"/>
      <c r="EZK155" s="7"/>
      <c r="EZL155" s="51"/>
      <c r="EZM155" s="52"/>
      <c r="EZN155" s="53"/>
      <c r="EZO155" s="54"/>
      <c r="EZP155" s="52"/>
      <c r="EZQ155" s="53"/>
      <c r="EZR155" s="54"/>
      <c r="EZS155" s="52"/>
      <c r="EZT155" s="53"/>
      <c r="EZU155" s="8"/>
      <c r="EZV155" s="45"/>
      <c r="EZW155" s="45"/>
      <c r="EZX155" s="46"/>
      <c r="EZY155" s="44"/>
      <c r="EZZ155" s="7"/>
      <c r="FAA155" s="51"/>
      <c r="FAB155" s="52"/>
      <c r="FAC155" s="53"/>
      <c r="FAD155" s="54"/>
      <c r="FAE155" s="52"/>
      <c r="FAF155" s="53"/>
      <c r="FAG155" s="54"/>
      <c r="FAH155" s="52"/>
      <c r="FAI155" s="53"/>
      <c r="FAJ155" s="8"/>
      <c r="FAK155" s="45"/>
      <c r="FAL155" s="45"/>
      <c r="FAM155" s="46"/>
      <c r="FAN155" s="44"/>
      <c r="FAO155" s="7"/>
      <c r="FAP155" s="51"/>
      <c r="FAQ155" s="52"/>
      <c r="FAR155" s="53"/>
      <c r="FAS155" s="54"/>
      <c r="FAT155" s="52"/>
      <c r="FAU155" s="53"/>
      <c r="FAV155" s="54"/>
      <c r="FAW155" s="52"/>
      <c r="FAX155" s="53"/>
      <c r="FAY155" s="8"/>
      <c r="FAZ155" s="45"/>
      <c r="FBA155" s="45"/>
      <c r="FBB155" s="46"/>
      <c r="FBC155" s="44"/>
      <c r="FBD155" s="7"/>
      <c r="FBE155" s="51"/>
      <c r="FBF155" s="52"/>
      <c r="FBG155" s="53"/>
      <c r="FBH155" s="54"/>
      <c r="FBI155" s="52"/>
      <c r="FBJ155" s="53"/>
      <c r="FBK155" s="54"/>
      <c r="FBL155" s="52"/>
      <c r="FBM155" s="53"/>
      <c r="FBN155" s="8"/>
      <c r="FBO155" s="45"/>
      <c r="FBP155" s="45"/>
      <c r="FBQ155" s="46"/>
      <c r="FBR155" s="44"/>
      <c r="FBS155" s="7"/>
      <c r="FBT155" s="51"/>
      <c r="FBU155" s="52"/>
      <c r="FBV155" s="53"/>
      <c r="FBW155" s="54"/>
      <c r="FBX155" s="52"/>
      <c r="FBY155" s="53"/>
      <c r="FBZ155" s="54"/>
      <c r="FCA155" s="52"/>
      <c r="FCB155" s="53"/>
      <c r="FCC155" s="8"/>
      <c r="FCD155" s="45"/>
      <c r="FCE155" s="45"/>
      <c r="FCF155" s="46"/>
      <c r="FCG155" s="44"/>
      <c r="FCH155" s="7"/>
      <c r="FCI155" s="51"/>
      <c r="FCJ155" s="52"/>
      <c r="FCK155" s="53"/>
      <c r="FCL155" s="54"/>
      <c r="FCM155" s="52"/>
      <c r="FCN155" s="53"/>
      <c r="FCO155" s="54"/>
      <c r="FCP155" s="52"/>
      <c r="FCQ155" s="53"/>
      <c r="FCR155" s="8"/>
      <c r="FCS155" s="45"/>
      <c r="FCT155" s="45"/>
      <c r="FCU155" s="46"/>
      <c r="FCV155" s="44"/>
      <c r="FCW155" s="7"/>
      <c r="FCX155" s="51"/>
      <c r="FCY155" s="52"/>
      <c r="FCZ155" s="53"/>
      <c r="FDA155" s="54"/>
      <c r="FDB155" s="52"/>
      <c r="FDC155" s="53"/>
      <c r="FDD155" s="54"/>
      <c r="FDE155" s="52"/>
      <c r="FDF155" s="53"/>
      <c r="FDG155" s="8"/>
      <c r="FDH155" s="45"/>
      <c r="FDI155" s="45"/>
      <c r="FDJ155" s="46"/>
      <c r="FDK155" s="44"/>
      <c r="FDL155" s="7"/>
      <c r="FDM155" s="51"/>
      <c r="FDN155" s="52"/>
      <c r="FDO155" s="53"/>
      <c r="FDP155" s="54"/>
      <c r="FDQ155" s="52"/>
      <c r="FDR155" s="53"/>
      <c r="FDS155" s="54"/>
      <c r="FDT155" s="52"/>
      <c r="FDU155" s="53"/>
      <c r="FDV155" s="8"/>
      <c r="FDW155" s="45"/>
      <c r="FDX155" s="45"/>
      <c r="FDY155" s="46"/>
      <c r="FDZ155" s="44"/>
      <c r="FEA155" s="7"/>
      <c r="FEB155" s="51"/>
      <c r="FEC155" s="52"/>
      <c r="FED155" s="53"/>
      <c r="FEE155" s="54"/>
      <c r="FEF155" s="52"/>
      <c r="FEG155" s="53"/>
      <c r="FEH155" s="54"/>
      <c r="FEI155" s="52"/>
      <c r="FEJ155" s="53"/>
      <c r="FEK155" s="8"/>
      <c r="FEL155" s="45"/>
      <c r="FEM155" s="45"/>
      <c r="FEN155" s="46"/>
      <c r="FEO155" s="44"/>
      <c r="FEP155" s="7"/>
      <c r="FEQ155" s="51"/>
      <c r="FER155" s="52"/>
      <c r="FES155" s="53"/>
      <c r="FET155" s="54"/>
      <c r="FEU155" s="52"/>
      <c r="FEV155" s="53"/>
      <c r="FEW155" s="54"/>
      <c r="FEX155" s="52"/>
      <c r="FEY155" s="53"/>
      <c r="FEZ155" s="8"/>
      <c r="FFA155" s="45"/>
      <c r="FFB155" s="45"/>
      <c r="FFC155" s="46"/>
      <c r="FFD155" s="44"/>
      <c r="FFE155" s="7"/>
      <c r="FFF155" s="51"/>
      <c r="FFG155" s="52"/>
      <c r="FFH155" s="53"/>
      <c r="FFI155" s="54"/>
      <c r="FFJ155" s="52"/>
      <c r="FFK155" s="53"/>
      <c r="FFL155" s="54"/>
      <c r="FFM155" s="52"/>
      <c r="FFN155" s="53"/>
      <c r="FFO155" s="8"/>
      <c r="FFP155" s="45"/>
      <c r="FFQ155" s="45"/>
      <c r="FFR155" s="46"/>
      <c r="FFS155" s="44"/>
      <c r="FFT155" s="7"/>
      <c r="FFU155" s="51"/>
      <c r="FFV155" s="52"/>
      <c r="FFW155" s="53"/>
      <c r="FFX155" s="54"/>
      <c r="FFY155" s="52"/>
      <c r="FFZ155" s="53"/>
      <c r="FGA155" s="54"/>
      <c r="FGB155" s="52"/>
      <c r="FGC155" s="53"/>
      <c r="FGD155" s="8"/>
      <c r="FGE155" s="45"/>
      <c r="FGF155" s="45"/>
      <c r="FGG155" s="46"/>
      <c r="FGH155" s="44"/>
      <c r="FGI155" s="7"/>
      <c r="FGJ155" s="51"/>
      <c r="FGK155" s="52"/>
      <c r="FGL155" s="53"/>
      <c r="FGM155" s="54"/>
      <c r="FGN155" s="52"/>
      <c r="FGO155" s="53"/>
      <c r="FGP155" s="54"/>
      <c r="FGQ155" s="52"/>
      <c r="FGR155" s="53"/>
      <c r="FGS155" s="8"/>
      <c r="FGT155" s="45"/>
      <c r="FGU155" s="45"/>
      <c r="FGV155" s="46"/>
      <c r="FGW155" s="44"/>
      <c r="FGX155" s="7"/>
      <c r="FGY155" s="51"/>
      <c r="FGZ155" s="52"/>
      <c r="FHA155" s="53"/>
      <c r="FHB155" s="54"/>
      <c r="FHC155" s="52"/>
      <c r="FHD155" s="53"/>
      <c r="FHE155" s="54"/>
      <c r="FHF155" s="52"/>
      <c r="FHG155" s="53"/>
      <c r="FHH155" s="8"/>
      <c r="FHI155" s="45"/>
      <c r="FHJ155" s="45"/>
      <c r="FHK155" s="46"/>
      <c r="FHL155" s="44"/>
      <c r="FHM155" s="7"/>
      <c r="FHN155" s="51"/>
      <c r="FHO155" s="52"/>
      <c r="FHP155" s="53"/>
      <c r="FHQ155" s="54"/>
      <c r="FHR155" s="52"/>
      <c r="FHS155" s="53"/>
      <c r="FHT155" s="54"/>
      <c r="FHU155" s="52"/>
      <c r="FHV155" s="53"/>
      <c r="FHW155" s="8"/>
      <c r="FHX155" s="45"/>
      <c r="FHY155" s="45"/>
      <c r="FHZ155" s="46"/>
      <c r="FIA155" s="44"/>
      <c r="FIB155" s="7"/>
      <c r="FIC155" s="51"/>
      <c r="FID155" s="52"/>
      <c r="FIE155" s="53"/>
      <c r="FIF155" s="54"/>
      <c r="FIG155" s="52"/>
      <c r="FIH155" s="53"/>
      <c r="FII155" s="54"/>
      <c r="FIJ155" s="52"/>
      <c r="FIK155" s="53"/>
      <c r="FIL155" s="8"/>
      <c r="FIM155" s="45"/>
      <c r="FIN155" s="45"/>
      <c r="FIO155" s="46"/>
      <c r="FIP155" s="44"/>
      <c r="FIQ155" s="7"/>
      <c r="FIR155" s="51"/>
      <c r="FIS155" s="52"/>
      <c r="FIT155" s="53"/>
      <c r="FIU155" s="54"/>
      <c r="FIV155" s="52"/>
      <c r="FIW155" s="53"/>
      <c r="FIX155" s="54"/>
      <c r="FIY155" s="52"/>
      <c r="FIZ155" s="53"/>
      <c r="FJA155" s="8"/>
      <c r="FJB155" s="45"/>
      <c r="FJC155" s="45"/>
      <c r="FJD155" s="46"/>
      <c r="FJE155" s="44"/>
      <c r="FJF155" s="7"/>
      <c r="FJG155" s="51"/>
      <c r="FJH155" s="52"/>
      <c r="FJI155" s="53"/>
      <c r="FJJ155" s="54"/>
      <c r="FJK155" s="52"/>
      <c r="FJL155" s="53"/>
      <c r="FJM155" s="54"/>
      <c r="FJN155" s="52"/>
      <c r="FJO155" s="53"/>
      <c r="FJP155" s="8"/>
      <c r="FJQ155" s="45"/>
      <c r="FJR155" s="45"/>
      <c r="FJS155" s="46"/>
      <c r="FJT155" s="44"/>
      <c r="FJU155" s="7"/>
      <c r="FJV155" s="51"/>
      <c r="FJW155" s="52"/>
      <c r="FJX155" s="53"/>
      <c r="FJY155" s="54"/>
      <c r="FJZ155" s="52"/>
      <c r="FKA155" s="53"/>
      <c r="FKB155" s="54"/>
      <c r="FKC155" s="52"/>
      <c r="FKD155" s="53"/>
      <c r="FKE155" s="8"/>
      <c r="FKF155" s="45"/>
      <c r="FKG155" s="45"/>
      <c r="FKH155" s="46"/>
      <c r="FKI155" s="44"/>
      <c r="FKJ155" s="7"/>
      <c r="FKK155" s="51"/>
      <c r="FKL155" s="52"/>
      <c r="FKM155" s="53"/>
      <c r="FKN155" s="54"/>
      <c r="FKO155" s="52"/>
      <c r="FKP155" s="53"/>
      <c r="FKQ155" s="54"/>
      <c r="FKR155" s="52"/>
      <c r="FKS155" s="53"/>
      <c r="FKT155" s="8"/>
      <c r="FKU155" s="45"/>
      <c r="FKV155" s="45"/>
      <c r="FKW155" s="46"/>
      <c r="FKX155" s="44"/>
      <c r="FKY155" s="7"/>
      <c r="FKZ155" s="51"/>
      <c r="FLA155" s="52"/>
      <c r="FLB155" s="53"/>
      <c r="FLC155" s="54"/>
      <c r="FLD155" s="52"/>
      <c r="FLE155" s="53"/>
      <c r="FLF155" s="54"/>
      <c r="FLG155" s="52"/>
      <c r="FLH155" s="53"/>
      <c r="FLI155" s="8"/>
      <c r="FLJ155" s="45"/>
      <c r="FLK155" s="45"/>
      <c r="FLL155" s="46"/>
      <c r="FLM155" s="44"/>
      <c r="FLN155" s="7"/>
      <c r="FLO155" s="51"/>
      <c r="FLP155" s="52"/>
      <c r="FLQ155" s="53"/>
      <c r="FLR155" s="54"/>
      <c r="FLS155" s="52"/>
      <c r="FLT155" s="53"/>
      <c r="FLU155" s="54"/>
      <c r="FLV155" s="52"/>
      <c r="FLW155" s="53"/>
      <c r="FLX155" s="8"/>
      <c r="FLY155" s="45"/>
      <c r="FLZ155" s="45"/>
      <c r="FMA155" s="46"/>
      <c r="FMB155" s="44"/>
      <c r="FMC155" s="7"/>
      <c r="FMD155" s="51"/>
      <c r="FME155" s="52"/>
      <c r="FMF155" s="53"/>
      <c r="FMG155" s="54"/>
      <c r="FMH155" s="52"/>
      <c r="FMI155" s="53"/>
      <c r="FMJ155" s="54"/>
      <c r="FMK155" s="52"/>
      <c r="FML155" s="53"/>
      <c r="FMM155" s="8"/>
      <c r="FMN155" s="45"/>
      <c r="FMO155" s="45"/>
      <c r="FMP155" s="46"/>
      <c r="FMQ155" s="44"/>
      <c r="FMR155" s="7"/>
      <c r="FMS155" s="51"/>
      <c r="FMT155" s="52"/>
      <c r="FMU155" s="53"/>
      <c r="FMV155" s="54"/>
      <c r="FMW155" s="52"/>
      <c r="FMX155" s="53"/>
      <c r="FMY155" s="54"/>
      <c r="FMZ155" s="52"/>
      <c r="FNA155" s="53"/>
      <c r="FNB155" s="8"/>
      <c r="FNC155" s="45"/>
      <c r="FND155" s="45"/>
      <c r="FNE155" s="46"/>
      <c r="FNF155" s="44"/>
      <c r="FNG155" s="7"/>
      <c r="FNH155" s="51"/>
      <c r="FNI155" s="52"/>
      <c r="FNJ155" s="53"/>
      <c r="FNK155" s="54"/>
      <c r="FNL155" s="52"/>
      <c r="FNM155" s="53"/>
      <c r="FNN155" s="54"/>
      <c r="FNO155" s="52"/>
      <c r="FNP155" s="53"/>
      <c r="FNQ155" s="8"/>
      <c r="FNR155" s="45"/>
      <c r="FNS155" s="45"/>
      <c r="FNT155" s="46"/>
      <c r="FNU155" s="44"/>
      <c r="FNV155" s="7"/>
      <c r="FNW155" s="51"/>
      <c r="FNX155" s="52"/>
      <c r="FNY155" s="53"/>
      <c r="FNZ155" s="54"/>
      <c r="FOA155" s="52"/>
      <c r="FOB155" s="53"/>
      <c r="FOC155" s="54"/>
      <c r="FOD155" s="52"/>
      <c r="FOE155" s="53"/>
      <c r="FOF155" s="8"/>
      <c r="FOG155" s="45"/>
      <c r="FOH155" s="45"/>
      <c r="FOI155" s="46"/>
      <c r="FOJ155" s="44"/>
      <c r="FOK155" s="7"/>
      <c r="FOL155" s="51"/>
      <c r="FOM155" s="52"/>
      <c r="FON155" s="53"/>
      <c r="FOO155" s="54"/>
      <c r="FOP155" s="52"/>
      <c r="FOQ155" s="53"/>
      <c r="FOR155" s="54"/>
      <c r="FOS155" s="52"/>
      <c r="FOT155" s="53"/>
      <c r="FOU155" s="8"/>
      <c r="FOV155" s="45"/>
      <c r="FOW155" s="45"/>
      <c r="FOX155" s="46"/>
      <c r="FOY155" s="44"/>
      <c r="FOZ155" s="7"/>
      <c r="FPA155" s="51"/>
      <c r="FPB155" s="52"/>
      <c r="FPC155" s="53"/>
      <c r="FPD155" s="54"/>
      <c r="FPE155" s="52"/>
      <c r="FPF155" s="53"/>
      <c r="FPG155" s="54"/>
      <c r="FPH155" s="52"/>
      <c r="FPI155" s="53"/>
      <c r="FPJ155" s="8"/>
      <c r="FPK155" s="45"/>
      <c r="FPL155" s="45"/>
      <c r="FPM155" s="46"/>
      <c r="FPN155" s="44"/>
      <c r="FPO155" s="7"/>
      <c r="FPP155" s="51"/>
      <c r="FPQ155" s="52"/>
      <c r="FPR155" s="53"/>
      <c r="FPS155" s="54"/>
      <c r="FPT155" s="52"/>
      <c r="FPU155" s="53"/>
      <c r="FPV155" s="54"/>
      <c r="FPW155" s="52"/>
      <c r="FPX155" s="53"/>
      <c r="FPY155" s="8"/>
      <c r="FPZ155" s="45"/>
      <c r="FQA155" s="45"/>
      <c r="FQB155" s="46"/>
      <c r="FQC155" s="44"/>
      <c r="FQD155" s="7"/>
      <c r="FQE155" s="51"/>
      <c r="FQF155" s="52"/>
      <c r="FQG155" s="53"/>
      <c r="FQH155" s="54"/>
      <c r="FQI155" s="52"/>
      <c r="FQJ155" s="53"/>
      <c r="FQK155" s="54"/>
      <c r="FQL155" s="52"/>
      <c r="FQM155" s="53"/>
      <c r="FQN155" s="8"/>
      <c r="FQO155" s="45"/>
      <c r="FQP155" s="45"/>
      <c r="FQQ155" s="46"/>
      <c r="FQR155" s="44"/>
      <c r="FQS155" s="7"/>
      <c r="FQT155" s="51"/>
      <c r="FQU155" s="52"/>
      <c r="FQV155" s="53"/>
      <c r="FQW155" s="54"/>
      <c r="FQX155" s="52"/>
      <c r="FQY155" s="53"/>
      <c r="FQZ155" s="54"/>
      <c r="FRA155" s="52"/>
      <c r="FRB155" s="53"/>
      <c r="FRC155" s="8"/>
      <c r="FRD155" s="45"/>
      <c r="FRE155" s="45"/>
      <c r="FRF155" s="46"/>
      <c r="FRG155" s="44"/>
      <c r="FRH155" s="7"/>
      <c r="FRI155" s="51"/>
      <c r="FRJ155" s="52"/>
      <c r="FRK155" s="53"/>
      <c r="FRL155" s="54"/>
      <c r="FRM155" s="52"/>
      <c r="FRN155" s="53"/>
      <c r="FRO155" s="54"/>
      <c r="FRP155" s="52"/>
      <c r="FRQ155" s="53"/>
      <c r="FRR155" s="8"/>
      <c r="FRS155" s="45"/>
      <c r="FRT155" s="45"/>
      <c r="FRU155" s="46"/>
      <c r="FRV155" s="44"/>
      <c r="FRW155" s="7"/>
      <c r="FRX155" s="51"/>
      <c r="FRY155" s="52"/>
      <c r="FRZ155" s="53"/>
      <c r="FSA155" s="54"/>
      <c r="FSB155" s="52"/>
      <c r="FSC155" s="53"/>
      <c r="FSD155" s="54"/>
      <c r="FSE155" s="52"/>
      <c r="FSF155" s="53"/>
      <c r="FSG155" s="8"/>
      <c r="FSH155" s="45"/>
      <c r="FSI155" s="45"/>
      <c r="FSJ155" s="46"/>
      <c r="FSK155" s="44"/>
      <c r="FSL155" s="7"/>
      <c r="FSM155" s="51"/>
      <c r="FSN155" s="52"/>
      <c r="FSO155" s="53"/>
      <c r="FSP155" s="54"/>
      <c r="FSQ155" s="52"/>
      <c r="FSR155" s="53"/>
      <c r="FSS155" s="54"/>
      <c r="FST155" s="52"/>
      <c r="FSU155" s="53"/>
      <c r="FSV155" s="8"/>
      <c r="FSW155" s="45"/>
      <c r="FSX155" s="45"/>
      <c r="FSY155" s="46"/>
      <c r="FSZ155" s="44"/>
      <c r="FTA155" s="7"/>
      <c r="FTB155" s="51"/>
      <c r="FTC155" s="52"/>
      <c r="FTD155" s="53"/>
      <c r="FTE155" s="54"/>
      <c r="FTF155" s="52"/>
      <c r="FTG155" s="53"/>
      <c r="FTH155" s="54"/>
      <c r="FTI155" s="52"/>
      <c r="FTJ155" s="53"/>
      <c r="FTK155" s="8"/>
      <c r="FTL155" s="45"/>
      <c r="FTM155" s="45"/>
      <c r="FTN155" s="46"/>
      <c r="FTO155" s="44"/>
      <c r="FTP155" s="7"/>
      <c r="FTQ155" s="51"/>
      <c r="FTR155" s="52"/>
      <c r="FTS155" s="53"/>
      <c r="FTT155" s="54"/>
      <c r="FTU155" s="52"/>
      <c r="FTV155" s="53"/>
      <c r="FTW155" s="54"/>
      <c r="FTX155" s="52"/>
      <c r="FTY155" s="53"/>
      <c r="FTZ155" s="8"/>
      <c r="FUA155" s="45"/>
      <c r="FUB155" s="45"/>
      <c r="FUC155" s="46"/>
      <c r="FUD155" s="44"/>
      <c r="FUE155" s="7"/>
      <c r="FUF155" s="51"/>
      <c r="FUG155" s="52"/>
      <c r="FUH155" s="53"/>
      <c r="FUI155" s="54"/>
      <c r="FUJ155" s="52"/>
      <c r="FUK155" s="53"/>
      <c r="FUL155" s="54"/>
      <c r="FUM155" s="52"/>
      <c r="FUN155" s="53"/>
      <c r="FUO155" s="8"/>
      <c r="FUP155" s="45"/>
      <c r="FUQ155" s="45"/>
      <c r="FUR155" s="46"/>
      <c r="FUS155" s="44"/>
      <c r="FUT155" s="7"/>
      <c r="FUU155" s="51"/>
      <c r="FUV155" s="52"/>
      <c r="FUW155" s="53"/>
      <c r="FUX155" s="54"/>
      <c r="FUY155" s="52"/>
      <c r="FUZ155" s="53"/>
      <c r="FVA155" s="54"/>
      <c r="FVB155" s="52"/>
      <c r="FVC155" s="53"/>
      <c r="FVD155" s="8"/>
      <c r="FVE155" s="45"/>
      <c r="FVF155" s="45"/>
      <c r="FVG155" s="46"/>
      <c r="FVH155" s="44"/>
      <c r="FVI155" s="7"/>
      <c r="FVJ155" s="51"/>
      <c r="FVK155" s="52"/>
      <c r="FVL155" s="53"/>
      <c r="FVM155" s="54"/>
      <c r="FVN155" s="52"/>
      <c r="FVO155" s="53"/>
      <c r="FVP155" s="54"/>
      <c r="FVQ155" s="52"/>
      <c r="FVR155" s="53"/>
      <c r="FVS155" s="8"/>
      <c r="FVT155" s="45"/>
      <c r="FVU155" s="45"/>
      <c r="FVV155" s="46"/>
      <c r="FVW155" s="44"/>
      <c r="FVX155" s="7"/>
      <c r="FVY155" s="51"/>
      <c r="FVZ155" s="52"/>
      <c r="FWA155" s="53"/>
      <c r="FWB155" s="54"/>
      <c r="FWC155" s="52"/>
      <c r="FWD155" s="53"/>
      <c r="FWE155" s="54"/>
      <c r="FWF155" s="52"/>
      <c r="FWG155" s="53"/>
      <c r="FWH155" s="8"/>
      <c r="FWI155" s="45"/>
      <c r="FWJ155" s="45"/>
      <c r="FWK155" s="46"/>
      <c r="FWL155" s="44"/>
      <c r="FWM155" s="7"/>
      <c r="FWN155" s="51"/>
      <c r="FWO155" s="52"/>
      <c r="FWP155" s="53"/>
      <c r="FWQ155" s="54"/>
      <c r="FWR155" s="52"/>
      <c r="FWS155" s="53"/>
      <c r="FWT155" s="54"/>
      <c r="FWU155" s="52"/>
      <c r="FWV155" s="53"/>
      <c r="FWW155" s="8"/>
      <c r="FWX155" s="45"/>
      <c r="FWY155" s="45"/>
      <c r="FWZ155" s="46"/>
      <c r="FXA155" s="44"/>
      <c r="FXB155" s="7"/>
      <c r="FXC155" s="51"/>
      <c r="FXD155" s="52"/>
      <c r="FXE155" s="53"/>
      <c r="FXF155" s="54"/>
      <c r="FXG155" s="52"/>
      <c r="FXH155" s="53"/>
      <c r="FXI155" s="54"/>
      <c r="FXJ155" s="52"/>
      <c r="FXK155" s="53"/>
      <c r="FXL155" s="8"/>
      <c r="FXM155" s="45"/>
      <c r="FXN155" s="45"/>
      <c r="FXO155" s="46"/>
      <c r="FXP155" s="44"/>
      <c r="FXQ155" s="7"/>
      <c r="FXR155" s="51"/>
      <c r="FXS155" s="52"/>
      <c r="FXT155" s="53"/>
      <c r="FXU155" s="54"/>
      <c r="FXV155" s="52"/>
      <c r="FXW155" s="53"/>
      <c r="FXX155" s="54"/>
      <c r="FXY155" s="52"/>
      <c r="FXZ155" s="53"/>
      <c r="FYA155" s="8"/>
      <c r="FYB155" s="45"/>
      <c r="FYC155" s="45"/>
      <c r="FYD155" s="46"/>
      <c r="FYE155" s="44"/>
      <c r="FYF155" s="7"/>
      <c r="FYG155" s="51"/>
      <c r="FYH155" s="52"/>
      <c r="FYI155" s="53"/>
      <c r="FYJ155" s="54"/>
      <c r="FYK155" s="52"/>
      <c r="FYL155" s="53"/>
      <c r="FYM155" s="54"/>
      <c r="FYN155" s="52"/>
      <c r="FYO155" s="53"/>
      <c r="FYP155" s="8"/>
      <c r="FYQ155" s="45"/>
      <c r="FYR155" s="45"/>
      <c r="FYS155" s="46"/>
      <c r="FYT155" s="44"/>
      <c r="FYU155" s="7"/>
      <c r="FYV155" s="51"/>
      <c r="FYW155" s="52"/>
      <c r="FYX155" s="53"/>
      <c r="FYY155" s="54"/>
      <c r="FYZ155" s="52"/>
      <c r="FZA155" s="53"/>
      <c r="FZB155" s="54"/>
      <c r="FZC155" s="52"/>
      <c r="FZD155" s="53"/>
      <c r="FZE155" s="8"/>
      <c r="FZF155" s="45"/>
      <c r="FZG155" s="45"/>
      <c r="FZH155" s="46"/>
      <c r="FZI155" s="44"/>
      <c r="FZJ155" s="7"/>
      <c r="FZK155" s="51"/>
      <c r="FZL155" s="52"/>
      <c r="FZM155" s="53"/>
      <c r="FZN155" s="54"/>
      <c r="FZO155" s="52"/>
      <c r="FZP155" s="53"/>
      <c r="FZQ155" s="54"/>
      <c r="FZR155" s="52"/>
      <c r="FZS155" s="53"/>
      <c r="FZT155" s="8"/>
      <c r="FZU155" s="45"/>
      <c r="FZV155" s="45"/>
      <c r="FZW155" s="46"/>
      <c r="FZX155" s="44"/>
      <c r="FZY155" s="7"/>
      <c r="FZZ155" s="51"/>
      <c r="GAA155" s="52"/>
      <c r="GAB155" s="53"/>
      <c r="GAC155" s="54"/>
      <c r="GAD155" s="52"/>
      <c r="GAE155" s="53"/>
      <c r="GAF155" s="54"/>
      <c r="GAG155" s="52"/>
      <c r="GAH155" s="53"/>
      <c r="GAI155" s="8"/>
      <c r="GAJ155" s="45"/>
      <c r="GAK155" s="45"/>
      <c r="GAL155" s="46"/>
      <c r="GAM155" s="44"/>
      <c r="GAN155" s="7"/>
      <c r="GAO155" s="51"/>
      <c r="GAP155" s="52"/>
      <c r="GAQ155" s="53"/>
      <c r="GAR155" s="54"/>
      <c r="GAS155" s="52"/>
      <c r="GAT155" s="53"/>
      <c r="GAU155" s="54"/>
      <c r="GAV155" s="52"/>
      <c r="GAW155" s="53"/>
      <c r="GAX155" s="8"/>
      <c r="GAY155" s="45"/>
      <c r="GAZ155" s="45"/>
      <c r="GBA155" s="46"/>
      <c r="GBB155" s="44"/>
      <c r="GBC155" s="7"/>
      <c r="GBD155" s="51"/>
      <c r="GBE155" s="52"/>
      <c r="GBF155" s="53"/>
      <c r="GBG155" s="54"/>
      <c r="GBH155" s="52"/>
      <c r="GBI155" s="53"/>
      <c r="GBJ155" s="54"/>
      <c r="GBK155" s="52"/>
      <c r="GBL155" s="53"/>
      <c r="GBM155" s="8"/>
      <c r="GBN155" s="45"/>
      <c r="GBO155" s="45"/>
      <c r="GBP155" s="46"/>
      <c r="GBQ155" s="44"/>
      <c r="GBR155" s="7"/>
      <c r="GBS155" s="51"/>
      <c r="GBT155" s="52"/>
      <c r="GBU155" s="53"/>
      <c r="GBV155" s="54"/>
      <c r="GBW155" s="52"/>
      <c r="GBX155" s="53"/>
      <c r="GBY155" s="54"/>
      <c r="GBZ155" s="52"/>
      <c r="GCA155" s="53"/>
      <c r="GCB155" s="8"/>
      <c r="GCC155" s="45"/>
      <c r="GCD155" s="45"/>
      <c r="GCE155" s="46"/>
      <c r="GCF155" s="44"/>
      <c r="GCG155" s="7"/>
      <c r="GCH155" s="51"/>
      <c r="GCI155" s="52"/>
      <c r="GCJ155" s="53"/>
      <c r="GCK155" s="54"/>
      <c r="GCL155" s="52"/>
      <c r="GCM155" s="53"/>
      <c r="GCN155" s="54"/>
      <c r="GCO155" s="52"/>
      <c r="GCP155" s="53"/>
      <c r="GCQ155" s="8"/>
      <c r="GCR155" s="45"/>
      <c r="GCS155" s="45"/>
      <c r="GCT155" s="46"/>
      <c r="GCU155" s="44"/>
      <c r="GCV155" s="7"/>
      <c r="GCW155" s="51"/>
      <c r="GCX155" s="52"/>
      <c r="GCY155" s="53"/>
      <c r="GCZ155" s="54"/>
      <c r="GDA155" s="52"/>
      <c r="GDB155" s="53"/>
      <c r="GDC155" s="54"/>
      <c r="GDD155" s="52"/>
      <c r="GDE155" s="53"/>
      <c r="GDF155" s="8"/>
      <c r="GDG155" s="45"/>
      <c r="GDH155" s="45"/>
      <c r="GDI155" s="46"/>
      <c r="GDJ155" s="44"/>
      <c r="GDK155" s="7"/>
      <c r="GDL155" s="51"/>
      <c r="GDM155" s="52"/>
      <c r="GDN155" s="53"/>
      <c r="GDO155" s="54"/>
      <c r="GDP155" s="52"/>
      <c r="GDQ155" s="53"/>
      <c r="GDR155" s="54"/>
      <c r="GDS155" s="52"/>
      <c r="GDT155" s="53"/>
      <c r="GDU155" s="8"/>
      <c r="GDV155" s="45"/>
      <c r="GDW155" s="45"/>
      <c r="GDX155" s="46"/>
      <c r="GDY155" s="44"/>
      <c r="GDZ155" s="7"/>
      <c r="GEA155" s="51"/>
      <c r="GEB155" s="52"/>
      <c r="GEC155" s="53"/>
      <c r="GED155" s="54"/>
      <c r="GEE155" s="52"/>
      <c r="GEF155" s="53"/>
      <c r="GEG155" s="54"/>
      <c r="GEH155" s="52"/>
      <c r="GEI155" s="53"/>
      <c r="GEJ155" s="8"/>
      <c r="GEK155" s="45"/>
      <c r="GEL155" s="45"/>
      <c r="GEM155" s="46"/>
      <c r="GEN155" s="44"/>
      <c r="GEO155" s="7"/>
      <c r="GEP155" s="51"/>
      <c r="GEQ155" s="52"/>
      <c r="GER155" s="53"/>
      <c r="GES155" s="54"/>
      <c r="GET155" s="52"/>
      <c r="GEU155" s="53"/>
      <c r="GEV155" s="54"/>
      <c r="GEW155" s="52"/>
      <c r="GEX155" s="53"/>
      <c r="GEY155" s="8"/>
      <c r="GEZ155" s="45"/>
      <c r="GFA155" s="45"/>
      <c r="GFB155" s="46"/>
      <c r="GFC155" s="44"/>
      <c r="GFD155" s="7"/>
      <c r="GFE155" s="51"/>
      <c r="GFF155" s="52"/>
      <c r="GFG155" s="53"/>
      <c r="GFH155" s="54"/>
      <c r="GFI155" s="52"/>
      <c r="GFJ155" s="53"/>
      <c r="GFK155" s="54"/>
      <c r="GFL155" s="52"/>
      <c r="GFM155" s="53"/>
      <c r="GFN155" s="8"/>
      <c r="GFO155" s="45"/>
      <c r="GFP155" s="45"/>
      <c r="GFQ155" s="46"/>
      <c r="GFR155" s="44"/>
      <c r="GFS155" s="7"/>
      <c r="GFT155" s="51"/>
      <c r="GFU155" s="52"/>
      <c r="GFV155" s="53"/>
      <c r="GFW155" s="54"/>
      <c r="GFX155" s="52"/>
      <c r="GFY155" s="53"/>
      <c r="GFZ155" s="54"/>
      <c r="GGA155" s="52"/>
      <c r="GGB155" s="53"/>
      <c r="GGC155" s="8"/>
      <c r="GGD155" s="45"/>
      <c r="GGE155" s="45"/>
      <c r="GGF155" s="46"/>
      <c r="GGG155" s="44"/>
      <c r="GGH155" s="7"/>
      <c r="GGI155" s="51"/>
      <c r="GGJ155" s="52"/>
      <c r="GGK155" s="53"/>
      <c r="GGL155" s="54"/>
      <c r="GGM155" s="52"/>
      <c r="GGN155" s="53"/>
      <c r="GGO155" s="54"/>
      <c r="GGP155" s="52"/>
      <c r="GGQ155" s="53"/>
      <c r="GGR155" s="8"/>
      <c r="GGS155" s="45"/>
      <c r="GGT155" s="45"/>
      <c r="GGU155" s="46"/>
      <c r="GGV155" s="44"/>
      <c r="GGW155" s="7"/>
      <c r="GGX155" s="51"/>
      <c r="GGY155" s="52"/>
      <c r="GGZ155" s="53"/>
      <c r="GHA155" s="54"/>
      <c r="GHB155" s="52"/>
      <c r="GHC155" s="53"/>
      <c r="GHD155" s="54"/>
      <c r="GHE155" s="52"/>
      <c r="GHF155" s="53"/>
      <c r="GHG155" s="8"/>
      <c r="GHH155" s="45"/>
      <c r="GHI155" s="45"/>
      <c r="GHJ155" s="46"/>
      <c r="GHK155" s="44"/>
      <c r="GHL155" s="7"/>
      <c r="GHM155" s="51"/>
      <c r="GHN155" s="52"/>
      <c r="GHO155" s="53"/>
      <c r="GHP155" s="54"/>
      <c r="GHQ155" s="52"/>
      <c r="GHR155" s="53"/>
      <c r="GHS155" s="54"/>
      <c r="GHT155" s="52"/>
      <c r="GHU155" s="53"/>
      <c r="GHV155" s="8"/>
      <c r="GHW155" s="45"/>
      <c r="GHX155" s="45"/>
      <c r="GHY155" s="46"/>
      <c r="GHZ155" s="44"/>
      <c r="GIA155" s="7"/>
      <c r="GIB155" s="51"/>
      <c r="GIC155" s="52"/>
      <c r="GID155" s="53"/>
      <c r="GIE155" s="54"/>
      <c r="GIF155" s="52"/>
      <c r="GIG155" s="53"/>
      <c r="GIH155" s="54"/>
      <c r="GII155" s="52"/>
      <c r="GIJ155" s="53"/>
      <c r="GIK155" s="8"/>
      <c r="GIL155" s="45"/>
      <c r="GIM155" s="45"/>
      <c r="GIN155" s="46"/>
      <c r="GIO155" s="44"/>
      <c r="GIP155" s="7"/>
      <c r="GIQ155" s="51"/>
      <c r="GIR155" s="52"/>
      <c r="GIS155" s="53"/>
      <c r="GIT155" s="54"/>
      <c r="GIU155" s="52"/>
      <c r="GIV155" s="53"/>
      <c r="GIW155" s="54"/>
      <c r="GIX155" s="52"/>
      <c r="GIY155" s="53"/>
      <c r="GIZ155" s="8"/>
      <c r="GJA155" s="45"/>
      <c r="GJB155" s="45"/>
      <c r="GJC155" s="46"/>
      <c r="GJD155" s="44"/>
      <c r="GJE155" s="7"/>
      <c r="GJF155" s="51"/>
      <c r="GJG155" s="52"/>
      <c r="GJH155" s="53"/>
      <c r="GJI155" s="54"/>
      <c r="GJJ155" s="52"/>
      <c r="GJK155" s="53"/>
      <c r="GJL155" s="54"/>
      <c r="GJM155" s="52"/>
      <c r="GJN155" s="53"/>
      <c r="GJO155" s="8"/>
      <c r="GJP155" s="45"/>
      <c r="GJQ155" s="45"/>
      <c r="GJR155" s="46"/>
      <c r="GJS155" s="44"/>
      <c r="GJT155" s="7"/>
      <c r="GJU155" s="51"/>
      <c r="GJV155" s="52"/>
      <c r="GJW155" s="53"/>
      <c r="GJX155" s="54"/>
      <c r="GJY155" s="52"/>
      <c r="GJZ155" s="53"/>
      <c r="GKA155" s="54"/>
      <c r="GKB155" s="52"/>
      <c r="GKC155" s="53"/>
      <c r="GKD155" s="8"/>
      <c r="GKE155" s="45"/>
      <c r="GKF155" s="45"/>
      <c r="GKG155" s="46"/>
      <c r="GKH155" s="44"/>
      <c r="GKI155" s="7"/>
      <c r="GKJ155" s="51"/>
      <c r="GKK155" s="52"/>
      <c r="GKL155" s="53"/>
      <c r="GKM155" s="54"/>
      <c r="GKN155" s="52"/>
      <c r="GKO155" s="53"/>
      <c r="GKP155" s="54"/>
      <c r="GKQ155" s="52"/>
      <c r="GKR155" s="53"/>
      <c r="GKS155" s="8"/>
      <c r="GKT155" s="45"/>
      <c r="GKU155" s="45"/>
      <c r="GKV155" s="46"/>
      <c r="GKW155" s="44"/>
      <c r="GKX155" s="7"/>
      <c r="GKY155" s="51"/>
      <c r="GKZ155" s="52"/>
      <c r="GLA155" s="53"/>
      <c r="GLB155" s="54"/>
      <c r="GLC155" s="52"/>
      <c r="GLD155" s="53"/>
      <c r="GLE155" s="54"/>
      <c r="GLF155" s="52"/>
      <c r="GLG155" s="53"/>
      <c r="GLH155" s="8"/>
      <c r="GLI155" s="45"/>
      <c r="GLJ155" s="45"/>
      <c r="GLK155" s="46"/>
      <c r="GLL155" s="44"/>
      <c r="GLM155" s="7"/>
      <c r="GLN155" s="51"/>
      <c r="GLO155" s="52"/>
      <c r="GLP155" s="53"/>
      <c r="GLQ155" s="54"/>
      <c r="GLR155" s="52"/>
      <c r="GLS155" s="53"/>
      <c r="GLT155" s="54"/>
      <c r="GLU155" s="52"/>
      <c r="GLV155" s="53"/>
      <c r="GLW155" s="8"/>
      <c r="GLX155" s="45"/>
      <c r="GLY155" s="45"/>
      <c r="GLZ155" s="46"/>
      <c r="GMA155" s="44"/>
      <c r="GMB155" s="7"/>
      <c r="GMC155" s="51"/>
      <c r="GMD155" s="52"/>
      <c r="GME155" s="53"/>
      <c r="GMF155" s="54"/>
      <c r="GMG155" s="52"/>
      <c r="GMH155" s="53"/>
      <c r="GMI155" s="54"/>
      <c r="GMJ155" s="52"/>
      <c r="GMK155" s="53"/>
      <c r="GML155" s="8"/>
      <c r="GMM155" s="45"/>
      <c r="GMN155" s="45"/>
      <c r="GMO155" s="46"/>
      <c r="GMP155" s="44"/>
      <c r="GMQ155" s="7"/>
      <c r="GMR155" s="51"/>
      <c r="GMS155" s="52"/>
      <c r="GMT155" s="53"/>
      <c r="GMU155" s="54"/>
      <c r="GMV155" s="52"/>
      <c r="GMW155" s="53"/>
      <c r="GMX155" s="54"/>
      <c r="GMY155" s="52"/>
      <c r="GMZ155" s="53"/>
      <c r="GNA155" s="8"/>
      <c r="GNB155" s="45"/>
      <c r="GNC155" s="45"/>
      <c r="GND155" s="46"/>
      <c r="GNE155" s="44"/>
      <c r="GNF155" s="7"/>
      <c r="GNG155" s="51"/>
      <c r="GNH155" s="52"/>
      <c r="GNI155" s="53"/>
      <c r="GNJ155" s="54"/>
      <c r="GNK155" s="52"/>
      <c r="GNL155" s="53"/>
      <c r="GNM155" s="54"/>
      <c r="GNN155" s="52"/>
      <c r="GNO155" s="53"/>
      <c r="GNP155" s="8"/>
      <c r="GNQ155" s="45"/>
      <c r="GNR155" s="45"/>
      <c r="GNS155" s="46"/>
      <c r="GNT155" s="44"/>
      <c r="GNU155" s="7"/>
      <c r="GNV155" s="51"/>
      <c r="GNW155" s="52"/>
      <c r="GNX155" s="53"/>
      <c r="GNY155" s="54"/>
      <c r="GNZ155" s="52"/>
      <c r="GOA155" s="53"/>
      <c r="GOB155" s="54"/>
      <c r="GOC155" s="52"/>
      <c r="GOD155" s="53"/>
      <c r="GOE155" s="8"/>
      <c r="GOF155" s="45"/>
      <c r="GOG155" s="45"/>
      <c r="GOH155" s="46"/>
      <c r="GOI155" s="44"/>
      <c r="GOJ155" s="7"/>
      <c r="GOK155" s="51"/>
      <c r="GOL155" s="52"/>
      <c r="GOM155" s="53"/>
      <c r="GON155" s="54"/>
      <c r="GOO155" s="52"/>
      <c r="GOP155" s="53"/>
      <c r="GOQ155" s="54"/>
      <c r="GOR155" s="52"/>
      <c r="GOS155" s="53"/>
      <c r="GOT155" s="8"/>
      <c r="GOU155" s="45"/>
      <c r="GOV155" s="45"/>
      <c r="GOW155" s="46"/>
      <c r="GOX155" s="44"/>
      <c r="GOY155" s="7"/>
      <c r="GOZ155" s="51"/>
      <c r="GPA155" s="52"/>
      <c r="GPB155" s="53"/>
      <c r="GPC155" s="54"/>
      <c r="GPD155" s="52"/>
      <c r="GPE155" s="53"/>
      <c r="GPF155" s="54"/>
      <c r="GPG155" s="52"/>
      <c r="GPH155" s="53"/>
      <c r="GPI155" s="8"/>
      <c r="GPJ155" s="45"/>
      <c r="GPK155" s="45"/>
      <c r="GPL155" s="46"/>
      <c r="GPM155" s="44"/>
      <c r="GPN155" s="7"/>
      <c r="GPO155" s="51"/>
      <c r="GPP155" s="52"/>
      <c r="GPQ155" s="53"/>
      <c r="GPR155" s="54"/>
      <c r="GPS155" s="52"/>
      <c r="GPT155" s="53"/>
      <c r="GPU155" s="54"/>
      <c r="GPV155" s="52"/>
      <c r="GPW155" s="53"/>
      <c r="GPX155" s="8"/>
      <c r="GPY155" s="45"/>
      <c r="GPZ155" s="45"/>
      <c r="GQA155" s="46"/>
      <c r="GQB155" s="44"/>
      <c r="GQC155" s="7"/>
      <c r="GQD155" s="51"/>
      <c r="GQE155" s="52"/>
      <c r="GQF155" s="53"/>
      <c r="GQG155" s="54"/>
      <c r="GQH155" s="52"/>
      <c r="GQI155" s="53"/>
      <c r="GQJ155" s="54"/>
      <c r="GQK155" s="52"/>
      <c r="GQL155" s="53"/>
      <c r="GQM155" s="8"/>
      <c r="GQN155" s="45"/>
      <c r="GQO155" s="45"/>
      <c r="GQP155" s="46"/>
      <c r="GQQ155" s="44"/>
      <c r="GQR155" s="7"/>
      <c r="GQS155" s="51"/>
      <c r="GQT155" s="52"/>
      <c r="GQU155" s="53"/>
      <c r="GQV155" s="54"/>
      <c r="GQW155" s="52"/>
      <c r="GQX155" s="53"/>
      <c r="GQY155" s="54"/>
      <c r="GQZ155" s="52"/>
      <c r="GRA155" s="53"/>
      <c r="GRB155" s="8"/>
      <c r="GRC155" s="45"/>
      <c r="GRD155" s="45"/>
      <c r="GRE155" s="46"/>
      <c r="GRF155" s="44"/>
      <c r="GRG155" s="7"/>
      <c r="GRH155" s="51"/>
      <c r="GRI155" s="52"/>
      <c r="GRJ155" s="53"/>
      <c r="GRK155" s="54"/>
      <c r="GRL155" s="52"/>
      <c r="GRM155" s="53"/>
      <c r="GRN155" s="54"/>
      <c r="GRO155" s="52"/>
      <c r="GRP155" s="53"/>
      <c r="GRQ155" s="8"/>
      <c r="GRR155" s="45"/>
      <c r="GRS155" s="45"/>
      <c r="GRT155" s="46"/>
      <c r="GRU155" s="44"/>
      <c r="GRV155" s="7"/>
      <c r="GRW155" s="51"/>
      <c r="GRX155" s="52"/>
      <c r="GRY155" s="53"/>
      <c r="GRZ155" s="54"/>
      <c r="GSA155" s="52"/>
      <c r="GSB155" s="53"/>
      <c r="GSC155" s="54"/>
      <c r="GSD155" s="52"/>
      <c r="GSE155" s="53"/>
      <c r="GSF155" s="8"/>
      <c r="GSG155" s="45"/>
      <c r="GSH155" s="45"/>
      <c r="GSI155" s="46"/>
      <c r="GSJ155" s="44"/>
      <c r="GSK155" s="7"/>
      <c r="GSL155" s="51"/>
      <c r="GSM155" s="52"/>
      <c r="GSN155" s="53"/>
      <c r="GSO155" s="54"/>
      <c r="GSP155" s="52"/>
      <c r="GSQ155" s="53"/>
      <c r="GSR155" s="54"/>
      <c r="GSS155" s="52"/>
      <c r="GST155" s="53"/>
      <c r="GSU155" s="8"/>
      <c r="GSV155" s="45"/>
      <c r="GSW155" s="45"/>
      <c r="GSX155" s="46"/>
      <c r="GSY155" s="44"/>
      <c r="GSZ155" s="7"/>
      <c r="GTA155" s="51"/>
      <c r="GTB155" s="52"/>
      <c r="GTC155" s="53"/>
      <c r="GTD155" s="54"/>
      <c r="GTE155" s="52"/>
      <c r="GTF155" s="53"/>
      <c r="GTG155" s="54"/>
      <c r="GTH155" s="52"/>
      <c r="GTI155" s="53"/>
      <c r="GTJ155" s="8"/>
      <c r="GTK155" s="45"/>
      <c r="GTL155" s="45"/>
      <c r="GTM155" s="46"/>
      <c r="GTN155" s="44"/>
      <c r="GTO155" s="7"/>
      <c r="GTP155" s="51"/>
      <c r="GTQ155" s="52"/>
      <c r="GTR155" s="53"/>
      <c r="GTS155" s="54"/>
      <c r="GTT155" s="52"/>
      <c r="GTU155" s="53"/>
      <c r="GTV155" s="54"/>
      <c r="GTW155" s="52"/>
      <c r="GTX155" s="53"/>
      <c r="GTY155" s="8"/>
      <c r="GTZ155" s="45"/>
      <c r="GUA155" s="45"/>
      <c r="GUB155" s="46"/>
      <c r="GUC155" s="44"/>
      <c r="GUD155" s="7"/>
      <c r="GUE155" s="51"/>
      <c r="GUF155" s="52"/>
      <c r="GUG155" s="53"/>
      <c r="GUH155" s="54"/>
      <c r="GUI155" s="52"/>
      <c r="GUJ155" s="53"/>
      <c r="GUK155" s="54"/>
      <c r="GUL155" s="52"/>
      <c r="GUM155" s="53"/>
      <c r="GUN155" s="8"/>
      <c r="GUO155" s="45"/>
      <c r="GUP155" s="45"/>
      <c r="GUQ155" s="46"/>
      <c r="GUR155" s="44"/>
      <c r="GUS155" s="7"/>
      <c r="GUT155" s="51"/>
      <c r="GUU155" s="52"/>
      <c r="GUV155" s="53"/>
      <c r="GUW155" s="54"/>
      <c r="GUX155" s="52"/>
      <c r="GUY155" s="53"/>
      <c r="GUZ155" s="54"/>
      <c r="GVA155" s="52"/>
      <c r="GVB155" s="53"/>
      <c r="GVC155" s="8"/>
      <c r="GVD155" s="45"/>
      <c r="GVE155" s="45"/>
      <c r="GVF155" s="46"/>
      <c r="GVG155" s="44"/>
      <c r="GVH155" s="7"/>
      <c r="GVI155" s="51"/>
      <c r="GVJ155" s="52"/>
      <c r="GVK155" s="53"/>
      <c r="GVL155" s="54"/>
      <c r="GVM155" s="52"/>
      <c r="GVN155" s="53"/>
      <c r="GVO155" s="54"/>
      <c r="GVP155" s="52"/>
      <c r="GVQ155" s="53"/>
      <c r="GVR155" s="8"/>
      <c r="GVS155" s="45"/>
      <c r="GVT155" s="45"/>
      <c r="GVU155" s="46"/>
      <c r="GVV155" s="44"/>
      <c r="GVW155" s="7"/>
      <c r="GVX155" s="51"/>
      <c r="GVY155" s="52"/>
      <c r="GVZ155" s="53"/>
      <c r="GWA155" s="54"/>
      <c r="GWB155" s="52"/>
      <c r="GWC155" s="53"/>
      <c r="GWD155" s="54"/>
      <c r="GWE155" s="52"/>
      <c r="GWF155" s="53"/>
      <c r="GWG155" s="8"/>
      <c r="GWH155" s="45"/>
      <c r="GWI155" s="45"/>
      <c r="GWJ155" s="46"/>
      <c r="GWK155" s="44"/>
      <c r="GWL155" s="7"/>
      <c r="GWM155" s="51"/>
      <c r="GWN155" s="52"/>
      <c r="GWO155" s="53"/>
      <c r="GWP155" s="54"/>
      <c r="GWQ155" s="52"/>
      <c r="GWR155" s="53"/>
      <c r="GWS155" s="54"/>
      <c r="GWT155" s="52"/>
      <c r="GWU155" s="53"/>
      <c r="GWV155" s="8"/>
      <c r="GWW155" s="45"/>
      <c r="GWX155" s="45"/>
      <c r="GWY155" s="46"/>
      <c r="GWZ155" s="44"/>
      <c r="GXA155" s="7"/>
      <c r="GXB155" s="51"/>
      <c r="GXC155" s="52"/>
      <c r="GXD155" s="53"/>
      <c r="GXE155" s="54"/>
      <c r="GXF155" s="52"/>
      <c r="GXG155" s="53"/>
      <c r="GXH155" s="54"/>
      <c r="GXI155" s="52"/>
      <c r="GXJ155" s="53"/>
      <c r="GXK155" s="8"/>
      <c r="GXL155" s="45"/>
      <c r="GXM155" s="45"/>
      <c r="GXN155" s="46"/>
      <c r="GXO155" s="44"/>
      <c r="GXP155" s="7"/>
      <c r="GXQ155" s="51"/>
      <c r="GXR155" s="52"/>
      <c r="GXS155" s="53"/>
      <c r="GXT155" s="54"/>
      <c r="GXU155" s="52"/>
      <c r="GXV155" s="53"/>
      <c r="GXW155" s="54"/>
      <c r="GXX155" s="52"/>
      <c r="GXY155" s="53"/>
      <c r="GXZ155" s="8"/>
      <c r="GYA155" s="45"/>
      <c r="GYB155" s="45"/>
      <c r="GYC155" s="46"/>
      <c r="GYD155" s="44"/>
      <c r="GYE155" s="7"/>
      <c r="GYF155" s="51"/>
      <c r="GYG155" s="52"/>
      <c r="GYH155" s="53"/>
      <c r="GYI155" s="54"/>
      <c r="GYJ155" s="52"/>
      <c r="GYK155" s="53"/>
      <c r="GYL155" s="54"/>
      <c r="GYM155" s="52"/>
      <c r="GYN155" s="53"/>
      <c r="GYO155" s="8"/>
      <c r="GYP155" s="45"/>
      <c r="GYQ155" s="45"/>
      <c r="GYR155" s="46"/>
      <c r="GYS155" s="44"/>
      <c r="GYT155" s="7"/>
      <c r="GYU155" s="51"/>
      <c r="GYV155" s="52"/>
      <c r="GYW155" s="53"/>
      <c r="GYX155" s="54"/>
      <c r="GYY155" s="52"/>
      <c r="GYZ155" s="53"/>
      <c r="GZA155" s="54"/>
      <c r="GZB155" s="52"/>
      <c r="GZC155" s="53"/>
      <c r="GZD155" s="8"/>
      <c r="GZE155" s="45"/>
      <c r="GZF155" s="45"/>
      <c r="GZG155" s="46"/>
      <c r="GZH155" s="44"/>
      <c r="GZI155" s="7"/>
      <c r="GZJ155" s="51"/>
      <c r="GZK155" s="52"/>
      <c r="GZL155" s="53"/>
      <c r="GZM155" s="54"/>
      <c r="GZN155" s="52"/>
      <c r="GZO155" s="53"/>
      <c r="GZP155" s="54"/>
      <c r="GZQ155" s="52"/>
      <c r="GZR155" s="53"/>
      <c r="GZS155" s="8"/>
      <c r="GZT155" s="45"/>
      <c r="GZU155" s="45"/>
      <c r="GZV155" s="46"/>
      <c r="GZW155" s="44"/>
      <c r="GZX155" s="7"/>
      <c r="GZY155" s="51"/>
      <c r="GZZ155" s="52"/>
      <c r="HAA155" s="53"/>
      <c r="HAB155" s="54"/>
      <c r="HAC155" s="52"/>
      <c r="HAD155" s="53"/>
      <c r="HAE155" s="54"/>
      <c r="HAF155" s="52"/>
      <c r="HAG155" s="53"/>
      <c r="HAH155" s="8"/>
      <c r="HAI155" s="45"/>
      <c r="HAJ155" s="45"/>
      <c r="HAK155" s="46"/>
      <c r="HAL155" s="44"/>
      <c r="HAM155" s="7"/>
      <c r="HAN155" s="51"/>
      <c r="HAO155" s="52"/>
      <c r="HAP155" s="53"/>
      <c r="HAQ155" s="54"/>
      <c r="HAR155" s="52"/>
      <c r="HAS155" s="53"/>
      <c r="HAT155" s="54"/>
      <c r="HAU155" s="52"/>
      <c r="HAV155" s="53"/>
      <c r="HAW155" s="8"/>
      <c r="HAX155" s="45"/>
      <c r="HAY155" s="45"/>
      <c r="HAZ155" s="46"/>
      <c r="HBA155" s="44"/>
      <c r="HBB155" s="7"/>
      <c r="HBC155" s="51"/>
      <c r="HBD155" s="52"/>
      <c r="HBE155" s="53"/>
      <c r="HBF155" s="54"/>
      <c r="HBG155" s="52"/>
      <c r="HBH155" s="53"/>
      <c r="HBI155" s="54"/>
      <c r="HBJ155" s="52"/>
      <c r="HBK155" s="53"/>
      <c r="HBL155" s="8"/>
      <c r="HBM155" s="45"/>
      <c r="HBN155" s="45"/>
      <c r="HBO155" s="46"/>
      <c r="HBP155" s="44"/>
      <c r="HBQ155" s="7"/>
      <c r="HBR155" s="51"/>
      <c r="HBS155" s="52"/>
      <c r="HBT155" s="53"/>
      <c r="HBU155" s="54"/>
      <c r="HBV155" s="52"/>
      <c r="HBW155" s="53"/>
      <c r="HBX155" s="54"/>
      <c r="HBY155" s="52"/>
      <c r="HBZ155" s="53"/>
      <c r="HCA155" s="8"/>
      <c r="HCB155" s="45"/>
      <c r="HCC155" s="45"/>
      <c r="HCD155" s="46"/>
      <c r="HCE155" s="44"/>
      <c r="HCF155" s="7"/>
      <c r="HCG155" s="51"/>
      <c r="HCH155" s="52"/>
      <c r="HCI155" s="53"/>
      <c r="HCJ155" s="54"/>
      <c r="HCK155" s="52"/>
      <c r="HCL155" s="53"/>
      <c r="HCM155" s="54"/>
      <c r="HCN155" s="52"/>
      <c r="HCO155" s="53"/>
      <c r="HCP155" s="8"/>
      <c r="HCQ155" s="45"/>
      <c r="HCR155" s="45"/>
      <c r="HCS155" s="46"/>
      <c r="HCT155" s="44"/>
      <c r="HCU155" s="7"/>
      <c r="HCV155" s="51"/>
      <c r="HCW155" s="52"/>
      <c r="HCX155" s="53"/>
      <c r="HCY155" s="54"/>
      <c r="HCZ155" s="52"/>
      <c r="HDA155" s="53"/>
      <c r="HDB155" s="54"/>
      <c r="HDC155" s="52"/>
      <c r="HDD155" s="53"/>
      <c r="HDE155" s="8"/>
      <c r="HDF155" s="45"/>
      <c r="HDG155" s="45"/>
      <c r="HDH155" s="46"/>
      <c r="HDI155" s="44"/>
      <c r="HDJ155" s="7"/>
      <c r="HDK155" s="51"/>
      <c r="HDL155" s="52"/>
      <c r="HDM155" s="53"/>
      <c r="HDN155" s="54"/>
      <c r="HDO155" s="52"/>
      <c r="HDP155" s="53"/>
      <c r="HDQ155" s="54"/>
      <c r="HDR155" s="52"/>
      <c r="HDS155" s="53"/>
      <c r="HDT155" s="8"/>
      <c r="HDU155" s="45"/>
      <c r="HDV155" s="45"/>
      <c r="HDW155" s="46"/>
      <c r="HDX155" s="44"/>
      <c r="HDY155" s="7"/>
      <c r="HDZ155" s="51"/>
      <c r="HEA155" s="52"/>
      <c r="HEB155" s="53"/>
      <c r="HEC155" s="54"/>
      <c r="HED155" s="52"/>
      <c r="HEE155" s="53"/>
      <c r="HEF155" s="54"/>
      <c r="HEG155" s="52"/>
      <c r="HEH155" s="53"/>
      <c r="HEI155" s="8"/>
      <c r="HEJ155" s="45"/>
      <c r="HEK155" s="45"/>
      <c r="HEL155" s="46"/>
      <c r="HEM155" s="44"/>
      <c r="HEN155" s="7"/>
      <c r="HEO155" s="51"/>
      <c r="HEP155" s="52"/>
      <c r="HEQ155" s="53"/>
      <c r="HER155" s="54"/>
      <c r="HES155" s="52"/>
      <c r="HET155" s="53"/>
      <c r="HEU155" s="54"/>
      <c r="HEV155" s="52"/>
      <c r="HEW155" s="53"/>
      <c r="HEX155" s="8"/>
      <c r="HEY155" s="45"/>
      <c r="HEZ155" s="45"/>
      <c r="HFA155" s="46"/>
      <c r="HFB155" s="44"/>
      <c r="HFC155" s="7"/>
      <c r="HFD155" s="51"/>
      <c r="HFE155" s="52"/>
      <c r="HFF155" s="53"/>
      <c r="HFG155" s="54"/>
      <c r="HFH155" s="52"/>
      <c r="HFI155" s="53"/>
      <c r="HFJ155" s="54"/>
      <c r="HFK155" s="52"/>
      <c r="HFL155" s="53"/>
      <c r="HFM155" s="8"/>
      <c r="HFN155" s="45"/>
      <c r="HFO155" s="45"/>
      <c r="HFP155" s="46"/>
      <c r="HFQ155" s="44"/>
      <c r="HFR155" s="7"/>
      <c r="HFS155" s="51"/>
      <c r="HFT155" s="52"/>
      <c r="HFU155" s="53"/>
      <c r="HFV155" s="54"/>
      <c r="HFW155" s="52"/>
      <c r="HFX155" s="53"/>
      <c r="HFY155" s="54"/>
      <c r="HFZ155" s="52"/>
      <c r="HGA155" s="53"/>
      <c r="HGB155" s="8"/>
      <c r="HGC155" s="45"/>
      <c r="HGD155" s="45"/>
      <c r="HGE155" s="46"/>
      <c r="HGF155" s="44"/>
      <c r="HGG155" s="7"/>
      <c r="HGH155" s="51"/>
      <c r="HGI155" s="52"/>
      <c r="HGJ155" s="53"/>
      <c r="HGK155" s="54"/>
      <c r="HGL155" s="52"/>
      <c r="HGM155" s="53"/>
      <c r="HGN155" s="54"/>
      <c r="HGO155" s="52"/>
      <c r="HGP155" s="53"/>
      <c r="HGQ155" s="8"/>
      <c r="HGR155" s="45"/>
      <c r="HGS155" s="45"/>
      <c r="HGT155" s="46"/>
      <c r="HGU155" s="44"/>
      <c r="HGV155" s="7"/>
      <c r="HGW155" s="51"/>
      <c r="HGX155" s="52"/>
      <c r="HGY155" s="53"/>
      <c r="HGZ155" s="54"/>
      <c r="HHA155" s="52"/>
      <c r="HHB155" s="53"/>
      <c r="HHC155" s="54"/>
      <c r="HHD155" s="52"/>
      <c r="HHE155" s="53"/>
      <c r="HHF155" s="8"/>
      <c r="HHG155" s="45"/>
      <c r="HHH155" s="45"/>
      <c r="HHI155" s="46"/>
      <c r="HHJ155" s="44"/>
      <c r="HHK155" s="7"/>
      <c r="HHL155" s="51"/>
      <c r="HHM155" s="52"/>
      <c r="HHN155" s="53"/>
      <c r="HHO155" s="54"/>
      <c r="HHP155" s="52"/>
      <c r="HHQ155" s="53"/>
      <c r="HHR155" s="54"/>
      <c r="HHS155" s="52"/>
      <c r="HHT155" s="53"/>
      <c r="HHU155" s="8"/>
      <c r="HHV155" s="45"/>
      <c r="HHW155" s="45"/>
      <c r="HHX155" s="46"/>
      <c r="HHY155" s="44"/>
      <c r="HHZ155" s="7"/>
      <c r="HIA155" s="51"/>
      <c r="HIB155" s="52"/>
      <c r="HIC155" s="53"/>
      <c r="HID155" s="54"/>
      <c r="HIE155" s="52"/>
      <c r="HIF155" s="53"/>
      <c r="HIG155" s="54"/>
      <c r="HIH155" s="52"/>
      <c r="HII155" s="53"/>
      <c r="HIJ155" s="8"/>
      <c r="HIK155" s="45"/>
      <c r="HIL155" s="45"/>
      <c r="HIM155" s="46"/>
      <c r="HIN155" s="44"/>
      <c r="HIO155" s="7"/>
      <c r="HIP155" s="51"/>
      <c r="HIQ155" s="52"/>
      <c r="HIR155" s="53"/>
      <c r="HIS155" s="54"/>
      <c r="HIT155" s="52"/>
      <c r="HIU155" s="53"/>
      <c r="HIV155" s="54"/>
      <c r="HIW155" s="52"/>
      <c r="HIX155" s="53"/>
      <c r="HIY155" s="8"/>
      <c r="HIZ155" s="45"/>
      <c r="HJA155" s="45"/>
      <c r="HJB155" s="46"/>
      <c r="HJC155" s="44"/>
      <c r="HJD155" s="7"/>
      <c r="HJE155" s="51"/>
      <c r="HJF155" s="52"/>
      <c r="HJG155" s="53"/>
      <c r="HJH155" s="54"/>
      <c r="HJI155" s="52"/>
      <c r="HJJ155" s="53"/>
      <c r="HJK155" s="54"/>
      <c r="HJL155" s="52"/>
      <c r="HJM155" s="53"/>
      <c r="HJN155" s="8"/>
      <c r="HJO155" s="45"/>
      <c r="HJP155" s="45"/>
      <c r="HJQ155" s="46"/>
      <c r="HJR155" s="44"/>
      <c r="HJS155" s="7"/>
      <c r="HJT155" s="51"/>
      <c r="HJU155" s="52"/>
      <c r="HJV155" s="53"/>
      <c r="HJW155" s="54"/>
      <c r="HJX155" s="52"/>
      <c r="HJY155" s="53"/>
      <c r="HJZ155" s="54"/>
      <c r="HKA155" s="52"/>
      <c r="HKB155" s="53"/>
      <c r="HKC155" s="8"/>
      <c r="HKD155" s="45"/>
      <c r="HKE155" s="45"/>
      <c r="HKF155" s="46"/>
      <c r="HKG155" s="44"/>
      <c r="HKH155" s="7"/>
      <c r="HKI155" s="51"/>
      <c r="HKJ155" s="52"/>
      <c r="HKK155" s="53"/>
      <c r="HKL155" s="54"/>
      <c r="HKM155" s="52"/>
      <c r="HKN155" s="53"/>
      <c r="HKO155" s="54"/>
      <c r="HKP155" s="52"/>
      <c r="HKQ155" s="53"/>
      <c r="HKR155" s="8"/>
      <c r="HKS155" s="45"/>
      <c r="HKT155" s="45"/>
      <c r="HKU155" s="46"/>
      <c r="HKV155" s="44"/>
      <c r="HKW155" s="7"/>
      <c r="HKX155" s="51"/>
      <c r="HKY155" s="52"/>
      <c r="HKZ155" s="53"/>
      <c r="HLA155" s="54"/>
      <c r="HLB155" s="52"/>
      <c r="HLC155" s="53"/>
      <c r="HLD155" s="54"/>
      <c r="HLE155" s="52"/>
      <c r="HLF155" s="53"/>
      <c r="HLG155" s="8"/>
      <c r="HLH155" s="45"/>
      <c r="HLI155" s="45"/>
      <c r="HLJ155" s="46"/>
      <c r="HLK155" s="44"/>
      <c r="HLL155" s="7"/>
      <c r="HLM155" s="51"/>
      <c r="HLN155" s="52"/>
      <c r="HLO155" s="53"/>
      <c r="HLP155" s="54"/>
      <c r="HLQ155" s="52"/>
      <c r="HLR155" s="53"/>
      <c r="HLS155" s="54"/>
      <c r="HLT155" s="52"/>
      <c r="HLU155" s="53"/>
      <c r="HLV155" s="8"/>
      <c r="HLW155" s="45"/>
      <c r="HLX155" s="45"/>
      <c r="HLY155" s="46"/>
      <c r="HLZ155" s="44"/>
      <c r="HMA155" s="7"/>
      <c r="HMB155" s="51"/>
      <c r="HMC155" s="52"/>
      <c r="HMD155" s="53"/>
      <c r="HME155" s="54"/>
      <c r="HMF155" s="52"/>
      <c r="HMG155" s="53"/>
      <c r="HMH155" s="54"/>
      <c r="HMI155" s="52"/>
      <c r="HMJ155" s="53"/>
      <c r="HMK155" s="8"/>
      <c r="HML155" s="45"/>
      <c r="HMM155" s="45"/>
      <c r="HMN155" s="46"/>
      <c r="HMO155" s="44"/>
      <c r="HMP155" s="7"/>
      <c r="HMQ155" s="51"/>
      <c r="HMR155" s="52"/>
      <c r="HMS155" s="53"/>
      <c r="HMT155" s="54"/>
      <c r="HMU155" s="52"/>
      <c r="HMV155" s="53"/>
      <c r="HMW155" s="54"/>
      <c r="HMX155" s="52"/>
      <c r="HMY155" s="53"/>
      <c r="HMZ155" s="8"/>
      <c r="HNA155" s="45"/>
      <c r="HNB155" s="45"/>
      <c r="HNC155" s="46"/>
      <c r="HND155" s="44"/>
      <c r="HNE155" s="7"/>
      <c r="HNF155" s="51"/>
      <c r="HNG155" s="52"/>
      <c r="HNH155" s="53"/>
      <c r="HNI155" s="54"/>
      <c r="HNJ155" s="52"/>
      <c r="HNK155" s="53"/>
      <c r="HNL155" s="54"/>
      <c r="HNM155" s="52"/>
      <c r="HNN155" s="53"/>
      <c r="HNO155" s="8"/>
      <c r="HNP155" s="45"/>
      <c r="HNQ155" s="45"/>
      <c r="HNR155" s="46"/>
      <c r="HNS155" s="44"/>
      <c r="HNT155" s="7"/>
      <c r="HNU155" s="51"/>
      <c r="HNV155" s="52"/>
      <c r="HNW155" s="53"/>
      <c r="HNX155" s="54"/>
      <c r="HNY155" s="52"/>
      <c r="HNZ155" s="53"/>
      <c r="HOA155" s="54"/>
      <c r="HOB155" s="52"/>
      <c r="HOC155" s="53"/>
      <c r="HOD155" s="8"/>
      <c r="HOE155" s="45"/>
      <c r="HOF155" s="45"/>
      <c r="HOG155" s="46"/>
      <c r="HOH155" s="44"/>
      <c r="HOI155" s="7"/>
      <c r="HOJ155" s="51"/>
      <c r="HOK155" s="52"/>
      <c r="HOL155" s="53"/>
      <c r="HOM155" s="54"/>
      <c r="HON155" s="52"/>
      <c r="HOO155" s="53"/>
      <c r="HOP155" s="54"/>
      <c r="HOQ155" s="52"/>
      <c r="HOR155" s="53"/>
      <c r="HOS155" s="8"/>
      <c r="HOT155" s="45"/>
      <c r="HOU155" s="45"/>
      <c r="HOV155" s="46"/>
      <c r="HOW155" s="44"/>
      <c r="HOX155" s="7"/>
      <c r="HOY155" s="51"/>
      <c r="HOZ155" s="52"/>
      <c r="HPA155" s="53"/>
      <c r="HPB155" s="54"/>
      <c r="HPC155" s="52"/>
      <c r="HPD155" s="53"/>
      <c r="HPE155" s="54"/>
      <c r="HPF155" s="52"/>
      <c r="HPG155" s="53"/>
      <c r="HPH155" s="8"/>
      <c r="HPI155" s="45"/>
      <c r="HPJ155" s="45"/>
      <c r="HPK155" s="46"/>
      <c r="HPL155" s="44"/>
      <c r="HPM155" s="7"/>
      <c r="HPN155" s="51"/>
      <c r="HPO155" s="52"/>
      <c r="HPP155" s="53"/>
      <c r="HPQ155" s="54"/>
      <c r="HPR155" s="52"/>
      <c r="HPS155" s="53"/>
      <c r="HPT155" s="54"/>
      <c r="HPU155" s="52"/>
      <c r="HPV155" s="53"/>
      <c r="HPW155" s="8"/>
      <c r="HPX155" s="45"/>
      <c r="HPY155" s="45"/>
      <c r="HPZ155" s="46"/>
      <c r="HQA155" s="44"/>
      <c r="HQB155" s="7"/>
      <c r="HQC155" s="51"/>
      <c r="HQD155" s="52"/>
      <c r="HQE155" s="53"/>
      <c r="HQF155" s="54"/>
      <c r="HQG155" s="52"/>
      <c r="HQH155" s="53"/>
      <c r="HQI155" s="54"/>
      <c r="HQJ155" s="52"/>
      <c r="HQK155" s="53"/>
      <c r="HQL155" s="8"/>
      <c r="HQM155" s="45"/>
      <c r="HQN155" s="45"/>
      <c r="HQO155" s="46"/>
      <c r="HQP155" s="44"/>
      <c r="HQQ155" s="7"/>
      <c r="HQR155" s="51"/>
      <c r="HQS155" s="52"/>
      <c r="HQT155" s="53"/>
      <c r="HQU155" s="54"/>
      <c r="HQV155" s="52"/>
      <c r="HQW155" s="53"/>
      <c r="HQX155" s="54"/>
      <c r="HQY155" s="52"/>
      <c r="HQZ155" s="53"/>
      <c r="HRA155" s="8"/>
      <c r="HRB155" s="45"/>
      <c r="HRC155" s="45"/>
      <c r="HRD155" s="46"/>
      <c r="HRE155" s="44"/>
      <c r="HRF155" s="7"/>
      <c r="HRG155" s="51"/>
      <c r="HRH155" s="52"/>
      <c r="HRI155" s="53"/>
      <c r="HRJ155" s="54"/>
      <c r="HRK155" s="52"/>
      <c r="HRL155" s="53"/>
      <c r="HRM155" s="54"/>
      <c r="HRN155" s="52"/>
      <c r="HRO155" s="53"/>
      <c r="HRP155" s="8"/>
      <c r="HRQ155" s="45"/>
      <c r="HRR155" s="45"/>
      <c r="HRS155" s="46"/>
      <c r="HRT155" s="44"/>
      <c r="HRU155" s="7"/>
      <c r="HRV155" s="51"/>
      <c r="HRW155" s="52"/>
      <c r="HRX155" s="53"/>
      <c r="HRY155" s="54"/>
      <c r="HRZ155" s="52"/>
      <c r="HSA155" s="53"/>
      <c r="HSB155" s="54"/>
      <c r="HSC155" s="52"/>
      <c r="HSD155" s="53"/>
      <c r="HSE155" s="8"/>
      <c r="HSF155" s="45"/>
      <c r="HSG155" s="45"/>
      <c r="HSH155" s="46"/>
      <c r="HSI155" s="44"/>
      <c r="HSJ155" s="7"/>
      <c r="HSK155" s="51"/>
      <c r="HSL155" s="52"/>
      <c r="HSM155" s="53"/>
      <c r="HSN155" s="54"/>
      <c r="HSO155" s="52"/>
      <c r="HSP155" s="53"/>
      <c r="HSQ155" s="54"/>
      <c r="HSR155" s="52"/>
      <c r="HSS155" s="53"/>
      <c r="HST155" s="8"/>
      <c r="HSU155" s="45"/>
      <c r="HSV155" s="45"/>
      <c r="HSW155" s="46"/>
      <c r="HSX155" s="44"/>
      <c r="HSY155" s="7"/>
      <c r="HSZ155" s="51"/>
      <c r="HTA155" s="52"/>
      <c r="HTB155" s="53"/>
      <c r="HTC155" s="54"/>
      <c r="HTD155" s="52"/>
      <c r="HTE155" s="53"/>
      <c r="HTF155" s="54"/>
      <c r="HTG155" s="52"/>
      <c r="HTH155" s="53"/>
      <c r="HTI155" s="8"/>
      <c r="HTJ155" s="45"/>
      <c r="HTK155" s="45"/>
      <c r="HTL155" s="46"/>
      <c r="HTM155" s="44"/>
      <c r="HTN155" s="7"/>
      <c r="HTO155" s="51"/>
      <c r="HTP155" s="52"/>
      <c r="HTQ155" s="53"/>
      <c r="HTR155" s="54"/>
      <c r="HTS155" s="52"/>
      <c r="HTT155" s="53"/>
      <c r="HTU155" s="54"/>
      <c r="HTV155" s="52"/>
      <c r="HTW155" s="53"/>
      <c r="HTX155" s="8"/>
      <c r="HTY155" s="45"/>
      <c r="HTZ155" s="45"/>
      <c r="HUA155" s="46"/>
      <c r="HUB155" s="44"/>
      <c r="HUC155" s="7"/>
      <c r="HUD155" s="51"/>
      <c r="HUE155" s="52"/>
      <c r="HUF155" s="53"/>
      <c r="HUG155" s="54"/>
      <c r="HUH155" s="52"/>
      <c r="HUI155" s="53"/>
      <c r="HUJ155" s="54"/>
      <c r="HUK155" s="52"/>
      <c r="HUL155" s="53"/>
      <c r="HUM155" s="8"/>
      <c r="HUN155" s="45"/>
      <c r="HUO155" s="45"/>
      <c r="HUP155" s="46"/>
      <c r="HUQ155" s="44"/>
      <c r="HUR155" s="7"/>
      <c r="HUS155" s="51"/>
      <c r="HUT155" s="52"/>
      <c r="HUU155" s="53"/>
      <c r="HUV155" s="54"/>
      <c r="HUW155" s="52"/>
      <c r="HUX155" s="53"/>
      <c r="HUY155" s="54"/>
      <c r="HUZ155" s="52"/>
      <c r="HVA155" s="53"/>
      <c r="HVB155" s="8"/>
      <c r="HVC155" s="45"/>
      <c r="HVD155" s="45"/>
      <c r="HVE155" s="46"/>
      <c r="HVF155" s="44"/>
      <c r="HVG155" s="7"/>
      <c r="HVH155" s="51"/>
      <c r="HVI155" s="52"/>
      <c r="HVJ155" s="53"/>
      <c r="HVK155" s="54"/>
      <c r="HVL155" s="52"/>
      <c r="HVM155" s="53"/>
      <c r="HVN155" s="54"/>
      <c r="HVO155" s="52"/>
      <c r="HVP155" s="53"/>
      <c r="HVQ155" s="8"/>
      <c r="HVR155" s="45"/>
      <c r="HVS155" s="45"/>
      <c r="HVT155" s="46"/>
      <c r="HVU155" s="44"/>
      <c r="HVV155" s="7"/>
      <c r="HVW155" s="51"/>
      <c r="HVX155" s="52"/>
      <c r="HVY155" s="53"/>
      <c r="HVZ155" s="54"/>
      <c r="HWA155" s="52"/>
      <c r="HWB155" s="53"/>
      <c r="HWC155" s="54"/>
      <c r="HWD155" s="52"/>
      <c r="HWE155" s="53"/>
      <c r="HWF155" s="8"/>
      <c r="HWG155" s="45"/>
      <c r="HWH155" s="45"/>
      <c r="HWI155" s="46"/>
      <c r="HWJ155" s="44"/>
      <c r="HWK155" s="7"/>
      <c r="HWL155" s="51"/>
      <c r="HWM155" s="52"/>
      <c r="HWN155" s="53"/>
      <c r="HWO155" s="54"/>
      <c r="HWP155" s="52"/>
      <c r="HWQ155" s="53"/>
      <c r="HWR155" s="54"/>
      <c r="HWS155" s="52"/>
      <c r="HWT155" s="53"/>
      <c r="HWU155" s="8"/>
      <c r="HWV155" s="45"/>
      <c r="HWW155" s="45"/>
      <c r="HWX155" s="46"/>
      <c r="HWY155" s="44"/>
      <c r="HWZ155" s="7"/>
      <c r="HXA155" s="51"/>
      <c r="HXB155" s="52"/>
      <c r="HXC155" s="53"/>
      <c r="HXD155" s="54"/>
      <c r="HXE155" s="52"/>
      <c r="HXF155" s="53"/>
      <c r="HXG155" s="54"/>
      <c r="HXH155" s="52"/>
      <c r="HXI155" s="53"/>
      <c r="HXJ155" s="8"/>
      <c r="HXK155" s="45"/>
      <c r="HXL155" s="45"/>
      <c r="HXM155" s="46"/>
      <c r="HXN155" s="44"/>
      <c r="HXO155" s="7"/>
      <c r="HXP155" s="51"/>
      <c r="HXQ155" s="52"/>
      <c r="HXR155" s="53"/>
      <c r="HXS155" s="54"/>
      <c r="HXT155" s="52"/>
      <c r="HXU155" s="53"/>
      <c r="HXV155" s="54"/>
      <c r="HXW155" s="52"/>
      <c r="HXX155" s="53"/>
      <c r="HXY155" s="8"/>
      <c r="HXZ155" s="45"/>
      <c r="HYA155" s="45"/>
      <c r="HYB155" s="46"/>
      <c r="HYC155" s="44"/>
      <c r="HYD155" s="7"/>
      <c r="HYE155" s="51"/>
      <c r="HYF155" s="52"/>
      <c r="HYG155" s="53"/>
      <c r="HYH155" s="54"/>
      <c r="HYI155" s="52"/>
      <c r="HYJ155" s="53"/>
      <c r="HYK155" s="54"/>
      <c r="HYL155" s="52"/>
      <c r="HYM155" s="53"/>
      <c r="HYN155" s="8"/>
      <c r="HYO155" s="45"/>
      <c r="HYP155" s="45"/>
      <c r="HYQ155" s="46"/>
      <c r="HYR155" s="44"/>
      <c r="HYS155" s="7"/>
      <c r="HYT155" s="51"/>
      <c r="HYU155" s="52"/>
      <c r="HYV155" s="53"/>
      <c r="HYW155" s="54"/>
      <c r="HYX155" s="52"/>
      <c r="HYY155" s="53"/>
      <c r="HYZ155" s="54"/>
      <c r="HZA155" s="52"/>
      <c r="HZB155" s="53"/>
      <c r="HZC155" s="8"/>
      <c r="HZD155" s="45"/>
      <c r="HZE155" s="45"/>
      <c r="HZF155" s="46"/>
      <c r="HZG155" s="44"/>
      <c r="HZH155" s="7"/>
      <c r="HZI155" s="51"/>
      <c r="HZJ155" s="52"/>
      <c r="HZK155" s="53"/>
      <c r="HZL155" s="54"/>
      <c r="HZM155" s="52"/>
      <c r="HZN155" s="53"/>
      <c r="HZO155" s="54"/>
      <c r="HZP155" s="52"/>
      <c r="HZQ155" s="53"/>
      <c r="HZR155" s="8"/>
      <c r="HZS155" s="45"/>
      <c r="HZT155" s="45"/>
      <c r="HZU155" s="46"/>
      <c r="HZV155" s="44"/>
      <c r="HZW155" s="7"/>
      <c r="HZX155" s="51"/>
      <c r="HZY155" s="52"/>
      <c r="HZZ155" s="53"/>
      <c r="IAA155" s="54"/>
      <c r="IAB155" s="52"/>
      <c r="IAC155" s="53"/>
      <c r="IAD155" s="54"/>
      <c r="IAE155" s="52"/>
      <c r="IAF155" s="53"/>
      <c r="IAG155" s="8"/>
      <c r="IAH155" s="45"/>
      <c r="IAI155" s="45"/>
      <c r="IAJ155" s="46"/>
      <c r="IAK155" s="44"/>
      <c r="IAL155" s="7"/>
      <c r="IAM155" s="51"/>
      <c r="IAN155" s="52"/>
      <c r="IAO155" s="53"/>
      <c r="IAP155" s="54"/>
      <c r="IAQ155" s="52"/>
      <c r="IAR155" s="53"/>
      <c r="IAS155" s="54"/>
      <c r="IAT155" s="52"/>
      <c r="IAU155" s="53"/>
      <c r="IAV155" s="8"/>
      <c r="IAW155" s="45"/>
      <c r="IAX155" s="45"/>
      <c r="IAY155" s="46"/>
      <c r="IAZ155" s="44"/>
      <c r="IBA155" s="7"/>
      <c r="IBB155" s="51"/>
      <c r="IBC155" s="52"/>
      <c r="IBD155" s="53"/>
      <c r="IBE155" s="54"/>
      <c r="IBF155" s="52"/>
      <c r="IBG155" s="53"/>
      <c r="IBH155" s="54"/>
      <c r="IBI155" s="52"/>
      <c r="IBJ155" s="53"/>
      <c r="IBK155" s="8"/>
      <c r="IBL155" s="45"/>
      <c r="IBM155" s="45"/>
      <c r="IBN155" s="46"/>
      <c r="IBO155" s="44"/>
      <c r="IBP155" s="7"/>
      <c r="IBQ155" s="51"/>
      <c r="IBR155" s="52"/>
      <c r="IBS155" s="53"/>
      <c r="IBT155" s="54"/>
      <c r="IBU155" s="52"/>
      <c r="IBV155" s="53"/>
      <c r="IBW155" s="54"/>
      <c r="IBX155" s="52"/>
      <c r="IBY155" s="53"/>
      <c r="IBZ155" s="8"/>
      <c r="ICA155" s="45"/>
      <c r="ICB155" s="45"/>
      <c r="ICC155" s="46"/>
      <c r="ICD155" s="44"/>
      <c r="ICE155" s="7"/>
      <c r="ICF155" s="51"/>
      <c r="ICG155" s="52"/>
      <c r="ICH155" s="53"/>
      <c r="ICI155" s="54"/>
      <c r="ICJ155" s="52"/>
      <c r="ICK155" s="53"/>
      <c r="ICL155" s="54"/>
      <c r="ICM155" s="52"/>
      <c r="ICN155" s="53"/>
      <c r="ICO155" s="8"/>
      <c r="ICP155" s="45"/>
      <c r="ICQ155" s="45"/>
      <c r="ICR155" s="46"/>
      <c r="ICS155" s="44"/>
      <c r="ICT155" s="7"/>
      <c r="ICU155" s="51"/>
      <c r="ICV155" s="52"/>
      <c r="ICW155" s="53"/>
      <c r="ICX155" s="54"/>
      <c r="ICY155" s="52"/>
      <c r="ICZ155" s="53"/>
      <c r="IDA155" s="54"/>
      <c r="IDB155" s="52"/>
      <c r="IDC155" s="53"/>
      <c r="IDD155" s="8"/>
      <c r="IDE155" s="45"/>
      <c r="IDF155" s="45"/>
      <c r="IDG155" s="46"/>
      <c r="IDH155" s="44"/>
      <c r="IDI155" s="7"/>
      <c r="IDJ155" s="51"/>
      <c r="IDK155" s="52"/>
      <c r="IDL155" s="53"/>
      <c r="IDM155" s="54"/>
      <c r="IDN155" s="52"/>
      <c r="IDO155" s="53"/>
      <c r="IDP155" s="54"/>
      <c r="IDQ155" s="52"/>
      <c r="IDR155" s="53"/>
      <c r="IDS155" s="8"/>
      <c r="IDT155" s="45"/>
      <c r="IDU155" s="45"/>
      <c r="IDV155" s="46"/>
      <c r="IDW155" s="44"/>
      <c r="IDX155" s="7"/>
      <c r="IDY155" s="51"/>
      <c r="IDZ155" s="52"/>
      <c r="IEA155" s="53"/>
      <c r="IEB155" s="54"/>
      <c r="IEC155" s="52"/>
      <c r="IED155" s="53"/>
      <c r="IEE155" s="54"/>
      <c r="IEF155" s="52"/>
      <c r="IEG155" s="53"/>
      <c r="IEH155" s="8"/>
      <c r="IEI155" s="45"/>
      <c r="IEJ155" s="45"/>
      <c r="IEK155" s="46"/>
      <c r="IEL155" s="44"/>
      <c r="IEM155" s="7"/>
      <c r="IEN155" s="51"/>
      <c r="IEO155" s="52"/>
      <c r="IEP155" s="53"/>
      <c r="IEQ155" s="54"/>
      <c r="IER155" s="52"/>
      <c r="IES155" s="53"/>
      <c r="IET155" s="54"/>
      <c r="IEU155" s="52"/>
      <c r="IEV155" s="53"/>
      <c r="IEW155" s="8"/>
      <c r="IEX155" s="45"/>
      <c r="IEY155" s="45"/>
      <c r="IEZ155" s="46"/>
      <c r="IFA155" s="44"/>
      <c r="IFB155" s="7"/>
      <c r="IFC155" s="51"/>
      <c r="IFD155" s="52"/>
      <c r="IFE155" s="53"/>
      <c r="IFF155" s="54"/>
      <c r="IFG155" s="52"/>
      <c r="IFH155" s="53"/>
      <c r="IFI155" s="54"/>
      <c r="IFJ155" s="52"/>
      <c r="IFK155" s="53"/>
      <c r="IFL155" s="8"/>
      <c r="IFM155" s="45"/>
      <c r="IFN155" s="45"/>
      <c r="IFO155" s="46"/>
      <c r="IFP155" s="44"/>
      <c r="IFQ155" s="7"/>
      <c r="IFR155" s="51"/>
      <c r="IFS155" s="52"/>
      <c r="IFT155" s="53"/>
      <c r="IFU155" s="54"/>
      <c r="IFV155" s="52"/>
      <c r="IFW155" s="53"/>
      <c r="IFX155" s="54"/>
      <c r="IFY155" s="52"/>
      <c r="IFZ155" s="53"/>
      <c r="IGA155" s="8"/>
      <c r="IGB155" s="45"/>
      <c r="IGC155" s="45"/>
      <c r="IGD155" s="46"/>
      <c r="IGE155" s="44"/>
      <c r="IGF155" s="7"/>
      <c r="IGG155" s="51"/>
      <c r="IGH155" s="52"/>
      <c r="IGI155" s="53"/>
      <c r="IGJ155" s="54"/>
      <c r="IGK155" s="52"/>
      <c r="IGL155" s="53"/>
      <c r="IGM155" s="54"/>
      <c r="IGN155" s="52"/>
      <c r="IGO155" s="53"/>
      <c r="IGP155" s="8"/>
      <c r="IGQ155" s="45"/>
      <c r="IGR155" s="45"/>
      <c r="IGS155" s="46"/>
      <c r="IGT155" s="44"/>
      <c r="IGU155" s="7"/>
      <c r="IGV155" s="51"/>
      <c r="IGW155" s="52"/>
      <c r="IGX155" s="53"/>
      <c r="IGY155" s="54"/>
      <c r="IGZ155" s="52"/>
      <c r="IHA155" s="53"/>
      <c r="IHB155" s="54"/>
      <c r="IHC155" s="52"/>
      <c r="IHD155" s="53"/>
      <c r="IHE155" s="8"/>
      <c r="IHF155" s="45"/>
      <c r="IHG155" s="45"/>
      <c r="IHH155" s="46"/>
      <c r="IHI155" s="44"/>
      <c r="IHJ155" s="7"/>
      <c r="IHK155" s="51"/>
      <c r="IHL155" s="52"/>
      <c r="IHM155" s="53"/>
      <c r="IHN155" s="54"/>
      <c r="IHO155" s="52"/>
      <c r="IHP155" s="53"/>
      <c r="IHQ155" s="54"/>
      <c r="IHR155" s="52"/>
      <c r="IHS155" s="53"/>
      <c r="IHT155" s="8"/>
      <c r="IHU155" s="45"/>
      <c r="IHV155" s="45"/>
      <c r="IHW155" s="46"/>
      <c r="IHX155" s="44"/>
      <c r="IHY155" s="7"/>
      <c r="IHZ155" s="51"/>
      <c r="IIA155" s="52"/>
      <c r="IIB155" s="53"/>
      <c r="IIC155" s="54"/>
      <c r="IID155" s="52"/>
      <c r="IIE155" s="53"/>
      <c r="IIF155" s="54"/>
      <c r="IIG155" s="52"/>
      <c r="IIH155" s="53"/>
      <c r="III155" s="8"/>
      <c r="IIJ155" s="45"/>
      <c r="IIK155" s="45"/>
      <c r="IIL155" s="46"/>
      <c r="IIM155" s="44"/>
      <c r="IIN155" s="7"/>
      <c r="IIO155" s="51"/>
      <c r="IIP155" s="52"/>
      <c r="IIQ155" s="53"/>
      <c r="IIR155" s="54"/>
      <c r="IIS155" s="52"/>
      <c r="IIT155" s="53"/>
      <c r="IIU155" s="54"/>
      <c r="IIV155" s="52"/>
      <c r="IIW155" s="53"/>
      <c r="IIX155" s="8"/>
      <c r="IIY155" s="45"/>
      <c r="IIZ155" s="45"/>
      <c r="IJA155" s="46"/>
      <c r="IJB155" s="44"/>
      <c r="IJC155" s="7"/>
      <c r="IJD155" s="51"/>
      <c r="IJE155" s="52"/>
      <c r="IJF155" s="53"/>
      <c r="IJG155" s="54"/>
      <c r="IJH155" s="52"/>
      <c r="IJI155" s="53"/>
      <c r="IJJ155" s="54"/>
      <c r="IJK155" s="52"/>
      <c r="IJL155" s="53"/>
      <c r="IJM155" s="8"/>
      <c r="IJN155" s="45"/>
      <c r="IJO155" s="45"/>
      <c r="IJP155" s="46"/>
      <c r="IJQ155" s="44"/>
      <c r="IJR155" s="7"/>
      <c r="IJS155" s="51"/>
      <c r="IJT155" s="52"/>
      <c r="IJU155" s="53"/>
      <c r="IJV155" s="54"/>
      <c r="IJW155" s="52"/>
      <c r="IJX155" s="53"/>
      <c r="IJY155" s="54"/>
      <c r="IJZ155" s="52"/>
      <c r="IKA155" s="53"/>
      <c r="IKB155" s="8"/>
      <c r="IKC155" s="45"/>
      <c r="IKD155" s="45"/>
      <c r="IKE155" s="46"/>
      <c r="IKF155" s="44"/>
      <c r="IKG155" s="7"/>
      <c r="IKH155" s="51"/>
      <c r="IKI155" s="52"/>
      <c r="IKJ155" s="53"/>
      <c r="IKK155" s="54"/>
      <c r="IKL155" s="52"/>
      <c r="IKM155" s="53"/>
      <c r="IKN155" s="54"/>
      <c r="IKO155" s="52"/>
      <c r="IKP155" s="53"/>
      <c r="IKQ155" s="8"/>
      <c r="IKR155" s="45"/>
      <c r="IKS155" s="45"/>
      <c r="IKT155" s="46"/>
      <c r="IKU155" s="44"/>
      <c r="IKV155" s="7"/>
      <c r="IKW155" s="51"/>
      <c r="IKX155" s="52"/>
      <c r="IKY155" s="53"/>
      <c r="IKZ155" s="54"/>
      <c r="ILA155" s="52"/>
      <c r="ILB155" s="53"/>
      <c r="ILC155" s="54"/>
      <c r="ILD155" s="52"/>
      <c r="ILE155" s="53"/>
      <c r="ILF155" s="8"/>
      <c r="ILG155" s="45"/>
      <c r="ILH155" s="45"/>
      <c r="ILI155" s="46"/>
      <c r="ILJ155" s="44"/>
      <c r="ILK155" s="7"/>
      <c r="ILL155" s="51"/>
      <c r="ILM155" s="52"/>
      <c r="ILN155" s="53"/>
      <c r="ILO155" s="54"/>
      <c r="ILP155" s="52"/>
      <c r="ILQ155" s="53"/>
      <c r="ILR155" s="54"/>
      <c r="ILS155" s="52"/>
      <c r="ILT155" s="53"/>
      <c r="ILU155" s="8"/>
      <c r="ILV155" s="45"/>
      <c r="ILW155" s="45"/>
      <c r="ILX155" s="46"/>
      <c r="ILY155" s="44"/>
      <c r="ILZ155" s="7"/>
      <c r="IMA155" s="51"/>
      <c r="IMB155" s="52"/>
      <c r="IMC155" s="53"/>
      <c r="IMD155" s="54"/>
      <c r="IME155" s="52"/>
      <c r="IMF155" s="53"/>
      <c r="IMG155" s="54"/>
      <c r="IMH155" s="52"/>
      <c r="IMI155" s="53"/>
      <c r="IMJ155" s="8"/>
      <c r="IMK155" s="45"/>
      <c r="IML155" s="45"/>
      <c r="IMM155" s="46"/>
      <c r="IMN155" s="44"/>
      <c r="IMO155" s="7"/>
      <c r="IMP155" s="51"/>
      <c r="IMQ155" s="52"/>
      <c r="IMR155" s="53"/>
      <c r="IMS155" s="54"/>
      <c r="IMT155" s="52"/>
      <c r="IMU155" s="53"/>
      <c r="IMV155" s="54"/>
      <c r="IMW155" s="52"/>
      <c r="IMX155" s="53"/>
      <c r="IMY155" s="8"/>
      <c r="IMZ155" s="45"/>
      <c r="INA155" s="45"/>
      <c r="INB155" s="46"/>
      <c r="INC155" s="44"/>
      <c r="IND155" s="7"/>
      <c r="INE155" s="51"/>
      <c r="INF155" s="52"/>
      <c r="ING155" s="53"/>
      <c r="INH155" s="54"/>
      <c r="INI155" s="52"/>
      <c r="INJ155" s="53"/>
      <c r="INK155" s="54"/>
      <c r="INL155" s="52"/>
      <c r="INM155" s="53"/>
      <c r="INN155" s="8"/>
      <c r="INO155" s="45"/>
      <c r="INP155" s="45"/>
      <c r="INQ155" s="46"/>
      <c r="INR155" s="44"/>
      <c r="INS155" s="7"/>
      <c r="INT155" s="51"/>
      <c r="INU155" s="52"/>
      <c r="INV155" s="53"/>
      <c r="INW155" s="54"/>
      <c r="INX155" s="52"/>
      <c r="INY155" s="53"/>
      <c r="INZ155" s="54"/>
      <c r="IOA155" s="52"/>
      <c r="IOB155" s="53"/>
      <c r="IOC155" s="8"/>
      <c r="IOD155" s="45"/>
      <c r="IOE155" s="45"/>
      <c r="IOF155" s="46"/>
      <c r="IOG155" s="44"/>
      <c r="IOH155" s="7"/>
      <c r="IOI155" s="51"/>
      <c r="IOJ155" s="52"/>
      <c r="IOK155" s="53"/>
      <c r="IOL155" s="54"/>
      <c r="IOM155" s="52"/>
      <c r="ION155" s="53"/>
      <c r="IOO155" s="54"/>
      <c r="IOP155" s="52"/>
      <c r="IOQ155" s="53"/>
      <c r="IOR155" s="8"/>
      <c r="IOS155" s="45"/>
      <c r="IOT155" s="45"/>
      <c r="IOU155" s="46"/>
      <c r="IOV155" s="44"/>
      <c r="IOW155" s="7"/>
      <c r="IOX155" s="51"/>
      <c r="IOY155" s="52"/>
      <c r="IOZ155" s="53"/>
      <c r="IPA155" s="54"/>
      <c r="IPB155" s="52"/>
      <c r="IPC155" s="53"/>
      <c r="IPD155" s="54"/>
      <c r="IPE155" s="52"/>
      <c r="IPF155" s="53"/>
      <c r="IPG155" s="8"/>
      <c r="IPH155" s="45"/>
      <c r="IPI155" s="45"/>
      <c r="IPJ155" s="46"/>
      <c r="IPK155" s="44"/>
      <c r="IPL155" s="7"/>
      <c r="IPM155" s="51"/>
      <c r="IPN155" s="52"/>
      <c r="IPO155" s="53"/>
      <c r="IPP155" s="54"/>
      <c r="IPQ155" s="52"/>
      <c r="IPR155" s="53"/>
      <c r="IPS155" s="54"/>
      <c r="IPT155" s="52"/>
      <c r="IPU155" s="53"/>
      <c r="IPV155" s="8"/>
      <c r="IPW155" s="45"/>
      <c r="IPX155" s="45"/>
      <c r="IPY155" s="46"/>
      <c r="IPZ155" s="44"/>
      <c r="IQA155" s="7"/>
      <c r="IQB155" s="51"/>
      <c r="IQC155" s="52"/>
      <c r="IQD155" s="53"/>
      <c r="IQE155" s="54"/>
      <c r="IQF155" s="52"/>
      <c r="IQG155" s="53"/>
      <c r="IQH155" s="54"/>
      <c r="IQI155" s="52"/>
      <c r="IQJ155" s="53"/>
      <c r="IQK155" s="8"/>
      <c r="IQL155" s="45"/>
      <c r="IQM155" s="45"/>
      <c r="IQN155" s="46"/>
      <c r="IQO155" s="44"/>
      <c r="IQP155" s="7"/>
      <c r="IQQ155" s="51"/>
      <c r="IQR155" s="52"/>
      <c r="IQS155" s="53"/>
      <c r="IQT155" s="54"/>
      <c r="IQU155" s="52"/>
      <c r="IQV155" s="53"/>
      <c r="IQW155" s="54"/>
      <c r="IQX155" s="52"/>
      <c r="IQY155" s="53"/>
      <c r="IQZ155" s="8"/>
      <c r="IRA155" s="45"/>
      <c r="IRB155" s="45"/>
      <c r="IRC155" s="46"/>
      <c r="IRD155" s="44"/>
      <c r="IRE155" s="7"/>
      <c r="IRF155" s="51"/>
      <c r="IRG155" s="52"/>
      <c r="IRH155" s="53"/>
      <c r="IRI155" s="54"/>
      <c r="IRJ155" s="52"/>
      <c r="IRK155" s="53"/>
      <c r="IRL155" s="54"/>
      <c r="IRM155" s="52"/>
      <c r="IRN155" s="53"/>
      <c r="IRO155" s="8"/>
      <c r="IRP155" s="45"/>
      <c r="IRQ155" s="45"/>
      <c r="IRR155" s="46"/>
      <c r="IRS155" s="44"/>
      <c r="IRT155" s="7"/>
      <c r="IRU155" s="51"/>
      <c r="IRV155" s="52"/>
      <c r="IRW155" s="53"/>
      <c r="IRX155" s="54"/>
      <c r="IRY155" s="52"/>
      <c r="IRZ155" s="53"/>
      <c r="ISA155" s="54"/>
      <c r="ISB155" s="52"/>
      <c r="ISC155" s="53"/>
      <c r="ISD155" s="8"/>
      <c r="ISE155" s="45"/>
      <c r="ISF155" s="45"/>
      <c r="ISG155" s="46"/>
      <c r="ISH155" s="44"/>
      <c r="ISI155" s="7"/>
      <c r="ISJ155" s="51"/>
      <c r="ISK155" s="52"/>
      <c r="ISL155" s="53"/>
      <c r="ISM155" s="54"/>
      <c r="ISN155" s="52"/>
      <c r="ISO155" s="53"/>
      <c r="ISP155" s="54"/>
      <c r="ISQ155" s="52"/>
      <c r="ISR155" s="53"/>
      <c r="ISS155" s="8"/>
      <c r="IST155" s="45"/>
      <c r="ISU155" s="45"/>
      <c r="ISV155" s="46"/>
      <c r="ISW155" s="44"/>
      <c r="ISX155" s="7"/>
      <c r="ISY155" s="51"/>
      <c r="ISZ155" s="52"/>
      <c r="ITA155" s="53"/>
      <c r="ITB155" s="54"/>
      <c r="ITC155" s="52"/>
      <c r="ITD155" s="53"/>
      <c r="ITE155" s="54"/>
      <c r="ITF155" s="52"/>
      <c r="ITG155" s="53"/>
      <c r="ITH155" s="8"/>
      <c r="ITI155" s="45"/>
      <c r="ITJ155" s="45"/>
      <c r="ITK155" s="46"/>
      <c r="ITL155" s="44"/>
      <c r="ITM155" s="7"/>
      <c r="ITN155" s="51"/>
      <c r="ITO155" s="52"/>
      <c r="ITP155" s="53"/>
      <c r="ITQ155" s="54"/>
      <c r="ITR155" s="52"/>
      <c r="ITS155" s="53"/>
      <c r="ITT155" s="54"/>
      <c r="ITU155" s="52"/>
      <c r="ITV155" s="53"/>
      <c r="ITW155" s="8"/>
      <c r="ITX155" s="45"/>
      <c r="ITY155" s="45"/>
      <c r="ITZ155" s="46"/>
      <c r="IUA155" s="44"/>
      <c r="IUB155" s="7"/>
      <c r="IUC155" s="51"/>
      <c r="IUD155" s="52"/>
      <c r="IUE155" s="53"/>
      <c r="IUF155" s="54"/>
      <c r="IUG155" s="52"/>
      <c r="IUH155" s="53"/>
      <c r="IUI155" s="54"/>
      <c r="IUJ155" s="52"/>
      <c r="IUK155" s="53"/>
      <c r="IUL155" s="8"/>
      <c r="IUM155" s="45"/>
      <c r="IUN155" s="45"/>
      <c r="IUO155" s="46"/>
      <c r="IUP155" s="44"/>
      <c r="IUQ155" s="7"/>
      <c r="IUR155" s="51"/>
      <c r="IUS155" s="52"/>
      <c r="IUT155" s="53"/>
      <c r="IUU155" s="54"/>
      <c r="IUV155" s="52"/>
      <c r="IUW155" s="53"/>
      <c r="IUX155" s="54"/>
      <c r="IUY155" s="52"/>
      <c r="IUZ155" s="53"/>
      <c r="IVA155" s="8"/>
      <c r="IVB155" s="45"/>
      <c r="IVC155" s="45"/>
      <c r="IVD155" s="46"/>
      <c r="IVE155" s="44"/>
      <c r="IVF155" s="7"/>
      <c r="IVG155" s="51"/>
      <c r="IVH155" s="52"/>
      <c r="IVI155" s="53"/>
      <c r="IVJ155" s="54"/>
      <c r="IVK155" s="52"/>
      <c r="IVL155" s="53"/>
      <c r="IVM155" s="54"/>
      <c r="IVN155" s="52"/>
      <c r="IVO155" s="53"/>
      <c r="IVP155" s="8"/>
      <c r="IVQ155" s="45"/>
      <c r="IVR155" s="45"/>
      <c r="IVS155" s="46"/>
      <c r="IVT155" s="44"/>
      <c r="IVU155" s="7"/>
      <c r="IVV155" s="51"/>
      <c r="IVW155" s="52"/>
      <c r="IVX155" s="53"/>
      <c r="IVY155" s="54"/>
      <c r="IVZ155" s="52"/>
      <c r="IWA155" s="53"/>
      <c r="IWB155" s="54"/>
      <c r="IWC155" s="52"/>
      <c r="IWD155" s="53"/>
      <c r="IWE155" s="8"/>
      <c r="IWF155" s="45"/>
      <c r="IWG155" s="45"/>
      <c r="IWH155" s="46"/>
      <c r="IWI155" s="44"/>
      <c r="IWJ155" s="7"/>
      <c r="IWK155" s="51"/>
      <c r="IWL155" s="52"/>
      <c r="IWM155" s="53"/>
      <c r="IWN155" s="54"/>
      <c r="IWO155" s="52"/>
      <c r="IWP155" s="53"/>
      <c r="IWQ155" s="54"/>
      <c r="IWR155" s="52"/>
      <c r="IWS155" s="53"/>
      <c r="IWT155" s="8"/>
      <c r="IWU155" s="45"/>
      <c r="IWV155" s="45"/>
      <c r="IWW155" s="46"/>
      <c r="IWX155" s="44"/>
      <c r="IWY155" s="7"/>
      <c r="IWZ155" s="51"/>
      <c r="IXA155" s="52"/>
      <c r="IXB155" s="53"/>
      <c r="IXC155" s="54"/>
      <c r="IXD155" s="52"/>
      <c r="IXE155" s="53"/>
      <c r="IXF155" s="54"/>
      <c r="IXG155" s="52"/>
      <c r="IXH155" s="53"/>
      <c r="IXI155" s="8"/>
      <c r="IXJ155" s="45"/>
      <c r="IXK155" s="45"/>
      <c r="IXL155" s="46"/>
      <c r="IXM155" s="44"/>
      <c r="IXN155" s="7"/>
      <c r="IXO155" s="51"/>
      <c r="IXP155" s="52"/>
      <c r="IXQ155" s="53"/>
      <c r="IXR155" s="54"/>
      <c r="IXS155" s="52"/>
      <c r="IXT155" s="53"/>
      <c r="IXU155" s="54"/>
      <c r="IXV155" s="52"/>
      <c r="IXW155" s="53"/>
      <c r="IXX155" s="8"/>
      <c r="IXY155" s="45"/>
      <c r="IXZ155" s="45"/>
      <c r="IYA155" s="46"/>
      <c r="IYB155" s="44"/>
      <c r="IYC155" s="7"/>
      <c r="IYD155" s="51"/>
      <c r="IYE155" s="52"/>
      <c r="IYF155" s="53"/>
      <c r="IYG155" s="54"/>
      <c r="IYH155" s="52"/>
      <c r="IYI155" s="53"/>
      <c r="IYJ155" s="54"/>
      <c r="IYK155" s="52"/>
      <c r="IYL155" s="53"/>
      <c r="IYM155" s="8"/>
      <c r="IYN155" s="45"/>
      <c r="IYO155" s="45"/>
      <c r="IYP155" s="46"/>
      <c r="IYQ155" s="44"/>
      <c r="IYR155" s="7"/>
      <c r="IYS155" s="51"/>
      <c r="IYT155" s="52"/>
      <c r="IYU155" s="53"/>
      <c r="IYV155" s="54"/>
      <c r="IYW155" s="52"/>
      <c r="IYX155" s="53"/>
      <c r="IYY155" s="54"/>
      <c r="IYZ155" s="52"/>
      <c r="IZA155" s="53"/>
      <c r="IZB155" s="8"/>
      <c r="IZC155" s="45"/>
      <c r="IZD155" s="45"/>
      <c r="IZE155" s="46"/>
      <c r="IZF155" s="44"/>
      <c r="IZG155" s="7"/>
      <c r="IZH155" s="51"/>
      <c r="IZI155" s="52"/>
      <c r="IZJ155" s="53"/>
      <c r="IZK155" s="54"/>
      <c r="IZL155" s="52"/>
      <c r="IZM155" s="53"/>
      <c r="IZN155" s="54"/>
      <c r="IZO155" s="52"/>
      <c r="IZP155" s="53"/>
      <c r="IZQ155" s="8"/>
      <c r="IZR155" s="45"/>
      <c r="IZS155" s="45"/>
      <c r="IZT155" s="46"/>
      <c r="IZU155" s="44"/>
      <c r="IZV155" s="7"/>
      <c r="IZW155" s="51"/>
      <c r="IZX155" s="52"/>
      <c r="IZY155" s="53"/>
      <c r="IZZ155" s="54"/>
      <c r="JAA155" s="52"/>
      <c r="JAB155" s="53"/>
      <c r="JAC155" s="54"/>
      <c r="JAD155" s="52"/>
      <c r="JAE155" s="53"/>
      <c r="JAF155" s="8"/>
      <c r="JAG155" s="45"/>
      <c r="JAH155" s="45"/>
      <c r="JAI155" s="46"/>
      <c r="JAJ155" s="44"/>
      <c r="JAK155" s="7"/>
      <c r="JAL155" s="51"/>
      <c r="JAM155" s="52"/>
      <c r="JAN155" s="53"/>
      <c r="JAO155" s="54"/>
      <c r="JAP155" s="52"/>
      <c r="JAQ155" s="53"/>
      <c r="JAR155" s="54"/>
      <c r="JAS155" s="52"/>
      <c r="JAT155" s="53"/>
      <c r="JAU155" s="8"/>
      <c r="JAV155" s="45"/>
      <c r="JAW155" s="45"/>
      <c r="JAX155" s="46"/>
      <c r="JAY155" s="44"/>
      <c r="JAZ155" s="7"/>
      <c r="JBA155" s="51"/>
      <c r="JBB155" s="52"/>
      <c r="JBC155" s="53"/>
      <c r="JBD155" s="54"/>
      <c r="JBE155" s="52"/>
      <c r="JBF155" s="53"/>
      <c r="JBG155" s="54"/>
      <c r="JBH155" s="52"/>
      <c r="JBI155" s="53"/>
      <c r="JBJ155" s="8"/>
      <c r="JBK155" s="45"/>
      <c r="JBL155" s="45"/>
      <c r="JBM155" s="46"/>
      <c r="JBN155" s="44"/>
      <c r="JBO155" s="7"/>
      <c r="JBP155" s="51"/>
      <c r="JBQ155" s="52"/>
      <c r="JBR155" s="53"/>
      <c r="JBS155" s="54"/>
      <c r="JBT155" s="52"/>
      <c r="JBU155" s="53"/>
      <c r="JBV155" s="54"/>
      <c r="JBW155" s="52"/>
      <c r="JBX155" s="53"/>
      <c r="JBY155" s="8"/>
      <c r="JBZ155" s="45"/>
      <c r="JCA155" s="45"/>
      <c r="JCB155" s="46"/>
      <c r="JCC155" s="44"/>
      <c r="JCD155" s="7"/>
      <c r="JCE155" s="51"/>
      <c r="JCF155" s="52"/>
      <c r="JCG155" s="53"/>
      <c r="JCH155" s="54"/>
      <c r="JCI155" s="52"/>
      <c r="JCJ155" s="53"/>
      <c r="JCK155" s="54"/>
      <c r="JCL155" s="52"/>
      <c r="JCM155" s="53"/>
      <c r="JCN155" s="8"/>
      <c r="JCO155" s="45"/>
      <c r="JCP155" s="45"/>
      <c r="JCQ155" s="46"/>
      <c r="JCR155" s="44"/>
      <c r="JCS155" s="7"/>
      <c r="JCT155" s="51"/>
      <c r="JCU155" s="52"/>
      <c r="JCV155" s="53"/>
      <c r="JCW155" s="54"/>
      <c r="JCX155" s="52"/>
      <c r="JCY155" s="53"/>
      <c r="JCZ155" s="54"/>
      <c r="JDA155" s="52"/>
      <c r="JDB155" s="53"/>
      <c r="JDC155" s="8"/>
      <c r="JDD155" s="45"/>
      <c r="JDE155" s="45"/>
      <c r="JDF155" s="46"/>
      <c r="JDG155" s="44"/>
      <c r="JDH155" s="7"/>
      <c r="JDI155" s="51"/>
      <c r="JDJ155" s="52"/>
      <c r="JDK155" s="53"/>
      <c r="JDL155" s="54"/>
      <c r="JDM155" s="52"/>
      <c r="JDN155" s="53"/>
      <c r="JDO155" s="54"/>
      <c r="JDP155" s="52"/>
      <c r="JDQ155" s="53"/>
      <c r="JDR155" s="8"/>
      <c r="JDS155" s="45"/>
      <c r="JDT155" s="45"/>
      <c r="JDU155" s="46"/>
      <c r="JDV155" s="44"/>
      <c r="JDW155" s="7"/>
      <c r="JDX155" s="51"/>
      <c r="JDY155" s="52"/>
      <c r="JDZ155" s="53"/>
      <c r="JEA155" s="54"/>
      <c r="JEB155" s="52"/>
      <c r="JEC155" s="53"/>
      <c r="JED155" s="54"/>
      <c r="JEE155" s="52"/>
      <c r="JEF155" s="53"/>
      <c r="JEG155" s="8"/>
      <c r="JEH155" s="45"/>
      <c r="JEI155" s="45"/>
      <c r="JEJ155" s="46"/>
      <c r="JEK155" s="44"/>
      <c r="JEL155" s="7"/>
      <c r="JEM155" s="51"/>
      <c r="JEN155" s="52"/>
      <c r="JEO155" s="53"/>
      <c r="JEP155" s="54"/>
      <c r="JEQ155" s="52"/>
      <c r="JER155" s="53"/>
      <c r="JES155" s="54"/>
      <c r="JET155" s="52"/>
      <c r="JEU155" s="53"/>
      <c r="JEV155" s="8"/>
      <c r="JEW155" s="45"/>
      <c r="JEX155" s="45"/>
      <c r="JEY155" s="46"/>
      <c r="JEZ155" s="44"/>
      <c r="JFA155" s="7"/>
      <c r="JFB155" s="51"/>
      <c r="JFC155" s="52"/>
      <c r="JFD155" s="53"/>
      <c r="JFE155" s="54"/>
      <c r="JFF155" s="52"/>
      <c r="JFG155" s="53"/>
      <c r="JFH155" s="54"/>
      <c r="JFI155" s="52"/>
      <c r="JFJ155" s="53"/>
      <c r="JFK155" s="8"/>
      <c r="JFL155" s="45"/>
      <c r="JFM155" s="45"/>
      <c r="JFN155" s="46"/>
      <c r="JFO155" s="44"/>
      <c r="JFP155" s="7"/>
      <c r="JFQ155" s="51"/>
      <c r="JFR155" s="52"/>
      <c r="JFS155" s="53"/>
      <c r="JFT155" s="54"/>
      <c r="JFU155" s="52"/>
      <c r="JFV155" s="53"/>
      <c r="JFW155" s="54"/>
      <c r="JFX155" s="52"/>
      <c r="JFY155" s="53"/>
      <c r="JFZ155" s="8"/>
      <c r="JGA155" s="45"/>
      <c r="JGB155" s="45"/>
      <c r="JGC155" s="46"/>
      <c r="JGD155" s="44"/>
      <c r="JGE155" s="7"/>
      <c r="JGF155" s="51"/>
      <c r="JGG155" s="52"/>
      <c r="JGH155" s="53"/>
      <c r="JGI155" s="54"/>
      <c r="JGJ155" s="52"/>
      <c r="JGK155" s="53"/>
      <c r="JGL155" s="54"/>
      <c r="JGM155" s="52"/>
      <c r="JGN155" s="53"/>
      <c r="JGO155" s="8"/>
      <c r="JGP155" s="45"/>
      <c r="JGQ155" s="45"/>
      <c r="JGR155" s="46"/>
      <c r="JGS155" s="44"/>
      <c r="JGT155" s="7"/>
      <c r="JGU155" s="51"/>
      <c r="JGV155" s="52"/>
      <c r="JGW155" s="53"/>
      <c r="JGX155" s="54"/>
      <c r="JGY155" s="52"/>
      <c r="JGZ155" s="53"/>
      <c r="JHA155" s="54"/>
      <c r="JHB155" s="52"/>
      <c r="JHC155" s="53"/>
      <c r="JHD155" s="8"/>
      <c r="JHE155" s="45"/>
      <c r="JHF155" s="45"/>
      <c r="JHG155" s="46"/>
      <c r="JHH155" s="44"/>
      <c r="JHI155" s="7"/>
      <c r="JHJ155" s="51"/>
      <c r="JHK155" s="52"/>
      <c r="JHL155" s="53"/>
      <c r="JHM155" s="54"/>
      <c r="JHN155" s="52"/>
      <c r="JHO155" s="53"/>
      <c r="JHP155" s="54"/>
      <c r="JHQ155" s="52"/>
      <c r="JHR155" s="53"/>
      <c r="JHS155" s="8"/>
      <c r="JHT155" s="45"/>
      <c r="JHU155" s="45"/>
      <c r="JHV155" s="46"/>
      <c r="JHW155" s="44"/>
      <c r="JHX155" s="7"/>
      <c r="JHY155" s="51"/>
      <c r="JHZ155" s="52"/>
      <c r="JIA155" s="53"/>
      <c r="JIB155" s="54"/>
      <c r="JIC155" s="52"/>
      <c r="JID155" s="53"/>
      <c r="JIE155" s="54"/>
      <c r="JIF155" s="52"/>
      <c r="JIG155" s="53"/>
      <c r="JIH155" s="8"/>
      <c r="JII155" s="45"/>
      <c r="JIJ155" s="45"/>
      <c r="JIK155" s="46"/>
      <c r="JIL155" s="44"/>
      <c r="JIM155" s="7"/>
      <c r="JIN155" s="51"/>
      <c r="JIO155" s="52"/>
      <c r="JIP155" s="53"/>
      <c r="JIQ155" s="54"/>
      <c r="JIR155" s="52"/>
      <c r="JIS155" s="53"/>
      <c r="JIT155" s="54"/>
      <c r="JIU155" s="52"/>
      <c r="JIV155" s="53"/>
      <c r="JIW155" s="8"/>
      <c r="JIX155" s="45"/>
      <c r="JIY155" s="45"/>
      <c r="JIZ155" s="46"/>
      <c r="JJA155" s="44"/>
      <c r="JJB155" s="7"/>
      <c r="JJC155" s="51"/>
      <c r="JJD155" s="52"/>
      <c r="JJE155" s="53"/>
      <c r="JJF155" s="54"/>
      <c r="JJG155" s="52"/>
      <c r="JJH155" s="53"/>
      <c r="JJI155" s="54"/>
      <c r="JJJ155" s="52"/>
      <c r="JJK155" s="53"/>
      <c r="JJL155" s="8"/>
      <c r="JJM155" s="45"/>
      <c r="JJN155" s="45"/>
      <c r="JJO155" s="46"/>
      <c r="JJP155" s="44"/>
      <c r="JJQ155" s="7"/>
      <c r="JJR155" s="51"/>
      <c r="JJS155" s="52"/>
      <c r="JJT155" s="53"/>
      <c r="JJU155" s="54"/>
      <c r="JJV155" s="52"/>
      <c r="JJW155" s="53"/>
      <c r="JJX155" s="54"/>
      <c r="JJY155" s="52"/>
      <c r="JJZ155" s="53"/>
      <c r="JKA155" s="8"/>
      <c r="JKB155" s="45"/>
      <c r="JKC155" s="45"/>
      <c r="JKD155" s="46"/>
      <c r="JKE155" s="44"/>
      <c r="JKF155" s="7"/>
      <c r="JKG155" s="51"/>
      <c r="JKH155" s="52"/>
      <c r="JKI155" s="53"/>
      <c r="JKJ155" s="54"/>
      <c r="JKK155" s="52"/>
      <c r="JKL155" s="53"/>
      <c r="JKM155" s="54"/>
      <c r="JKN155" s="52"/>
      <c r="JKO155" s="53"/>
      <c r="JKP155" s="8"/>
      <c r="JKQ155" s="45"/>
      <c r="JKR155" s="45"/>
      <c r="JKS155" s="46"/>
      <c r="JKT155" s="44"/>
      <c r="JKU155" s="7"/>
      <c r="JKV155" s="51"/>
      <c r="JKW155" s="52"/>
      <c r="JKX155" s="53"/>
      <c r="JKY155" s="54"/>
      <c r="JKZ155" s="52"/>
      <c r="JLA155" s="53"/>
      <c r="JLB155" s="54"/>
      <c r="JLC155" s="52"/>
      <c r="JLD155" s="53"/>
      <c r="JLE155" s="8"/>
      <c r="JLF155" s="45"/>
      <c r="JLG155" s="45"/>
      <c r="JLH155" s="46"/>
      <c r="JLI155" s="44"/>
      <c r="JLJ155" s="7"/>
      <c r="JLK155" s="51"/>
      <c r="JLL155" s="52"/>
      <c r="JLM155" s="53"/>
      <c r="JLN155" s="54"/>
      <c r="JLO155" s="52"/>
      <c r="JLP155" s="53"/>
      <c r="JLQ155" s="54"/>
      <c r="JLR155" s="52"/>
      <c r="JLS155" s="53"/>
      <c r="JLT155" s="8"/>
      <c r="JLU155" s="45"/>
      <c r="JLV155" s="45"/>
      <c r="JLW155" s="46"/>
      <c r="JLX155" s="44"/>
      <c r="JLY155" s="7"/>
      <c r="JLZ155" s="51"/>
      <c r="JMA155" s="52"/>
      <c r="JMB155" s="53"/>
      <c r="JMC155" s="54"/>
      <c r="JMD155" s="52"/>
      <c r="JME155" s="53"/>
      <c r="JMF155" s="54"/>
      <c r="JMG155" s="52"/>
      <c r="JMH155" s="53"/>
      <c r="JMI155" s="8"/>
      <c r="JMJ155" s="45"/>
      <c r="JMK155" s="45"/>
      <c r="JML155" s="46"/>
      <c r="JMM155" s="44"/>
      <c r="JMN155" s="7"/>
      <c r="JMO155" s="51"/>
      <c r="JMP155" s="52"/>
      <c r="JMQ155" s="53"/>
      <c r="JMR155" s="54"/>
      <c r="JMS155" s="52"/>
      <c r="JMT155" s="53"/>
      <c r="JMU155" s="54"/>
      <c r="JMV155" s="52"/>
      <c r="JMW155" s="53"/>
      <c r="JMX155" s="8"/>
      <c r="JMY155" s="45"/>
      <c r="JMZ155" s="45"/>
      <c r="JNA155" s="46"/>
      <c r="JNB155" s="44"/>
      <c r="JNC155" s="7"/>
      <c r="JND155" s="51"/>
      <c r="JNE155" s="52"/>
      <c r="JNF155" s="53"/>
      <c r="JNG155" s="54"/>
      <c r="JNH155" s="52"/>
      <c r="JNI155" s="53"/>
      <c r="JNJ155" s="54"/>
      <c r="JNK155" s="52"/>
      <c r="JNL155" s="53"/>
      <c r="JNM155" s="8"/>
      <c r="JNN155" s="45"/>
      <c r="JNO155" s="45"/>
      <c r="JNP155" s="46"/>
      <c r="JNQ155" s="44"/>
      <c r="JNR155" s="7"/>
      <c r="JNS155" s="51"/>
      <c r="JNT155" s="52"/>
      <c r="JNU155" s="53"/>
      <c r="JNV155" s="54"/>
      <c r="JNW155" s="52"/>
      <c r="JNX155" s="53"/>
      <c r="JNY155" s="54"/>
      <c r="JNZ155" s="52"/>
      <c r="JOA155" s="53"/>
      <c r="JOB155" s="8"/>
      <c r="JOC155" s="45"/>
      <c r="JOD155" s="45"/>
      <c r="JOE155" s="46"/>
      <c r="JOF155" s="44"/>
      <c r="JOG155" s="7"/>
      <c r="JOH155" s="51"/>
      <c r="JOI155" s="52"/>
      <c r="JOJ155" s="53"/>
      <c r="JOK155" s="54"/>
      <c r="JOL155" s="52"/>
      <c r="JOM155" s="53"/>
      <c r="JON155" s="54"/>
      <c r="JOO155" s="52"/>
      <c r="JOP155" s="53"/>
      <c r="JOQ155" s="8"/>
      <c r="JOR155" s="45"/>
      <c r="JOS155" s="45"/>
      <c r="JOT155" s="46"/>
      <c r="JOU155" s="44"/>
      <c r="JOV155" s="7"/>
      <c r="JOW155" s="51"/>
      <c r="JOX155" s="52"/>
      <c r="JOY155" s="53"/>
      <c r="JOZ155" s="54"/>
      <c r="JPA155" s="52"/>
      <c r="JPB155" s="53"/>
      <c r="JPC155" s="54"/>
      <c r="JPD155" s="52"/>
      <c r="JPE155" s="53"/>
      <c r="JPF155" s="8"/>
      <c r="JPG155" s="45"/>
      <c r="JPH155" s="45"/>
      <c r="JPI155" s="46"/>
      <c r="JPJ155" s="44"/>
      <c r="JPK155" s="7"/>
      <c r="JPL155" s="51"/>
      <c r="JPM155" s="52"/>
      <c r="JPN155" s="53"/>
      <c r="JPO155" s="54"/>
      <c r="JPP155" s="52"/>
      <c r="JPQ155" s="53"/>
      <c r="JPR155" s="54"/>
      <c r="JPS155" s="52"/>
      <c r="JPT155" s="53"/>
      <c r="JPU155" s="8"/>
      <c r="JPV155" s="45"/>
      <c r="JPW155" s="45"/>
      <c r="JPX155" s="46"/>
      <c r="JPY155" s="44"/>
      <c r="JPZ155" s="7"/>
      <c r="JQA155" s="51"/>
      <c r="JQB155" s="52"/>
      <c r="JQC155" s="53"/>
      <c r="JQD155" s="54"/>
      <c r="JQE155" s="52"/>
      <c r="JQF155" s="53"/>
      <c r="JQG155" s="54"/>
      <c r="JQH155" s="52"/>
      <c r="JQI155" s="53"/>
      <c r="JQJ155" s="8"/>
      <c r="JQK155" s="45"/>
      <c r="JQL155" s="45"/>
      <c r="JQM155" s="46"/>
      <c r="JQN155" s="44"/>
      <c r="JQO155" s="7"/>
      <c r="JQP155" s="51"/>
      <c r="JQQ155" s="52"/>
      <c r="JQR155" s="53"/>
      <c r="JQS155" s="54"/>
      <c r="JQT155" s="52"/>
      <c r="JQU155" s="53"/>
      <c r="JQV155" s="54"/>
      <c r="JQW155" s="52"/>
      <c r="JQX155" s="53"/>
      <c r="JQY155" s="8"/>
      <c r="JQZ155" s="45"/>
      <c r="JRA155" s="45"/>
      <c r="JRB155" s="46"/>
      <c r="JRC155" s="44"/>
      <c r="JRD155" s="7"/>
      <c r="JRE155" s="51"/>
      <c r="JRF155" s="52"/>
      <c r="JRG155" s="53"/>
      <c r="JRH155" s="54"/>
      <c r="JRI155" s="52"/>
      <c r="JRJ155" s="53"/>
      <c r="JRK155" s="54"/>
      <c r="JRL155" s="52"/>
      <c r="JRM155" s="53"/>
      <c r="JRN155" s="8"/>
      <c r="JRO155" s="45"/>
      <c r="JRP155" s="45"/>
      <c r="JRQ155" s="46"/>
      <c r="JRR155" s="44"/>
      <c r="JRS155" s="7"/>
      <c r="JRT155" s="51"/>
      <c r="JRU155" s="52"/>
      <c r="JRV155" s="53"/>
      <c r="JRW155" s="54"/>
      <c r="JRX155" s="52"/>
      <c r="JRY155" s="53"/>
      <c r="JRZ155" s="54"/>
      <c r="JSA155" s="52"/>
      <c r="JSB155" s="53"/>
      <c r="JSC155" s="8"/>
      <c r="JSD155" s="45"/>
      <c r="JSE155" s="45"/>
      <c r="JSF155" s="46"/>
      <c r="JSG155" s="44"/>
      <c r="JSH155" s="7"/>
      <c r="JSI155" s="51"/>
      <c r="JSJ155" s="52"/>
      <c r="JSK155" s="53"/>
      <c r="JSL155" s="54"/>
      <c r="JSM155" s="52"/>
      <c r="JSN155" s="53"/>
      <c r="JSO155" s="54"/>
      <c r="JSP155" s="52"/>
      <c r="JSQ155" s="53"/>
      <c r="JSR155" s="8"/>
      <c r="JSS155" s="45"/>
      <c r="JST155" s="45"/>
      <c r="JSU155" s="46"/>
      <c r="JSV155" s="44"/>
      <c r="JSW155" s="7"/>
      <c r="JSX155" s="51"/>
      <c r="JSY155" s="52"/>
      <c r="JSZ155" s="53"/>
      <c r="JTA155" s="54"/>
      <c r="JTB155" s="52"/>
      <c r="JTC155" s="53"/>
      <c r="JTD155" s="54"/>
      <c r="JTE155" s="52"/>
      <c r="JTF155" s="53"/>
      <c r="JTG155" s="8"/>
      <c r="JTH155" s="45"/>
      <c r="JTI155" s="45"/>
      <c r="JTJ155" s="46"/>
      <c r="JTK155" s="44"/>
      <c r="JTL155" s="7"/>
      <c r="JTM155" s="51"/>
      <c r="JTN155" s="52"/>
      <c r="JTO155" s="53"/>
      <c r="JTP155" s="54"/>
      <c r="JTQ155" s="52"/>
      <c r="JTR155" s="53"/>
      <c r="JTS155" s="54"/>
      <c r="JTT155" s="52"/>
      <c r="JTU155" s="53"/>
      <c r="JTV155" s="8"/>
      <c r="JTW155" s="45"/>
      <c r="JTX155" s="45"/>
      <c r="JTY155" s="46"/>
      <c r="JTZ155" s="44"/>
      <c r="JUA155" s="7"/>
      <c r="JUB155" s="51"/>
      <c r="JUC155" s="52"/>
      <c r="JUD155" s="53"/>
      <c r="JUE155" s="54"/>
      <c r="JUF155" s="52"/>
      <c r="JUG155" s="53"/>
      <c r="JUH155" s="54"/>
      <c r="JUI155" s="52"/>
      <c r="JUJ155" s="53"/>
      <c r="JUK155" s="8"/>
      <c r="JUL155" s="45"/>
      <c r="JUM155" s="45"/>
      <c r="JUN155" s="46"/>
      <c r="JUO155" s="44"/>
      <c r="JUP155" s="7"/>
      <c r="JUQ155" s="51"/>
      <c r="JUR155" s="52"/>
      <c r="JUS155" s="53"/>
      <c r="JUT155" s="54"/>
      <c r="JUU155" s="52"/>
      <c r="JUV155" s="53"/>
      <c r="JUW155" s="54"/>
      <c r="JUX155" s="52"/>
      <c r="JUY155" s="53"/>
      <c r="JUZ155" s="8"/>
      <c r="JVA155" s="45"/>
      <c r="JVB155" s="45"/>
      <c r="JVC155" s="46"/>
      <c r="JVD155" s="44"/>
      <c r="JVE155" s="7"/>
      <c r="JVF155" s="51"/>
      <c r="JVG155" s="52"/>
      <c r="JVH155" s="53"/>
      <c r="JVI155" s="54"/>
      <c r="JVJ155" s="52"/>
      <c r="JVK155" s="53"/>
      <c r="JVL155" s="54"/>
      <c r="JVM155" s="52"/>
      <c r="JVN155" s="53"/>
      <c r="JVO155" s="8"/>
      <c r="JVP155" s="45"/>
      <c r="JVQ155" s="45"/>
      <c r="JVR155" s="46"/>
      <c r="JVS155" s="44"/>
      <c r="JVT155" s="7"/>
      <c r="JVU155" s="51"/>
      <c r="JVV155" s="52"/>
      <c r="JVW155" s="53"/>
      <c r="JVX155" s="54"/>
      <c r="JVY155" s="52"/>
      <c r="JVZ155" s="53"/>
      <c r="JWA155" s="54"/>
      <c r="JWB155" s="52"/>
      <c r="JWC155" s="53"/>
      <c r="JWD155" s="8"/>
      <c r="JWE155" s="45"/>
      <c r="JWF155" s="45"/>
      <c r="JWG155" s="46"/>
      <c r="JWH155" s="44"/>
      <c r="JWI155" s="7"/>
      <c r="JWJ155" s="51"/>
      <c r="JWK155" s="52"/>
      <c r="JWL155" s="53"/>
      <c r="JWM155" s="54"/>
      <c r="JWN155" s="52"/>
      <c r="JWO155" s="53"/>
      <c r="JWP155" s="54"/>
      <c r="JWQ155" s="52"/>
      <c r="JWR155" s="53"/>
      <c r="JWS155" s="8"/>
      <c r="JWT155" s="45"/>
      <c r="JWU155" s="45"/>
      <c r="JWV155" s="46"/>
      <c r="JWW155" s="44"/>
      <c r="JWX155" s="7"/>
      <c r="JWY155" s="51"/>
      <c r="JWZ155" s="52"/>
      <c r="JXA155" s="53"/>
      <c r="JXB155" s="54"/>
      <c r="JXC155" s="52"/>
      <c r="JXD155" s="53"/>
      <c r="JXE155" s="54"/>
      <c r="JXF155" s="52"/>
      <c r="JXG155" s="53"/>
      <c r="JXH155" s="8"/>
      <c r="JXI155" s="45"/>
      <c r="JXJ155" s="45"/>
      <c r="JXK155" s="46"/>
      <c r="JXL155" s="44"/>
      <c r="JXM155" s="7"/>
      <c r="JXN155" s="51"/>
      <c r="JXO155" s="52"/>
      <c r="JXP155" s="53"/>
      <c r="JXQ155" s="54"/>
      <c r="JXR155" s="52"/>
      <c r="JXS155" s="53"/>
      <c r="JXT155" s="54"/>
      <c r="JXU155" s="52"/>
      <c r="JXV155" s="53"/>
      <c r="JXW155" s="8"/>
      <c r="JXX155" s="45"/>
      <c r="JXY155" s="45"/>
      <c r="JXZ155" s="46"/>
      <c r="JYA155" s="44"/>
      <c r="JYB155" s="7"/>
      <c r="JYC155" s="51"/>
      <c r="JYD155" s="52"/>
      <c r="JYE155" s="53"/>
      <c r="JYF155" s="54"/>
      <c r="JYG155" s="52"/>
      <c r="JYH155" s="53"/>
      <c r="JYI155" s="54"/>
      <c r="JYJ155" s="52"/>
      <c r="JYK155" s="53"/>
      <c r="JYL155" s="8"/>
      <c r="JYM155" s="45"/>
      <c r="JYN155" s="45"/>
      <c r="JYO155" s="46"/>
      <c r="JYP155" s="44"/>
      <c r="JYQ155" s="7"/>
      <c r="JYR155" s="51"/>
      <c r="JYS155" s="52"/>
      <c r="JYT155" s="53"/>
      <c r="JYU155" s="54"/>
      <c r="JYV155" s="52"/>
      <c r="JYW155" s="53"/>
      <c r="JYX155" s="54"/>
      <c r="JYY155" s="52"/>
      <c r="JYZ155" s="53"/>
      <c r="JZA155" s="8"/>
      <c r="JZB155" s="45"/>
      <c r="JZC155" s="45"/>
      <c r="JZD155" s="46"/>
      <c r="JZE155" s="44"/>
      <c r="JZF155" s="7"/>
      <c r="JZG155" s="51"/>
      <c r="JZH155" s="52"/>
      <c r="JZI155" s="53"/>
      <c r="JZJ155" s="54"/>
      <c r="JZK155" s="52"/>
      <c r="JZL155" s="53"/>
      <c r="JZM155" s="54"/>
      <c r="JZN155" s="52"/>
      <c r="JZO155" s="53"/>
      <c r="JZP155" s="8"/>
      <c r="JZQ155" s="45"/>
      <c r="JZR155" s="45"/>
      <c r="JZS155" s="46"/>
      <c r="JZT155" s="44"/>
      <c r="JZU155" s="7"/>
      <c r="JZV155" s="51"/>
      <c r="JZW155" s="52"/>
      <c r="JZX155" s="53"/>
      <c r="JZY155" s="54"/>
      <c r="JZZ155" s="52"/>
      <c r="KAA155" s="53"/>
      <c r="KAB155" s="54"/>
      <c r="KAC155" s="52"/>
      <c r="KAD155" s="53"/>
      <c r="KAE155" s="8"/>
      <c r="KAF155" s="45"/>
      <c r="KAG155" s="45"/>
      <c r="KAH155" s="46"/>
      <c r="KAI155" s="44"/>
      <c r="KAJ155" s="7"/>
      <c r="KAK155" s="51"/>
      <c r="KAL155" s="52"/>
      <c r="KAM155" s="53"/>
      <c r="KAN155" s="54"/>
      <c r="KAO155" s="52"/>
      <c r="KAP155" s="53"/>
      <c r="KAQ155" s="54"/>
      <c r="KAR155" s="52"/>
      <c r="KAS155" s="53"/>
      <c r="KAT155" s="8"/>
      <c r="KAU155" s="45"/>
      <c r="KAV155" s="45"/>
      <c r="KAW155" s="46"/>
      <c r="KAX155" s="44"/>
      <c r="KAY155" s="7"/>
      <c r="KAZ155" s="51"/>
      <c r="KBA155" s="52"/>
      <c r="KBB155" s="53"/>
      <c r="KBC155" s="54"/>
      <c r="KBD155" s="52"/>
      <c r="KBE155" s="53"/>
      <c r="KBF155" s="54"/>
      <c r="KBG155" s="52"/>
      <c r="KBH155" s="53"/>
      <c r="KBI155" s="8"/>
      <c r="KBJ155" s="45"/>
      <c r="KBK155" s="45"/>
      <c r="KBL155" s="46"/>
      <c r="KBM155" s="44"/>
      <c r="KBN155" s="7"/>
      <c r="KBO155" s="51"/>
      <c r="KBP155" s="52"/>
      <c r="KBQ155" s="53"/>
      <c r="KBR155" s="54"/>
      <c r="KBS155" s="52"/>
      <c r="KBT155" s="53"/>
      <c r="KBU155" s="54"/>
      <c r="KBV155" s="52"/>
      <c r="KBW155" s="53"/>
      <c r="KBX155" s="8"/>
      <c r="KBY155" s="45"/>
      <c r="KBZ155" s="45"/>
      <c r="KCA155" s="46"/>
      <c r="KCB155" s="44"/>
      <c r="KCC155" s="7"/>
      <c r="KCD155" s="51"/>
      <c r="KCE155" s="52"/>
      <c r="KCF155" s="53"/>
      <c r="KCG155" s="54"/>
      <c r="KCH155" s="52"/>
      <c r="KCI155" s="53"/>
      <c r="KCJ155" s="54"/>
      <c r="KCK155" s="52"/>
      <c r="KCL155" s="53"/>
      <c r="KCM155" s="8"/>
      <c r="KCN155" s="45"/>
      <c r="KCO155" s="45"/>
      <c r="KCP155" s="46"/>
      <c r="KCQ155" s="44"/>
      <c r="KCR155" s="7"/>
      <c r="KCS155" s="51"/>
      <c r="KCT155" s="52"/>
      <c r="KCU155" s="53"/>
      <c r="KCV155" s="54"/>
      <c r="KCW155" s="52"/>
      <c r="KCX155" s="53"/>
      <c r="KCY155" s="54"/>
      <c r="KCZ155" s="52"/>
      <c r="KDA155" s="53"/>
      <c r="KDB155" s="8"/>
      <c r="KDC155" s="45"/>
      <c r="KDD155" s="45"/>
      <c r="KDE155" s="46"/>
      <c r="KDF155" s="44"/>
      <c r="KDG155" s="7"/>
      <c r="KDH155" s="51"/>
      <c r="KDI155" s="52"/>
      <c r="KDJ155" s="53"/>
      <c r="KDK155" s="54"/>
      <c r="KDL155" s="52"/>
      <c r="KDM155" s="53"/>
      <c r="KDN155" s="54"/>
      <c r="KDO155" s="52"/>
      <c r="KDP155" s="53"/>
      <c r="KDQ155" s="8"/>
      <c r="KDR155" s="45"/>
      <c r="KDS155" s="45"/>
      <c r="KDT155" s="46"/>
      <c r="KDU155" s="44"/>
      <c r="KDV155" s="7"/>
      <c r="KDW155" s="51"/>
      <c r="KDX155" s="52"/>
      <c r="KDY155" s="53"/>
      <c r="KDZ155" s="54"/>
      <c r="KEA155" s="52"/>
      <c r="KEB155" s="53"/>
      <c r="KEC155" s="54"/>
      <c r="KED155" s="52"/>
      <c r="KEE155" s="53"/>
      <c r="KEF155" s="8"/>
      <c r="KEG155" s="45"/>
      <c r="KEH155" s="45"/>
      <c r="KEI155" s="46"/>
      <c r="KEJ155" s="44"/>
      <c r="KEK155" s="7"/>
      <c r="KEL155" s="51"/>
      <c r="KEM155" s="52"/>
      <c r="KEN155" s="53"/>
      <c r="KEO155" s="54"/>
      <c r="KEP155" s="52"/>
      <c r="KEQ155" s="53"/>
      <c r="KER155" s="54"/>
      <c r="KES155" s="52"/>
      <c r="KET155" s="53"/>
      <c r="KEU155" s="8"/>
      <c r="KEV155" s="45"/>
      <c r="KEW155" s="45"/>
      <c r="KEX155" s="46"/>
      <c r="KEY155" s="44"/>
      <c r="KEZ155" s="7"/>
      <c r="KFA155" s="51"/>
      <c r="KFB155" s="52"/>
      <c r="KFC155" s="53"/>
      <c r="KFD155" s="54"/>
      <c r="KFE155" s="52"/>
      <c r="KFF155" s="53"/>
      <c r="KFG155" s="54"/>
      <c r="KFH155" s="52"/>
      <c r="KFI155" s="53"/>
      <c r="KFJ155" s="8"/>
      <c r="KFK155" s="45"/>
      <c r="KFL155" s="45"/>
      <c r="KFM155" s="46"/>
      <c r="KFN155" s="44"/>
      <c r="KFO155" s="7"/>
      <c r="KFP155" s="51"/>
      <c r="KFQ155" s="52"/>
      <c r="KFR155" s="53"/>
      <c r="KFS155" s="54"/>
      <c r="KFT155" s="52"/>
      <c r="KFU155" s="53"/>
      <c r="KFV155" s="54"/>
      <c r="KFW155" s="52"/>
      <c r="KFX155" s="53"/>
      <c r="KFY155" s="8"/>
      <c r="KFZ155" s="45"/>
      <c r="KGA155" s="45"/>
      <c r="KGB155" s="46"/>
      <c r="KGC155" s="44"/>
      <c r="KGD155" s="7"/>
      <c r="KGE155" s="51"/>
      <c r="KGF155" s="52"/>
      <c r="KGG155" s="53"/>
      <c r="KGH155" s="54"/>
      <c r="KGI155" s="52"/>
      <c r="KGJ155" s="53"/>
      <c r="KGK155" s="54"/>
      <c r="KGL155" s="52"/>
      <c r="KGM155" s="53"/>
      <c r="KGN155" s="8"/>
      <c r="KGO155" s="45"/>
      <c r="KGP155" s="45"/>
      <c r="KGQ155" s="46"/>
      <c r="KGR155" s="44"/>
      <c r="KGS155" s="7"/>
      <c r="KGT155" s="51"/>
      <c r="KGU155" s="52"/>
      <c r="KGV155" s="53"/>
      <c r="KGW155" s="54"/>
      <c r="KGX155" s="52"/>
      <c r="KGY155" s="53"/>
      <c r="KGZ155" s="54"/>
      <c r="KHA155" s="52"/>
      <c r="KHB155" s="53"/>
      <c r="KHC155" s="8"/>
      <c r="KHD155" s="45"/>
      <c r="KHE155" s="45"/>
      <c r="KHF155" s="46"/>
      <c r="KHG155" s="44"/>
      <c r="KHH155" s="7"/>
      <c r="KHI155" s="51"/>
      <c r="KHJ155" s="52"/>
      <c r="KHK155" s="53"/>
      <c r="KHL155" s="54"/>
      <c r="KHM155" s="52"/>
      <c r="KHN155" s="53"/>
      <c r="KHO155" s="54"/>
      <c r="KHP155" s="52"/>
      <c r="KHQ155" s="53"/>
      <c r="KHR155" s="8"/>
      <c r="KHS155" s="45"/>
      <c r="KHT155" s="45"/>
      <c r="KHU155" s="46"/>
      <c r="KHV155" s="44"/>
      <c r="KHW155" s="7"/>
      <c r="KHX155" s="51"/>
      <c r="KHY155" s="52"/>
      <c r="KHZ155" s="53"/>
      <c r="KIA155" s="54"/>
      <c r="KIB155" s="52"/>
      <c r="KIC155" s="53"/>
      <c r="KID155" s="54"/>
      <c r="KIE155" s="52"/>
      <c r="KIF155" s="53"/>
      <c r="KIG155" s="8"/>
      <c r="KIH155" s="45"/>
      <c r="KII155" s="45"/>
      <c r="KIJ155" s="46"/>
      <c r="KIK155" s="44"/>
      <c r="KIL155" s="7"/>
      <c r="KIM155" s="51"/>
      <c r="KIN155" s="52"/>
      <c r="KIO155" s="53"/>
      <c r="KIP155" s="54"/>
      <c r="KIQ155" s="52"/>
      <c r="KIR155" s="53"/>
      <c r="KIS155" s="54"/>
      <c r="KIT155" s="52"/>
      <c r="KIU155" s="53"/>
      <c r="KIV155" s="8"/>
      <c r="KIW155" s="45"/>
      <c r="KIX155" s="45"/>
      <c r="KIY155" s="46"/>
      <c r="KIZ155" s="44"/>
      <c r="KJA155" s="7"/>
      <c r="KJB155" s="51"/>
      <c r="KJC155" s="52"/>
      <c r="KJD155" s="53"/>
      <c r="KJE155" s="54"/>
      <c r="KJF155" s="52"/>
      <c r="KJG155" s="53"/>
      <c r="KJH155" s="54"/>
      <c r="KJI155" s="52"/>
      <c r="KJJ155" s="53"/>
      <c r="KJK155" s="8"/>
      <c r="KJL155" s="45"/>
      <c r="KJM155" s="45"/>
      <c r="KJN155" s="46"/>
      <c r="KJO155" s="44"/>
      <c r="KJP155" s="7"/>
      <c r="KJQ155" s="51"/>
      <c r="KJR155" s="52"/>
      <c r="KJS155" s="53"/>
      <c r="KJT155" s="54"/>
      <c r="KJU155" s="52"/>
      <c r="KJV155" s="53"/>
      <c r="KJW155" s="54"/>
      <c r="KJX155" s="52"/>
      <c r="KJY155" s="53"/>
      <c r="KJZ155" s="8"/>
      <c r="KKA155" s="45"/>
      <c r="KKB155" s="45"/>
      <c r="KKC155" s="46"/>
      <c r="KKD155" s="44"/>
      <c r="KKE155" s="7"/>
      <c r="KKF155" s="51"/>
      <c r="KKG155" s="52"/>
      <c r="KKH155" s="53"/>
      <c r="KKI155" s="54"/>
      <c r="KKJ155" s="52"/>
      <c r="KKK155" s="53"/>
      <c r="KKL155" s="54"/>
      <c r="KKM155" s="52"/>
      <c r="KKN155" s="53"/>
      <c r="KKO155" s="8"/>
      <c r="KKP155" s="45"/>
      <c r="KKQ155" s="45"/>
      <c r="KKR155" s="46"/>
      <c r="KKS155" s="44"/>
      <c r="KKT155" s="7"/>
      <c r="KKU155" s="51"/>
      <c r="KKV155" s="52"/>
      <c r="KKW155" s="53"/>
      <c r="KKX155" s="54"/>
      <c r="KKY155" s="52"/>
      <c r="KKZ155" s="53"/>
      <c r="KLA155" s="54"/>
      <c r="KLB155" s="52"/>
      <c r="KLC155" s="53"/>
      <c r="KLD155" s="8"/>
      <c r="KLE155" s="45"/>
      <c r="KLF155" s="45"/>
      <c r="KLG155" s="46"/>
      <c r="KLH155" s="44"/>
      <c r="KLI155" s="7"/>
      <c r="KLJ155" s="51"/>
      <c r="KLK155" s="52"/>
      <c r="KLL155" s="53"/>
      <c r="KLM155" s="54"/>
      <c r="KLN155" s="52"/>
      <c r="KLO155" s="53"/>
      <c r="KLP155" s="54"/>
      <c r="KLQ155" s="52"/>
      <c r="KLR155" s="53"/>
      <c r="KLS155" s="8"/>
      <c r="KLT155" s="45"/>
      <c r="KLU155" s="45"/>
      <c r="KLV155" s="46"/>
      <c r="KLW155" s="44"/>
      <c r="KLX155" s="7"/>
      <c r="KLY155" s="51"/>
      <c r="KLZ155" s="52"/>
      <c r="KMA155" s="53"/>
      <c r="KMB155" s="54"/>
      <c r="KMC155" s="52"/>
      <c r="KMD155" s="53"/>
      <c r="KME155" s="54"/>
      <c r="KMF155" s="52"/>
      <c r="KMG155" s="53"/>
      <c r="KMH155" s="8"/>
      <c r="KMI155" s="45"/>
      <c r="KMJ155" s="45"/>
      <c r="KMK155" s="46"/>
      <c r="KML155" s="44"/>
      <c r="KMM155" s="7"/>
      <c r="KMN155" s="51"/>
      <c r="KMO155" s="52"/>
      <c r="KMP155" s="53"/>
      <c r="KMQ155" s="54"/>
      <c r="KMR155" s="52"/>
      <c r="KMS155" s="53"/>
      <c r="KMT155" s="54"/>
      <c r="KMU155" s="52"/>
      <c r="KMV155" s="53"/>
      <c r="KMW155" s="8"/>
      <c r="KMX155" s="45"/>
      <c r="KMY155" s="45"/>
      <c r="KMZ155" s="46"/>
      <c r="KNA155" s="44"/>
      <c r="KNB155" s="7"/>
      <c r="KNC155" s="51"/>
      <c r="KND155" s="52"/>
      <c r="KNE155" s="53"/>
      <c r="KNF155" s="54"/>
      <c r="KNG155" s="52"/>
      <c r="KNH155" s="53"/>
      <c r="KNI155" s="54"/>
      <c r="KNJ155" s="52"/>
      <c r="KNK155" s="53"/>
      <c r="KNL155" s="8"/>
      <c r="KNM155" s="45"/>
      <c r="KNN155" s="45"/>
      <c r="KNO155" s="46"/>
      <c r="KNP155" s="44"/>
      <c r="KNQ155" s="7"/>
      <c r="KNR155" s="51"/>
      <c r="KNS155" s="52"/>
      <c r="KNT155" s="53"/>
      <c r="KNU155" s="54"/>
      <c r="KNV155" s="52"/>
      <c r="KNW155" s="53"/>
      <c r="KNX155" s="54"/>
      <c r="KNY155" s="52"/>
      <c r="KNZ155" s="53"/>
      <c r="KOA155" s="8"/>
      <c r="KOB155" s="45"/>
      <c r="KOC155" s="45"/>
      <c r="KOD155" s="46"/>
      <c r="KOE155" s="44"/>
      <c r="KOF155" s="7"/>
      <c r="KOG155" s="51"/>
      <c r="KOH155" s="52"/>
      <c r="KOI155" s="53"/>
      <c r="KOJ155" s="54"/>
      <c r="KOK155" s="52"/>
      <c r="KOL155" s="53"/>
      <c r="KOM155" s="54"/>
      <c r="KON155" s="52"/>
      <c r="KOO155" s="53"/>
      <c r="KOP155" s="8"/>
      <c r="KOQ155" s="45"/>
      <c r="KOR155" s="45"/>
      <c r="KOS155" s="46"/>
      <c r="KOT155" s="44"/>
      <c r="KOU155" s="7"/>
      <c r="KOV155" s="51"/>
      <c r="KOW155" s="52"/>
      <c r="KOX155" s="53"/>
      <c r="KOY155" s="54"/>
      <c r="KOZ155" s="52"/>
      <c r="KPA155" s="53"/>
      <c r="KPB155" s="54"/>
      <c r="KPC155" s="52"/>
      <c r="KPD155" s="53"/>
      <c r="KPE155" s="8"/>
      <c r="KPF155" s="45"/>
      <c r="KPG155" s="45"/>
      <c r="KPH155" s="46"/>
      <c r="KPI155" s="44"/>
      <c r="KPJ155" s="7"/>
      <c r="KPK155" s="51"/>
      <c r="KPL155" s="52"/>
      <c r="KPM155" s="53"/>
      <c r="KPN155" s="54"/>
      <c r="KPO155" s="52"/>
      <c r="KPP155" s="53"/>
      <c r="KPQ155" s="54"/>
      <c r="KPR155" s="52"/>
      <c r="KPS155" s="53"/>
      <c r="KPT155" s="8"/>
      <c r="KPU155" s="45"/>
      <c r="KPV155" s="45"/>
      <c r="KPW155" s="46"/>
      <c r="KPX155" s="44"/>
      <c r="KPY155" s="7"/>
      <c r="KPZ155" s="51"/>
      <c r="KQA155" s="52"/>
      <c r="KQB155" s="53"/>
      <c r="KQC155" s="54"/>
      <c r="KQD155" s="52"/>
      <c r="KQE155" s="53"/>
      <c r="KQF155" s="54"/>
      <c r="KQG155" s="52"/>
      <c r="KQH155" s="53"/>
      <c r="KQI155" s="8"/>
      <c r="KQJ155" s="45"/>
      <c r="KQK155" s="45"/>
      <c r="KQL155" s="46"/>
      <c r="KQM155" s="44"/>
      <c r="KQN155" s="7"/>
      <c r="KQO155" s="51"/>
      <c r="KQP155" s="52"/>
      <c r="KQQ155" s="53"/>
      <c r="KQR155" s="54"/>
      <c r="KQS155" s="52"/>
      <c r="KQT155" s="53"/>
      <c r="KQU155" s="54"/>
      <c r="KQV155" s="52"/>
      <c r="KQW155" s="53"/>
      <c r="KQX155" s="8"/>
      <c r="KQY155" s="45"/>
      <c r="KQZ155" s="45"/>
      <c r="KRA155" s="46"/>
      <c r="KRB155" s="44"/>
      <c r="KRC155" s="7"/>
      <c r="KRD155" s="51"/>
      <c r="KRE155" s="52"/>
      <c r="KRF155" s="53"/>
      <c r="KRG155" s="54"/>
      <c r="KRH155" s="52"/>
      <c r="KRI155" s="53"/>
      <c r="KRJ155" s="54"/>
      <c r="KRK155" s="52"/>
      <c r="KRL155" s="53"/>
      <c r="KRM155" s="8"/>
      <c r="KRN155" s="45"/>
      <c r="KRO155" s="45"/>
      <c r="KRP155" s="46"/>
      <c r="KRQ155" s="44"/>
      <c r="KRR155" s="7"/>
      <c r="KRS155" s="51"/>
      <c r="KRT155" s="52"/>
      <c r="KRU155" s="53"/>
      <c r="KRV155" s="54"/>
      <c r="KRW155" s="52"/>
      <c r="KRX155" s="53"/>
      <c r="KRY155" s="54"/>
      <c r="KRZ155" s="52"/>
      <c r="KSA155" s="53"/>
      <c r="KSB155" s="8"/>
      <c r="KSC155" s="45"/>
      <c r="KSD155" s="45"/>
      <c r="KSE155" s="46"/>
      <c r="KSF155" s="44"/>
      <c r="KSG155" s="7"/>
      <c r="KSH155" s="51"/>
      <c r="KSI155" s="52"/>
      <c r="KSJ155" s="53"/>
      <c r="KSK155" s="54"/>
      <c r="KSL155" s="52"/>
      <c r="KSM155" s="53"/>
      <c r="KSN155" s="54"/>
      <c r="KSO155" s="52"/>
      <c r="KSP155" s="53"/>
      <c r="KSQ155" s="8"/>
      <c r="KSR155" s="45"/>
      <c r="KSS155" s="45"/>
      <c r="KST155" s="46"/>
      <c r="KSU155" s="44"/>
      <c r="KSV155" s="7"/>
      <c r="KSW155" s="51"/>
      <c r="KSX155" s="52"/>
      <c r="KSY155" s="53"/>
      <c r="KSZ155" s="54"/>
      <c r="KTA155" s="52"/>
      <c r="KTB155" s="53"/>
      <c r="KTC155" s="54"/>
      <c r="KTD155" s="52"/>
      <c r="KTE155" s="53"/>
      <c r="KTF155" s="8"/>
      <c r="KTG155" s="45"/>
      <c r="KTH155" s="45"/>
      <c r="KTI155" s="46"/>
      <c r="KTJ155" s="44"/>
      <c r="KTK155" s="7"/>
      <c r="KTL155" s="51"/>
      <c r="KTM155" s="52"/>
      <c r="KTN155" s="53"/>
      <c r="KTO155" s="54"/>
      <c r="KTP155" s="52"/>
      <c r="KTQ155" s="53"/>
      <c r="KTR155" s="54"/>
      <c r="KTS155" s="52"/>
      <c r="KTT155" s="53"/>
      <c r="KTU155" s="8"/>
      <c r="KTV155" s="45"/>
      <c r="KTW155" s="45"/>
      <c r="KTX155" s="46"/>
      <c r="KTY155" s="44"/>
      <c r="KTZ155" s="7"/>
      <c r="KUA155" s="51"/>
      <c r="KUB155" s="52"/>
      <c r="KUC155" s="53"/>
      <c r="KUD155" s="54"/>
      <c r="KUE155" s="52"/>
      <c r="KUF155" s="53"/>
      <c r="KUG155" s="54"/>
      <c r="KUH155" s="52"/>
      <c r="KUI155" s="53"/>
      <c r="KUJ155" s="8"/>
      <c r="KUK155" s="45"/>
      <c r="KUL155" s="45"/>
      <c r="KUM155" s="46"/>
      <c r="KUN155" s="44"/>
      <c r="KUO155" s="7"/>
      <c r="KUP155" s="51"/>
      <c r="KUQ155" s="52"/>
      <c r="KUR155" s="53"/>
      <c r="KUS155" s="54"/>
      <c r="KUT155" s="52"/>
      <c r="KUU155" s="53"/>
      <c r="KUV155" s="54"/>
      <c r="KUW155" s="52"/>
      <c r="KUX155" s="53"/>
      <c r="KUY155" s="8"/>
      <c r="KUZ155" s="45"/>
      <c r="KVA155" s="45"/>
      <c r="KVB155" s="46"/>
      <c r="KVC155" s="44"/>
      <c r="KVD155" s="7"/>
      <c r="KVE155" s="51"/>
      <c r="KVF155" s="52"/>
      <c r="KVG155" s="53"/>
      <c r="KVH155" s="54"/>
      <c r="KVI155" s="52"/>
      <c r="KVJ155" s="53"/>
      <c r="KVK155" s="54"/>
      <c r="KVL155" s="52"/>
      <c r="KVM155" s="53"/>
      <c r="KVN155" s="8"/>
      <c r="KVO155" s="45"/>
      <c r="KVP155" s="45"/>
      <c r="KVQ155" s="46"/>
      <c r="KVR155" s="44"/>
      <c r="KVS155" s="7"/>
      <c r="KVT155" s="51"/>
      <c r="KVU155" s="52"/>
      <c r="KVV155" s="53"/>
      <c r="KVW155" s="54"/>
      <c r="KVX155" s="52"/>
      <c r="KVY155" s="53"/>
      <c r="KVZ155" s="54"/>
      <c r="KWA155" s="52"/>
      <c r="KWB155" s="53"/>
      <c r="KWC155" s="8"/>
      <c r="KWD155" s="45"/>
      <c r="KWE155" s="45"/>
      <c r="KWF155" s="46"/>
      <c r="KWG155" s="44"/>
      <c r="KWH155" s="7"/>
      <c r="KWI155" s="51"/>
      <c r="KWJ155" s="52"/>
      <c r="KWK155" s="53"/>
      <c r="KWL155" s="54"/>
      <c r="KWM155" s="52"/>
      <c r="KWN155" s="53"/>
      <c r="KWO155" s="54"/>
      <c r="KWP155" s="52"/>
      <c r="KWQ155" s="53"/>
      <c r="KWR155" s="8"/>
      <c r="KWS155" s="45"/>
      <c r="KWT155" s="45"/>
      <c r="KWU155" s="46"/>
      <c r="KWV155" s="44"/>
      <c r="KWW155" s="7"/>
      <c r="KWX155" s="51"/>
      <c r="KWY155" s="52"/>
      <c r="KWZ155" s="53"/>
      <c r="KXA155" s="54"/>
      <c r="KXB155" s="52"/>
      <c r="KXC155" s="53"/>
      <c r="KXD155" s="54"/>
      <c r="KXE155" s="52"/>
      <c r="KXF155" s="53"/>
      <c r="KXG155" s="8"/>
      <c r="KXH155" s="45"/>
      <c r="KXI155" s="45"/>
      <c r="KXJ155" s="46"/>
      <c r="KXK155" s="44"/>
      <c r="KXL155" s="7"/>
      <c r="KXM155" s="51"/>
      <c r="KXN155" s="52"/>
      <c r="KXO155" s="53"/>
      <c r="KXP155" s="54"/>
      <c r="KXQ155" s="52"/>
      <c r="KXR155" s="53"/>
      <c r="KXS155" s="54"/>
      <c r="KXT155" s="52"/>
      <c r="KXU155" s="53"/>
      <c r="KXV155" s="8"/>
      <c r="KXW155" s="45"/>
      <c r="KXX155" s="45"/>
      <c r="KXY155" s="46"/>
      <c r="KXZ155" s="44"/>
      <c r="KYA155" s="7"/>
      <c r="KYB155" s="51"/>
      <c r="KYC155" s="52"/>
      <c r="KYD155" s="53"/>
      <c r="KYE155" s="54"/>
      <c r="KYF155" s="52"/>
      <c r="KYG155" s="53"/>
      <c r="KYH155" s="54"/>
      <c r="KYI155" s="52"/>
      <c r="KYJ155" s="53"/>
      <c r="KYK155" s="8"/>
      <c r="KYL155" s="45"/>
      <c r="KYM155" s="45"/>
      <c r="KYN155" s="46"/>
      <c r="KYO155" s="44"/>
      <c r="KYP155" s="7"/>
      <c r="KYQ155" s="51"/>
      <c r="KYR155" s="52"/>
      <c r="KYS155" s="53"/>
      <c r="KYT155" s="54"/>
      <c r="KYU155" s="52"/>
      <c r="KYV155" s="53"/>
      <c r="KYW155" s="54"/>
      <c r="KYX155" s="52"/>
      <c r="KYY155" s="53"/>
      <c r="KYZ155" s="8"/>
      <c r="KZA155" s="45"/>
      <c r="KZB155" s="45"/>
      <c r="KZC155" s="46"/>
      <c r="KZD155" s="44"/>
      <c r="KZE155" s="7"/>
      <c r="KZF155" s="51"/>
      <c r="KZG155" s="52"/>
      <c r="KZH155" s="53"/>
      <c r="KZI155" s="54"/>
      <c r="KZJ155" s="52"/>
      <c r="KZK155" s="53"/>
      <c r="KZL155" s="54"/>
      <c r="KZM155" s="52"/>
      <c r="KZN155" s="53"/>
      <c r="KZO155" s="8"/>
      <c r="KZP155" s="45"/>
      <c r="KZQ155" s="45"/>
      <c r="KZR155" s="46"/>
      <c r="KZS155" s="44"/>
      <c r="KZT155" s="7"/>
      <c r="KZU155" s="51"/>
      <c r="KZV155" s="52"/>
      <c r="KZW155" s="53"/>
      <c r="KZX155" s="54"/>
      <c r="KZY155" s="52"/>
      <c r="KZZ155" s="53"/>
      <c r="LAA155" s="54"/>
      <c r="LAB155" s="52"/>
      <c r="LAC155" s="53"/>
      <c r="LAD155" s="8"/>
      <c r="LAE155" s="45"/>
      <c r="LAF155" s="45"/>
      <c r="LAG155" s="46"/>
      <c r="LAH155" s="44"/>
      <c r="LAI155" s="7"/>
      <c r="LAJ155" s="51"/>
      <c r="LAK155" s="52"/>
      <c r="LAL155" s="53"/>
      <c r="LAM155" s="54"/>
      <c r="LAN155" s="52"/>
      <c r="LAO155" s="53"/>
      <c r="LAP155" s="54"/>
      <c r="LAQ155" s="52"/>
      <c r="LAR155" s="53"/>
      <c r="LAS155" s="8"/>
      <c r="LAT155" s="45"/>
      <c r="LAU155" s="45"/>
      <c r="LAV155" s="46"/>
      <c r="LAW155" s="44"/>
      <c r="LAX155" s="7"/>
      <c r="LAY155" s="51"/>
      <c r="LAZ155" s="52"/>
      <c r="LBA155" s="53"/>
      <c r="LBB155" s="54"/>
      <c r="LBC155" s="52"/>
      <c r="LBD155" s="53"/>
      <c r="LBE155" s="54"/>
      <c r="LBF155" s="52"/>
      <c r="LBG155" s="53"/>
      <c r="LBH155" s="8"/>
      <c r="LBI155" s="45"/>
      <c r="LBJ155" s="45"/>
      <c r="LBK155" s="46"/>
      <c r="LBL155" s="44"/>
      <c r="LBM155" s="7"/>
      <c r="LBN155" s="51"/>
      <c r="LBO155" s="52"/>
      <c r="LBP155" s="53"/>
      <c r="LBQ155" s="54"/>
      <c r="LBR155" s="52"/>
      <c r="LBS155" s="53"/>
      <c r="LBT155" s="54"/>
      <c r="LBU155" s="52"/>
      <c r="LBV155" s="53"/>
      <c r="LBW155" s="8"/>
      <c r="LBX155" s="45"/>
      <c r="LBY155" s="45"/>
      <c r="LBZ155" s="46"/>
      <c r="LCA155" s="44"/>
      <c r="LCB155" s="7"/>
      <c r="LCC155" s="51"/>
      <c r="LCD155" s="52"/>
      <c r="LCE155" s="53"/>
      <c r="LCF155" s="54"/>
      <c r="LCG155" s="52"/>
      <c r="LCH155" s="53"/>
      <c r="LCI155" s="54"/>
      <c r="LCJ155" s="52"/>
      <c r="LCK155" s="53"/>
      <c r="LCL155" s="8"/>
      <c r="LCM155" s="45"/>
      <c r="LCN155" s="45"/>
      <c r="LCO155" s="46"/>
      <c r="LCP155" s="44"/>
      <c r="LCQ155" s="7"/>
      <c r="LCR155" s="51"/>
      <c r="LCS155" s="52"/>
      <c r="LCT155" s="53"/>
      <c r="LCU155" s="54"/>
      <c r="LCV155" s="52"/>
      <c r="LCW155" s="53"/>
      <c r="LCX155" s="54"/>
      <c r="LCY155" s="52"/>
      <c r="LCZ155" s="53"/>
      <c r="LDA155" s="8"/>
      <c r="LDB155" s="45"/>
      <c r="LDC155" s="45"/>
      <c r="LDD155" s="46"/>
      <c r="LDE155" s="44"/>
      <c r="LDF155" s="7"/>
      <c r="LDG155" s="51"/>
      <c r="LDH155" s="52"/>
      <c r="LDI155" s="53"/>
      <c r="LDJ155" s="54"/>
      <c r="LDK155" s="52"/>
      <c r="LDL155" s="53"/>
      <c r="LDM155" s="54"/>
      <c r="LDN155" s="52"/>
      <c r="LDO155" s="53"/>
      <c r="LDP155" s="8"/>
      <c r="LDQ155" s="45"/>
      <c r="LDR155" s="45"/>
      <c r="LDS155" s="46"/>
      <c r="LDT155" s="44"/>
      <c r="LDU155" s="7"/>
      <c r="LDV155" s="51"/>
      <c r="LDW155" s="52"/>
      <c r="LDX155" s="53"/>
      <c r="LDY155" s="54"/>
      <c r="LDZ155" s="52"/>
      <c r="LEA155" s="53"/>
      <c r="LEB155" s="54"/>
      <c r="LEC155" s="52"/>
      <c r="LED155" s="53"/>
      <c r="LEE155" s="8"/>
      <c r="LEF155" s="45"/>
      <c r="LEG155" s="45"/>
      <c r="LEH155" s="46"/>
      <c r="LEI155" s="44"/>
      <c r="LEJ155" s="7"/>
      <c r="LEK155" s="51"/>
      <c r="LEL155" s="52"/>
      <c r="LEM155" s="53"/>
      <c r="LEN155" s="54"/>
      <c r="LEO155" s="52"/>
      <c r="LEP155" s="53"/>
      <c r="LEQ155" s="54"/>
      <c r="LER155" s="52"/>
      <c r="LES155" s="53"/>
      <c r="LET155" s="8"/>
      <c r="LEU155" s="45"/>
      <c r="LEV155" s="45"/>
      <c r="LEW155" s="46"/>
      <c r="LEX155" s="44"/>
      <c r="LEY155" s="7"/>
      <c r="LEZ155" s="51"/>
      <c r="LFA155" s="52"/>
      <c r="LFB155" s="53"/>
      <c r="LFC155" s="54"/>
      <c r="LFD155" s="52"/>
      <c r="LFE155" s="53"/>
      <c r="LFF155" s="54"/>
      <c r="LFG155" s="52"/>
      <c r="LFH155" s="53"/>
      <c r="LFI155" s="8"/>
      <c r="LFJ155" s="45"/>
      <c r="LFK155" s="45"/>
      <c r="LFL155" s="46"/>
      <c r="LFM155" s="44"/>
      <c r="LFN155" s="7"/>
      <c r="LFO155" s="51"/>
      <c r="LFP155" s="52"/>
      <c r="LFQ155" s="53"/>
      <c r="LFR155" s="54"/>
      <c r="LFS155" s="52"/>
      <c r="LFT155" s="53"/>
      <c r="LFU155" s="54"/>
      <c r="LFV155" s="52"/>
      <c r="LFW155" s="53"/>
      <c r="LFX155" s="8"/>
      <c r="LFY155" s="45"/>
      <c r="LFZ155" s="45"/>
      <c r="LGA155" s="46"/>
      <c r="LGB155" s="44"/>
      <c r="LGC155" s="7"/>
      <c r="LGD155" s="51"/>
      <c r="LGE155" s="52"/>
      <c r="LGF155" s="53"/>
      <c r="LGG155" s="54"/>
      <c r="LGH155" s="52"/>
      <c r="LGI155" s="53"/>
      <c r="LGJ155" s="54"/>
      <c r="LGK155" s="52"/>
      <c r="LGL155" s="53"/>
      <c r="LGM155" s="8"/>
      <c r="LGN155" s="45"/>
      <c r="LGO155" s="45"/>
      <c r="LGP155" s="46"/>
      <c r="LGQ155" s="44"/>
      <c r="LGR155" s="7"/>
      <c r="LGS155" s="51"/>
      <c r="LGT155" s="52"/>
      <c r="LGU155" s="53"/>
      <c r="LGV155" s="54"/>
      <c r="LGW155" s="52"/>
      <c r="LGX155" s="53"/>
      <c r="LGY155" s="54"/>
      <c r="LGZ155" s="52"/>
      <c r="LHA155" s="53"/>
      <c r="LHB155" s="8"/>
      <c r="LHC155" s="45"/>
      <c r="LHD155" s="45"/>
      <c r="LHE155" s="46"/>
      <c r="LHF155" s="44"/>
      <c r="LHG155" s="7"/>
      <c r="LHH155" s="51"/>
      <c r="LHI155" s="52"/>
      <c r="LHJ155" s="53"/>
      <c r="LHK155" s="54"/>
      <c r="LHL155" s="52"/>
      <c r="LHM155" s="53"/>
      <c r="LHN155" s="54"/>
      <c r="LHO155" s="52"/>
      <c r="LHP155" s="53"/>
      <c r="LHQ155" s="8"/>
      <c r="LHR155" s="45"/>
      <c r="LHS155" s="45"/>
      <c r="LHT155" s="46"/>
      <c r="LHU155" s="44"/>
      <c r="LHV155" s="7"/>
      <c r="LHW155" s="51"/>
      <c r="LHX155" s="52"/>
      <c r="LHY155" s="53"/>
      <c r="LHZ155" s="54"/>
      <c r="LIA155" s="52"/>
      <c r="LIB155" s="53"/>
      <c r="LIC155" s="54"/>
      <c r="LID155" s="52"/>
      <c r="LIE155" s="53"/>
      <c r="LIF155" s="8"/>
      <c r="LIG155" s="45"/>
      <c r="LIH155" s="45"/>
      <c r="LII155" s="46"/>
      <c r="LIJ155" s="44"/>
      <c r="LIK155" s="7"/>
      <c r="LIL155" s="51"/>
      <c r="LIM155" s="52"/>
      <c r="LIN155" s="53"/>
      <c r="LIO155" s="54"/>
      <c r="LIP155" s="52"/>
      <c r="LIQ155" s="53"/>
      <c r="LIR155" s="54"/>
      <c r="LIS155" s="52"/>
      <c r="LIT155" s="53"/>
      <c r="LIU155" s="8"/>
      <c r="LIV155" s="45"/>
      <c r="LIW155" s="45"/>
      <c r="LIX155" s="46"/>
      <c r="LIY155" s="44"/>
      <c r="LIZ155" s="7"/>
      <c r="LJA155" s="51"/>
      <c r="LJB155" s="52"/>
      <c r="LJC155" s="53"/>
      <c r="LJD155" s="54"/>
      <c r="LJE155" s="52"/>
      <c r="LJF155" s="53"/>
      <c r="LJG155" s="54"/>
      <c r="LJH155" s="52"/>
      <c r="LJI155" s="53"/>
      <c r="LJJ155" s="8"/>
      <c r="LJK155" s="45"/>
      <c r="LJL155" s="45"/>
      <c r="LJM155" s="46"/>
      <c r="LJN155" s="44"/>
      <c r="LJO155" s="7"/>
      <c r="LJP155" s="51"/>
      <c r="LJQ155" s="52"/>
      <c r="LJR155" s="53"/>
      <c r="LJS155" s="54"/>
      <c r="LJT155" s="52"/>
      <c r="LJU155" s="53"/>
      <c r="LJV155" s="54"/>
      <c r="LJW155" s="52"/>
      <c r="LJX155" s="53"/>
      <c r="LJY155" s="8"/>
      <c r="LJZ155" s="45"/>
      <c r="LKA155" s="45"/>
      <c r="LKB155" s="46"/>
      <c r="LKC155" s="44"/>
      <c r="LKD155" s="7"/>
      <c r="LKE155" s="51"/>
      <c r="LKF155" s="52"/>
      <c r="LKG155" s="53"/>
      <c r="LKH155" s="54"/>
      <c r="LKI155" s="52"/>
      <c r="LKJ155" s="53"/>
      <c r="LKK155" s="54"/>
      <c r="LKL155" s="52"/>
      <c r="LKM155" s="53"/>
      <c r="LKN155" s="8"/>
      <c r="LKO155" s="45"/>
      <c r="LKP155" s="45"/>
      <c r="LKQ155" s="46"/>
      <c r="LKR155" s="44"/>
      <c r="LKS155" s="7"/>
      <c r="LKT155" s="51"/>
      <c r="LKU155" s="52"/>
      <c r="LKV155" s="53"/>
      <c r="LKW155" s="54"/>
      <c r="LKX155" s="52"/>
      <c r="LKY155" s="53"/>
      <c r="LKZ155" s="54"/>
      <c r="LLA155" s="52"/>
      <c r="LLB155" s="53"/>
      <c r="LLC155" s="8"/>
      <c r="LLD155" s="45"/>
      <c r="LLE155" s="45"/>
      <c r="LLF155" s="46"/>
      <c r="LLG155" s="44"/>
      <c r="LLH155" s="7"/>
      <c r="LLI155" s="51"/>
      <c r="LLJ155" s="52"/>
      <c r="LLK155" s="53"/>
      <c r="LLL155" s="54"/>
      <c r="LLM155" s="52"/>
      <c r="LLN155" s="53"/>
      <c r="LLO155" s="54"/>
      <c r="LLP155" s="52"/>
      <c r="LLQ155" s="53"/>
      <c r="LLR155" s="8"/>
      <c r="LLS155" s="45"/>
      <c r="LLT155" s="45"/>
      <c r="LLU155" s="46"/>
      <c r="LLV155" s="44"/>
      <c r="LLW155" s="7"/>
      <c r="LLX155" s="51"/>
      <c r="LLY155" s="52"/>
      <c r="LLZ155" s="53"/>
      <c r="LMA155" s="54"/>
      <c r="LMB155" s="52"/>
      <c r="LMC155" s="53"/>
      <c r="LMD155" s="54"/>
      <c r="LME155" s="52"/>
      <c r="LMF155" s="53"/>
      <c r="LMG155" s="8"/>
      <c r="LMH155" s="45"/>
      <c r="LMI155" s="45"/>
      <c r="LMJ155" s="46"/>
      <c r="LMK155" s="44"/>
      <c r="LML155" s="7"/>
      <c r="LMM155" s="51"/>
      <c r="LMN155" s="52"/>
      <c r="LMO155" s="53"/>
      <c r="LMP155" s="54"/>
      <c r="LMQ155" s="52"/>
      <c r="LMR155" s="53"/>
      <c r="LMS155" s="54"/>
      <c r="LMT155" s="52"/>
      <c r="LMU155" s="53"/>
      <c r="LMV155" s="8"/>
      <c r="LMW155" s="45"/>
      <c r="LMX155" s="45"/>
      <c r="LMY155" s="46"/>
      <c r="LMZ155" s="44"/>
      <c r="LNA155" s="7"/>
      <c r="LNB155" s="51"/>
      <c r="LNC155" s="52"/>
      <c r="LND155" s="53"/>
      <c r="LNE155" s="54"/>
      <c r="LNF155" s="52"/>
      <c r="LNG155" s="53"/>
      <c r="LNH155" s="54"/>
      <c r="LNI155" s="52"/>
      <c r="LNJ155" s="53"/>
      <c r="LNK155" s="8"/>
      <c r="LNL155" s="45"/>
      <c r="LNM155" s="45"/>
      <c r="LNN155" s="46"/>
      <c r="LNO155" s="44"/>
      <c r="LNP155" s="7"/>
      <c r="LNQ155" s="51"/>
      <c r="LNR155" s="52"/>
      <c r="LNS155" s="53"/>
      <c r="LNT155" s="54"/>
      <c r="LNU155" s="52"/>
      <c r="LNV155" s="53"/>
      <c r="LNW155" s="54"/>
      <c r="LNX155" s="52"/>
      <c r="LNY155" s="53"/>
      <c r="LNZ155" s="8"/>
      <c r="LOA155" s="45"/>
      <c r="LOB155" s="45"/>
      <c r="LOC155" s="46"/>
      <c r="LOD155" s="44"/>
      <c r="LOE155" s="7"/>
      <c r="LOF155" s="51"/>
      <c r="LOG155" s="52"/>
      <c r="LOH155" s="53"/>
      <c r="LOI155" s="54"/>
      <c r="LOJ155" s="52"/>
      <c r="LOK155" s="53"/>
      <c r="LOL155" s="54"/>
      <c r="LOM155" s="52"/>
      <c r="LON155" s="53"/>
      <c r="LOO155" s="8"/>
      <c r="LOP155" s="45"/>
      <c r="LOQ155" s="45"/>
      <c r="LOR155" s="46"/>
      <c r="LOS155" s="44"/>
      <c r="LOT155" s="7"/>
      <c r="LOU155" s="51"/>
      <c r="LOV155" s="52"/>
      <c r="LOW155" s="53"/>
      <c r="LOX155" s="54"/>
      <c r="LOY155" s="52"/>
      <c r="LOZ155" s="53"/>
      <c r="LPA155" s="54"/>
      <c r="LPB155" s="52"/>
      <c r="LPC155" s="53"/>
      <c r="LPD155" s="8"/>
      <c r="LPE155" s="45"/>
      <c r="LPF155" s="45"/>
      <c r="LPG155" s="46"/>
      <c r="LPH155" s="44"/>
      <c r="LPI155" s="7"/>
      <c r="LPJ155" s="51"/>
      <c r="LPK155" s="52"/>
      <c r="LPL155" s="53"/>
      <c r="LPM155" s="54"/>
      <c r="LPN155" s="52"/>
      <c r="LPO155" s="53"/>
      <c r="LPP155" s="54"/>
      <c r="LPQ155" s="52"/>
      <c r="LPR155" s="53"/>
      <c r="LPS155" s="8"/>
      <c r="LPT155" s="45"/>
      <c r="LPU155" s="45"/>
      <c r="LPV155" s="46"/>
      <c r="LPW155" s="44"/>
      <c r="LPX155" s="7"/>
      <c r="LPY155" s="51"/>
      <c r="LPZ155" s="52"/>
      <c r="LQA155" s="53"/>
      <c r="LQB155" s="54"/>
      <c r="LQC155" s="52"/>
      <c r="LQD155" s="53"/>
      <c r="LQE155" s="54"/>
      <c r="LQF155" s="52"/>
      <c r="LQG155" s="53"/>
      <c r="LQH155" s="8"/>
      <c r="LQI155" s="45"/>
      <c r="LQJ155" s="45"/>
      <c r="LQK155" s="46"/>
      <c r="LQL155" s="44"/>
      <c r="LQM155" s="7"/>
      <c r="LQN155" s="51"/>
      <c r="LQO155" s="52"/>
      <c r="LQP155" s="53"/>
      <c r="LQQ155" s="54"/>
      <c r="LQR155" s="52"/>
      <c r="LQS155" s="53"/>
      <c r="LQT155" s="54"/>
      <c r="LQU155" s="52"/>
      <c r="LQV155" s="53"/>
      <c r="LQW155" s="8"/>
      <c r="LQX155" s="45"/>
      <c r="LQY155" s="45"/>
      <c r="LQZ155" s="46"/>
      <c r="LRA155" s="44"/>
      <c r="LRB155" s="7"/>
      <c r="LRC155" s="51"/>
      <c r="LRD155" s="52"/>
      <c r="LRE155" s="53"/>
      <c r="LRF155" s="54"/>
      <c r="LRG155" s="52"/>
      <c r="LRH155" s="53"/>
      <c r="LRI155" s="54"/>
      <c r="LRJ155" s="52"/>
      <c r="LRK155" s="53"/>
      <c r="LRL155" s="8"/>
      <c r="LRM155" s="45"/>
      <c r="LRN155" s="45"/>
      <c r="LRO155" s="46"/>
      <c r="LRP155" s="44"/>
      <c r="LRQ155" s="7"/>
      <c r="LRR155" s="51"/>
      <c r="LRS155" s="52"/>
      <c r="LRT155" s="53"/>
      <c r="LRU155" s="54"/>
      <c r="LRV155" s="52"/>
      <c r="LRW155" s="53"/>
      <c r="LRX155" s="54"/>
      <c r="LRY155" s="52"/>
      <c r="LRZ155" s="53"/>
      <c r="LSA155" s="8"/>
      <c r="LSB155" s="45"/>
      <c r="LSC155" s="45"/>
      <c r="LSD155" s="46"/>
      <c r="LSE155" s="44"/>
      <c r="LSF155" s="7"/>
      <c r="LSG155" s="51"/>
      <c r="LSH155" s="52"/>
      <c r="LSI155" s="53"/>
      <c r="LSJ155" s="54"/>
      <c r="LSK155" s="52"/>
      <c r="LSL155" s="53"/>
      <c r="LSM155" s="54"/>
      <c r="LSN155" s="52"/>
      <c r="LSO155" s="53"/>
      <c r="LSP155" s="8"/>
      <c r="LSQ155" s="45"/>
      <c r="LSR155" s="45"/>
      <c r="LSS155" s="46"/>
      <c r="LST155" s="44"/>
      <c r="LSU155" s="7"/>
      <c r="LSV155" s="51"/>
      <c r="LSW155" s="52"/>
      <c r="LSX155" s="53"/>
      <c r="LSY155" s="54"/>
      <c r="LSZ155" s="52"/>
      <c r="LTA155" s="53"/>
      <c r="LTB155" s="54"/>
      <c r="LTC155" s="52"/>
      <c r="LTD155" s="53"/>
      <c r="LTE155" s="8"/>
      <c r="LTF155" s="45"/>
      <c r="LTG155" s="45"/>
      <c r="LTH155" s="46"/>
      <c r="LTI155" s="44"/>
      <c r="LTJ155" s="7"/>
      <c r="LTK155" s="51"/>
      <c r="LTL155" s="52"/>
      <c r="LTM155" s="53"/>
      <c r="LTN155" s="54"/>
      <c r="LTO155" s="52"/>
      <c r="LTP155" s="53"/>
      <c r="LTQ155" s="54"/>
      <c r="LTR155" s="52"/>
      <c r="LTS155" s="53"/>
      <c r="LTT155" s="8"/>
      <c r="LTU155" s="45"/>
      <c r="LTV155" s="45"/>
      <c r="LTW155" s="46"/>
      <c r="LTX155" s="44"/>
      <c r="LTY155" s="7"/>
      <c r="LTZ155" s="51"/>
      <c r="LUA155" s="52"/>
      <c r="LUB155" s="53"/>
      <c r="LUC155" s="54"/>
      <c r="LUD155" s="52"/>
      <c r="LUE155" s="53"/>
      <c r="LUF155" s="54"/>
      <c r="LUG155" s="52"/>
      <c r="LUH155" s="53"/>
      <c r="LUI155" s="8"/>
      <c r="LUJ155" s="45"/>
      <c r="LUK155" s="45"/>
      <c r="LUL155" s="46"/>
      <c r="LUM155" s="44"/>
      <c r="LUN155" s="7"/>
      <c r="LUO155" s="51"/>
      <c r="LUP155" s="52"/>
      <c r="LUQ155" s="53"/>
      <c r="LUR155" s="54"/>
      <c r="LUS155" s="52"/>
      <c r="LUT155" s="53"/>
      <c r="LUU155" s="54"/>
      <c r="LUV155" s="52"/>
      <c r="LUW155" s="53"/>
      <c r="LUX155" s="8"/>
      <c r="LUY155" s="45"/>
      <c r="LUZ155" s="45"/>
      <c r="LVA155" s="46"/>
      <c r="LVB155" s="44"/>
      <c r="LVC155" s="7"/>
      <c r="LVD155" s="51"/>
      <c r="LVE155" s="52"/>
      <c r="LVF155" s="53"/>
      <c r="LVG155" s="54"/>
      <c r="LVH155" s="52"/>
      <c r="LVI155" s="53"/>
      <c r="LVJ155" s="54"/>
      <c r="LVK155" s="52"/>
      <c r="LVL155" s="53"/>
      <c r="LVM155" s="8"/>
      <c r="LVN155" s="45"/>
      <c r="LVO155" s="45"/>
      <c r="LVP155" s="46"/>
      <c r="LVQ155" s="44"/>
      <c r="LVR155" s="7"/>
      <c r="LVS155" s="51"/>
      <c r="LVT155" s="52"/>
      <c r="LVU155" s="53"/>
      <c r="LVV155" s="54"/>
      <c r="LVW155" s="52"/>
      <c r="LVX155" s="53"/>
      <c r="LVY155" s="54"/>
      <c r="LVZ155" s="52"/>
      <c r="LWA155" s="53"/>
      <c r="LWB155" s="8"/>
      <c r="LWC155" s="45"/>
      <c r="LWD155" s="45"/>
      <c r="LWE155" s="46"/>
      <c r="LWF155" s="44"/>
      <c r="LWG155" s="7"/>
      <c r="LWH155" s="51"/>
      <c r="LWI155" s="52"/>
      <c r="LWJ155" s="53"/>
      <c r="LWK155" s="54"/>
      <c r="LWL155" s="52"/>
      <c r="LWM155" s="53"/>
      <c r="LWN155" s="54"/>
      <c r="LWO155" s="52"/>
      <c r="LWP155" s="53"/>
      <c r="LWQ155" s="8"/>
      <c r="LWR155" s="45"/>
      <c r="LWS155" s="45"/>
      <c r="LWT155" s="46"/>
      <c r="LWU155" s="44"/>
      <c r="LWV155" s="7"/>
      <c r="LWW155" s="51"/>
      <c r="LWX155" s="52"/>
      <c r="LWY155" s="53"/>
      <c r="LWZ155" s="54"/>
      <c r="LXA155" s="52"/>
      <c r="LXB155" s="53"/>
      <c r="LXC155" s="54"/>
      <c r="LXD155" s="52"/>
      <c r="LXE155" s="53"/>
      <c r="LXF155" s="8"/>
      <c r="LXG155" s="45"/>
      <c r="LXH155" s="45"/>
      <c r="LXI155" s="46"/>
      <c r="LXJ155" s="44"/>
      <c r="LXK155" s="7"/>
      <c r="LXL155" s="51"/>
      <c r="LXM155" s="52"/>
      <c r="LXN155" s="53"/>
      <c r="LXO155" s="54"/>
      <c r="LXP155" s="52"/>
      <c r="LXQ155" s="53"/>
      <c r="LXR155" s="54"/>
      <c r="LXS155" s="52"/>
      <c r="LXT155" s="53"/>
      <c r="LXU155" s="8"/>
      <c r="LXV155" s="45"/>
      <c r="LXW155" s="45"/>
      <c r="LXX155" s="46"/>
      <c r="LXY155" s="44"/>
      <c r="LXZ155" s="7"/>
      <c r="LYA155" s="51"/>
      <c r="LYB155" s="52"/>
      <c r="LYC155" s="53"/>
      <c r="LYD155" s="54"/>
      <c r="LYE155" s="52"/>
      <c r="LYF155" s="53"/>
      <c r="LYG155" s="54"/>
      <c r="LYH155" s="52"/>
      <c r="LYI155" s="53"/>
      <c r="LYJ155" s="8"/>
      <c r="LYK155" s="45"/>
      <c r="LYL155" s="45"/>
      <c r="LYM155" s="46"/>
      <c r="LYN155" s="44"/>
      <c r="LYO155" s="7"/>
      <c r="LYP155" s="51"/>
      <c r="LYQ155" s="52"/>
      <c r="LYR155" s="53"/>
      <c r="LYS155" s="54"/>
      <c r="LYT155" s="52"/>
      <c r="LYU155" s="53"/>
      <c r="LYV155" s="54"/>
      <c r="LYW155" s="52"/>
      <c r="LYX155" s="53"/>
      <c r="LYY155" s="8"/>
      <c r="LYZ155" s="45"/>
      <c r="LZA155" s="45"/>
      <c r="LZB155" s="46"/>
      <c r="LZC155" s="44"/>
      <c r="LZD155" s="7"/>
      <c r="LZE155" s="51"/>
      <c r="LZF155" s="52"/>
      <c r="LZG155" s="53"/>
      <c r="LZH155" s="54"/>
      <c r="LZI155" s="52"/>
      <c r="LZJ155" s="53"/>
      <c r="LZK155" s="54"/>
      <c r="LZL155" s="52"/>
      <c r="LZM155" s="53"/>
      <c r="LZN155" s="8"/>
      <c r="LZO155" s="45"/>
      <c r="LZP155" s="45"/>
      <c r="LZQ155" s="46"/>
      <c r="LZR155" s="44"/>
      <c r="LZS155" s="7"/>
      <c r="LZT155" s="51"/>
      <c r="LZU155" s="52"/>
      <c r="LZV155" s="53"/>
      <c r="LZW155" s="54"/>
      <c r="LZX155" s="52"/>
      <c r="LZY155" s="53"/>
      <c r="LZZ155" s="54"/>
      <c r="MAA155" s="52"/>
      <c r="MAB155" s="53"/>
      <c r="MAC155" s="8"/>
      <c r="MAD155" s="45"/>
      <c r="MAE155" s="45"/>
      <c r="MAF155" s="46"/>
      <c r="MAG155" s="44"/>
      <c r="MAH155" s="7"/>
      <c r="MAI155" s="51"/>
      <c r="MAJ155" s="52"/>
      <c r="MAK155" s="53"/>
      <c r="MAL155" s="54"/>
      <c r="MAM155" s="52"/>
      <c r="MAN155" s="53"/>
      <c r="MAO155" s="54"/>
      <c r="MAP155" s="52"/>
      <c r="MAQ155" s="53"/>
      <c r="MAR155" s="8"/>
      <c r="MAS155" s="45"/>
      <c r="MAT155" s="45"/>
      <c r="MAU155" s="46"/>
      <c r="MAV155" s="44"/>
      <c r="MAW155" s="7"/>
      <c r="MAX155" s="51"/>
      <c r="MAY155" s="52"/>
      <c r="MAZ155" s="53"/>
      <c r="MBA155" s="54"/>
      <c r="MBB155" s="52"/>
      <c r="MBC155" s="53"/>
      <c r="MBD155" s="54"/>
      <c r="MBE155" s="52"/>
      <c r="MBF155" s="53"/>
      <c r="MBG155" s="8"/>
      <c r="MBH155" s="45"/>
      <c r="MBI155" s="45"/>
      <c r="MBJ155" s="46"/>
      <c r="MBK155" s="44"/>
      <c r="MBL155" s="7"/>
      <c r="MBM155" s="51"/>
      <c r="MBN155" s="52"/>
      <c r="MBO155" s="53"/>
      <c r="MBP155" s="54"/>
      <c r="MBQ155" s="52"/>
      <c r="MBR155" s="53"/>
      <c r="MBS155" s="54"/>
      <c r="MBT155" s="52"/>
      <c r="MBU155" s="53"/>
      <c r="MBV155" s="8"/>
      <c r="MBW155" s="45"/>
      <c r="MBX155" s="45"/>
      <c r="MBY155" s="46"/>
      <c r="MBZ155" s="44"/>
      <c r="MCA155" s="7"/>
      <c r="MCB155" s="51"/>
      <c r="MCC155" s="52"/>
      <c r="MCD155" s="53"/>
      <c r="MCE155" s="54"/>
      <c r="MCF155" s="52"/>
      <c r="MCG155" s="53"/>
      <c r="MCH155" s="54"/>
      <c r="MCI155" s="52"/>
      <c r="MCJ155" s="53"/>
      <c r="MCK155" s="8"/>
      <c r="MCL155" s="45"/>
      <c r="MCM155" s="45"/>
      <c r="MCN155" s="46"/>
      <c r="MCO155" s="44"/>
      <c r="MCP155" s="7"/>
      <c r="MCQ155" s="51"/>
      <c r="MCR155" s="52"/>
      <c r="MCS155" s="53"/>
      <c r="MCT155" s="54"/>
      <c r="MCU155" s="52"/>
      <c r="MCV155" s="53"/>
      <c r="MCW155" s="54"/>
      <c r="MCX155" s="52"/>
      <c r="MCY155" s="53"/>
      <c r="MCZ155" s="8"/>
      <c r="MDA155" s="45"/>
      <c r="MDB155" s="45"/>
      <c r="MDC155" s="46"/>
      <c r="MDD155" s="44"/>
      <c r="MDE155" s="7"/>
      <c r="MDF155" s="51"/>
      <c r="MDG155" s="52"/>
      <c r="MDH155" s="53"/>
      <c r="MDI155" s="54"/>
      <c r="MDJ155" s="52"/>
      <c r="MDK155" s="53"/>
      <c r="MDL155" s="54"/>
      <c r="MDM155" s="52"/>
      <c r="MDN155" s="53"/>
      <c r="MDO155" s="8"/>
      <c r="MDP155" s="45"/>
      <c r="MDQ155" s="45"/>
      <c r="MDR155" s="46"/>
      <c r="MDS155" s="44"/>
      <c r="MDT155" s="7"/>
      <c r="MDU155" s="51"/>
      <c r="MDV155" s="52"/>
      <c r="MDW155" s="53"/>
      <c r="MDX155" s="54"/>
      <c r="MDY155" s="52"/>
      <c r="MDZ155" s="53"/>
      <c r="MEA155" s="54"/>
      <c r="MEB155" s="52"/>
      <c r="MEC155" s="53"/>
      <c r="MED155" s="8"/>
      <c r="MEE155" s="45"/>
      <c r="MEF155" s="45"/>
      <c r="MEG155" s="46"/>
      <c r="MEH155" s="44"/>
      <c r="MEI155" s="7"/>
      <c r="MEJ155" s="51"/>
      <c r="MEK155" s="52"/>
      <c r="MEL155" s="53"/>
      <c r="MEM155" s="54"/>
      <c r="MEN155" s="52"/>
      <c r="MEO155" s="53"/>
      <c r="MEP155" s="54"/>
      <c r="MEQ155" s="52"/>
      <c r="MER155" s="53"/>
      <c r="MES155" s="8"/>
      <c r="MET155" s="45"/>
      <c r="MEU155" s="45"/>
      <c r="MEV155" s="46"/>
      <c r="MEW155" s="44"/>
      <c r="MEX155" s="7"/>
      <c r="MEY155" s="51"/>
      <c r="MEZ155" s="52"/>
      <c r="MFA155" s="53"/>
      <c r="MFB155" s="54"/>
      <c r="MFC155" s="52"/>
      <c r="MFD155" s="53"/>
      <c r="MFE155" s="54"/>
      <c r="MFF155" s="52"/>
      <c r="MFG155" s="53"/>
      <c r="MFH155" s="8"/>
      <c r="MFI155" s="45"/>
      <c r="MFJ155" s="45"/>
      <c r="MFK155" s="46"/>
      <c r="MFL155" s="44"/>
      <c r="MFM155" s="7"/>
      <c r="MFN155" s="51"/>
      <c r="MFO155" s="52"/>
      <c r="MFP155" s="53"/>
      <c r="MFQ155" s="54"/>
      <c r="MFR155" s="52"/>
      <c r="MFS155" s="53"/>
      <c r="MFT155" s="54"/>
      <c r="MFU155" s="52"/>
      <c r="MFV155" s="53"/>
      <c r="MFW155" s="8"/>
      <c r="MFX155" s="45"/>
      <c r="MFY155" s="45"/>
      <c r="MFZ155" s="46"/>
      <c r="MGA155" s="44"/>
      <c r="MGB155" s="7"/>
      <c r="MGC155" s="51"/>
      <c r="MGD155" s="52"/>
      <c r="MGE155" s="53"/>
      <c r="MGF155" s="54"/>
      <c r="MGG155" s="52"/>
      <c r="MGH155" s="53"/>
      <c r="MGI155" s="54"/>
      <c r="MGJ155" s="52"/>
      <c r="MGK155" s="53"/>
      <c r="MGL155" s="8"/>
      <c r="MGM155" s="45"/>
      <c r="MGN155" s="45"/>
      <c r="MGO155" s="46"/>
      <c r="MGP155" s="44"/>
      <c r="MGQ155" s="7"/>
      <c r="MGR155" s="51"/>
      <c r="MGS155" s="52"/>
      <c r="MGT155" s="53"/>
      <c r="MGU155" s="54"/>
      <c r="MGV155" s="52"/>
      <c r="MGW155" s="53"/>
      <c r="MGX155" s="54"/>
      <c r="MGY155" s="52"/>
      <c r="MGZ155" s="53"/>
      <c r="MHA155" s="8"/>
      <c r="MHB155" s="45"/>
      <c r="MHC155" s="45"/>
      <c r="MHD155" s="46"/>
      <c r="MHE155" s="44"/>
      <c r="MHF155" s="7"/>
      <c r="MHG155" s="51"/>
      <c r="MHH155" s="52"/>
      <c r="MHI155" s="53"/>
      <c r="MHJ155" s="54"/>
      <c r="MHK155" s="52"/>
      <c r="MHL155" s="53"/>
      <c r="MHM155" s="54"/>
      <c r="MHN155" s="52"/>
      <c r="MHO155" s="53"/>
      <c r="MHP155" s="8"/>
      <c r="MHQ155" s="45"/>
      <c r="MHR155" s="45"/>
      <c r="MHS155" s="46"/>
      <c r="MHT155" s="44"/>
      <c r="MHU155" s="7"/>
      <c r="MHV155" s="51"/>
      <c r="MHW155" s="52"/>
      <c r="MHX155" s="53"/>
      <c r="MHY155" s="54"/>
      <c r="MHZ155" s="52"/>
      <c r="MIA155" s="53"/>
      <c r="MIB155" s="54"/>
      <c r="MIC155" s="52"/>
      <c r="MID155" s="53"/>
      <c r="MIE155" s="8"/>
      <c r="MIF155" s="45"/>
      <c r="MIG155" s="45"/>
      <c r="MIH155" s="46"/>
      <c r="MII155" s="44"/>
      <c r="MIJ155" s="7"/>
      <c r="MIK155" s="51"/>
      <c r="MIL155" s="52"/>
      <c r="MIM155" s="53"/>
      <c r="MIN155" s="54"/>
      <c r="MIO155" s="52"/>
      <c r="MIP155" s="53"/>
      <c r="MIQ155" s="54"/>
      <c r="MIR155" s="52"/>
      <c r="MIS155" s="53"/>
      <c r="MIT155" s="8"/>
      <c r="MIU155" s="45"/>
      <c r="MIV155" s="45"/>
      <c r="MIW155" s="46"/>
      <c r="MIX155" s="44"/>
      <c r="MIY155" s="7"/>
      <c r="MIZ155" s="51"/>
      <c r="MJA155" s="52"/>
      <c r="MJB155" s="53"/>
      <c r="MJC155" s="54"/>
      <c r="MJD155" s="52"/>
      <c r="MJE155" s="53"/>
      <c r="MJF155" s="54"/>
      <c r="MJG155" s="52"/>
      <c r="MJH155" s="53"/>
      <c r="MJI155" s="8"/>
      <c r="MJJ155" s="45"/>
      <c r="MJK155" s="45"/>
      <c r="MJL155" s="46"/>
      <c r="MJM155" s="44"/>
      <c r="MJN155" s="7"/>
      <c r="MJO155" s="51"/>
      <c r="MJP155" s="52"/>
      <c r="MJQ155" s="53"/>
      <c r="MJR155" s="54"/>
      <c r="MJS155" s="52"/>
      <c r="MJT155" s="53"/>
      <c r="MJU155" s="54"/>
      <c r="MJV155" s="52"/>
      <c r="MJW155" s="53"/>
      <c r="MJX155" s="8"/>
      <c r="MJY155" s="45"/>
      <c r="MJZ155" s="45"/>
      <c r="MKA155" s="46"/>
      <c r="MKB155" s="44"/>
      <c r="MKC155" s="7"/>
      <c r="MKD155" s="51"/>
      <c r="MKE155" s="52"/>
      <c r="MKF155" s="53"/>
    </row>
    <row r="156" spans="1:9080">
      <c r="A156" s="44"/>
      <c r="B156" s="7"/>
      <c r="C156" s="51"/>
      <c r="D156" s="52"/>
      <c r="E156" s="53"/>
      <c r="F156" s="54"/>
      <c r="G156" s="52"/>
      <c r="H156" s="53"/>
      <c r="I156" s="54"/>
      <c r="J156" s="52"/>
      <c r="K156" s="53"/>
      <c r="L156" s="8"/>
      <c r="M156" s="45"/>
      <c r="N156" s="45"/>
      <c r="O156" s="46"/>
      <c r="NB156" s="54"/>
      <c r="NC156" s="52"/>
      <c r="ND156" s="53"/>
      <c r="NE156" s="54"/>
      <c r="NF156" s="52"/>
      <c r="NG156" s="53"/>
      <c r="NH156" s="8"/>
      <c r="NI156" s="45"/>
      <c r="NJ156" s="45"/>
      <c r="NK156" s="46"/>
      <c r="NL156" s="44"/>
      <c r="NM156" s="7"/>
      <c r="NN156" s="51"/>
      <c r="NO156" s="52"/>
      <c r="NP156" s="53"/>
      <c r="NQ156" s="54"/>
      <c r="NR156" s="52"/>
      <c r="NS156" s="53"/>
      <c r="NT156" s="54"/>
      <c r="NU156" s="52"/>
      <c r="NV156" s="53"/>
      <c r="NW156" s="8"/>
      <c r="NX156" s="45"/>
      <c r="NY156" s="45"/>
      <c r="NZ156" s="46"/>
      <c r="OA156" s="44"/>
      <c r="OB156" s="7"/>
      <c r="OC156" s="51"/>
      <c r="OD156" s="52"/>
      <c r="OE156" s="53"/>
      <c r="OF156" s="54"/>
      <c r="OG156" s="52"/>
      <c r="OH156" s="53"/>
      <c r="OI156" s="54"/>
      <c r="OJ156" s="52"/>
      <c r="OK156" s="53"/>
      <c r="OL156" s="8"/>
      <c r="OM156" s="45"/>
      <c r="ON156" s="45"/>
      <c r="OO156" s="46"/>
      <c r="OP156" s="44"/>
      <c r="OQ156" s="7"/>
      <c r="OR156" s="51"/>
      <c r="OS156" s="52"/>
      <c r="OT156" s="53"/>
      <c r="OU156" s="54"/>
      <c r="OV156" s="52"/>
      <c r="OW156" s="53"/>
      <c r="OX156" s="54"/>
      <c r="OY156" s="52"/>
      <c r="OZ156" s="53"/>
      <c r="PA156" s="8"/>
      <c r="PB156" s="45"/>
      <c r="PC156" s="45"/>
      <c r="PD156" s="46"/>
      <c r="PE156" s="44"/>
      <c r="PF156" s="7"/>
      <c r="PG156" s="51"/>
      <c r="PH156" s="52"/>
      <c r="PI156" s="53"/>
      <c r="PJ156" s="54"/>
      <c r="PK156" s="52"/>
      <c r="PL156" s="53"/>
      <c r="PM156" s="54"/>
      <c r="PN156" s="52"/>
      <c r="PO156" s="53"/>
      <c r="PP156" s="8"/>
      <c r="PQ156" s="45"/>
      <c r="PR156" s="45"/>
      <c r="PS156" s="46"/>
      <c r="PT156" s="44"/>
      <c r="PU156" s="7"/>
      <c r="PV156" s="51"/>
      <c r="PW156" s="52"/>
      <c r="PX156" s="53"/>
      <c r="PY156" s="54"/>
      <c r="PZ156" s="52"/>
      <c r="QA156" s="53"/>
      <c r="QB156" s="54"/>
      <c r="QC156" s="52"/>
      <c r="QD156" s="53"/>
      <c r="QE156" s="8"/>
      <c r="QF156" s="45"/>
      <c r="QG156" s="45"/>
      <c r="QH156" s="46"/>
      <c r="QI156" s="44"/>
      <c r="QJ156" s="7"/>
      <c r="QK156" s="51"/>
      <c r="QL156" s="52"/>
      <c r="QM156" s="53"/>
      <c r="QN156" s="54"/>
      <c r="QO156" s="52"/>
      <c r="QP156" s="53"/>
      <c r="QQ156" s="54"/>
      <c r="QR156" s="52"/>
      <c r="QS156" s="53"/>
      <c r="QT156" s="8"/>
      <c r="QU156" s="45"/>
      <c r="QV156" s="45"/>
      <c r="QW156" s="46"/>
      <c r="QX156" s="44"/>
      <c r="QY156" s="7"/>
      <c r="QZ156" s="51"/>
      <c r="RA156" s="52"/>
      <c r="RB156" s="53"/>
      <c r="RC156" s="54"/>
      <c r="RD156" s="52"/>
      <c r="RE156" s="53"/>
      <c r="RF156" s="54"/>
      <c r="RG156" s="52"/>
      <c r="RH156" s="53"/>
      <c r="RI156" s="8"/>
      <c r="RJ156" s="45"/>
      <c r="RK156" s="45"/>
      <c r="RL156" s="46"/>
      <c r="RM156" s="44"/>
      <c r="RN156" s="7"/>
      <c r="RO156" s="51"/>
      <c r="RP156" s="52"/>
      <c r="RQ156" s="53"/>
      <c r="RR156" s="54"/>
      <c r="RS156" s="52"/>
      <c r="RT156" s="53"/>
      <c r="RU156" s="54"/>
      <c r="RV156" s="52"/>
      <c r="RW156" s="53"/>
      <c r="RX156" s="8"/>
      <c r="RY156" s="45"/>
      <c r="RZ156" s="45"/>
      <c r="SA156" s="46"/>
      <c r="SB156" s="44"/>
      <c r="SC156" s="7"/>
      <c r="SD156" s="51"/>
      <c r="SE156" s="52"/>
      <c r="SF156" s="53"/>
      <c r="SG156" s="54"/>
      <c r="SH156" s="52"/>
      <c r="SI156" s="53"/>
      <c r="SJ156" s="54"/>
      <c r="SK156" s="52"/>
      <c r="SL156" s="53"/>
      <c r="SM156" s="8"/>
      <c r="SN156" s="45"/>
      <c r="SO156" s="45"/>
      <c r="SP156" s="46"/>
      <c r="SQ156" s="44"/>
      <c r="SR156" s="7"/>
      <c r="SS156" s="51"/>
      <c r="ST156" s="52"/>
      <c r="SU156" s="53"/>
      <c r="SV156" s="54"/>
      <c r="SW156" s="52"/>
      <c r="SX156" s="53"/>
      <c r="SY156" s="54"/>
      <c r="SZ156" s="52"/>
      <c r="TA156" s="53"/>
      <c r="TB156" s="8"/>
      <c r="TC156" s="45"/>
      <c r="TD156" s="45"/>
      <c r="TE156" s="46"/>
      <c r="TF156" s="44"/>
      <c r="TG156" s="7"/>
      <c r="TH156" s="51"/>
      <c r="TI156" s="52"/>
      <c r="TJ156" s="53"/>
      <c r="TK156" s="54"/>
      <c r="TL156" s="52"/>
      <c r="TM156" s="53"/>
      <c r="TN156" s="54"/>
      <c r="TO156" s="52"/>
      <c r="TP156" s="53"/>
      <c r="TQ156" s="8"/>
      <c r="TR156" s="45"/>
      <c r="TS156" s="45"/>
      <c r="TT156" s="46"/>
      <c r="TU156" s="44"/>
      <c r="TV156" s="7"/>
      <c r="TW156" s="51"/>
      <c r="TX156" s="52"/>
      <c r="TY156" s="53"/>
      <c r="TZ156" s="54"/>
      <c r="UA156" s="52"/>
      <c r="UB156" s="53"/>
      <c r="UC156" s="54"/>
      <c r="UD156" s="52"/>
      <c r="UE156" s="53"/>
      <c r="UF156" s="8"/>
      <c r="UG156" s="45"/>
      <c r="UH156" s="45"/>
      <c r="UI156" s="46"/>
      <c r="UJ156" s="44"/>
      <c r="UK156" s="7"/>
      <c r="UL156" s="51"/>
      <c r="UM156" s="52"/>
      <c r="UN156" s="53"/>
      <c r="UO156" s="54"/>
      <c r="UP156" s="52"/>
      <c r="UQ156" s="53"/>
      <c r="UR156" s="54"/>
      <c r="US156" s="52"/>
      <c r="UT156" s="53"/>
      <c r="UU156" s="8"/>
      <c r="UV156" s="45"/>
      <c r="UW156" s="45"/>
      <c r="UX156" s="46"/>
      <c r="UY156" s="44"/>
      <c r="UZ156" s="7"/>
      <c r="VA156" s="51"/>
      <c r="VB156" s="52"/>
      <c r="VC156" s="53"/>
      <c r="VD156" s="54"/>
      <c r="VE156" s="52"/>
      <c r="VF156" s="53"/>
      <c r="VG156" s="54"/>
      <c r="VH156" s="52"/>
      <c r="VI156" s="53"/>
      <c r="VJ156" s="8"/>
      <c r="VK156" s="45"/>
      <c r="VL156" s="45"/>
      <c r="VM156" s="46"/>
      <c r="VN156" s="44"/>
      <c r="VO156" s="7"/>
      <c r="VP156" s="51"/>
      <c r="VQ156" s="52"/>
      <c r="VR156" s="53"/>
      <c r="VS156" s="54"/>
      <c r="VT156" s="52"/>
      <c r="VU156" s="53"/>
      <c r="VV156" s="54"/>
      <c r="VW156" s="52"/>
      <c r="VX156" s="53"/>
      <c r="VY156" s="8"/>
      <c r="VZ156" s="45"/>
      <c r="WA156" s="45"/>
      <c r="WB156" s="46"/>
      <c r="WC156" s="44"/>
      <c r="WD156" s="7"/>
      <c r="WE156" s="51"/>
      <c r="WF156" s="52"/>
      <c r="WG156" s="53"/>
      <c r="WH156" s="54"/>
      <c r="WI156" s="52"/>
      <c r="WJ156" s="53"/>
      <c r="WK156" s="54"/>
      <c r="WL156" s="52"/>
      <c r="WM156" s="53"/>
      <c r="WN156" s="8"/>
      <c r="WO156" s="45"/>
      <c r="WP156" s="45"/>
      <c r="WQ156" s="46"/>
      <c r="WR156" s="44"/>
      <c r="WS156" s="7"/>
      <c r="WT156" s="51"/>
      <c r="WU156" s="52"/>
      <c r="WV156" s="53"/>
      <c r="WW156" s="54"/>
      <c r="WX156" s="52"/>
      <c r="WY156" s="53"/>
      <c r="WZ156" s="54"/>
      <c r="XA156" s="52"/>
      <c r="XB156" s="53"/>
      <c r="XC156" s="8"/>
      <c r="XD156" s="45"/>
      <c r="XE156" s="45"/>
      <c r="XF156" s="46"/>
      <c r="XG156" s="44"/>
      <c r="XH156" s="7"/>
      <c r="XI156" s="51"/>
      <c r="XJ156" s="52"/>
      <c r="XK156" s="53"/>
      <c r="XL156" s="54"/>
      <c r="XM156" s="52"/>
      <c r="XN156" s="53"/>
      <c r="XO156" s="54"/>
      <c r="XP156" s="52"/>
      <c r="XQ156" s="53"/>
      <c r="XR156" s="8"/>
      <c r="XS156" s="45"/>
      <c r="XT156" s="45"/>
      <c r="XU156" s="46"/>
      <c r="XV156" s="44"/>
      <c r="XW156" s="7"/>
      <c r="XX156" s="51"/>
      <c r="XY156" s="52"/>
      <c r="XZ156" s="53"/>
      <c r="YA156" s="54"/>
      <c r="YB156" s="52"/>
      <c r="YC156" s="53"/>
      <c r="YD156" s="54"/>
      <c r="YE156" s="52"/>
      <c r="YF156" s="53"/>
      <c r="YG156" s="8"/>
      <c r="YH156" s="45"/>
      <c r="YI156" s="45"/>
      <c r="YJ156" s="46"/>
      <c r="YK156" s="44"/>
      <c r="YL156" s="7"/>
      <c r="YM156" s="51"/>
      <c r="YN156" s="52"/>
      <c r="YO156" s="53"/>
      <c r="YP156" s="54"/>
      <c r="YQ156" s="52"/>
      <c r="YR156" s="53"/>
      <c r="YS156" s="54"/>
      <c r="YT156" s="52"/>
      <c r="YU156" s="53"/>
      <c r="YV156" s="8"/>
      <c r="YW156" s="45"/>
      <c r="YX156" s="45"/>
      <c r="YY156" s="46"/>
      <c r="YZ156" s="44"/>
      <c r="ZA156" s="7"/>
      <c r="ZB156" s="51"/>
      <c r="ZC156" s="52"/>
      <c r="ZD156" s="53"/>
      <c r="ZE156" s="54"/>
      <c r="ZF156" s="52"/>
      <c r="ZG156" s="53"/>
      <c r="ZH156" s="54"/>
      <c r="ZI156" s="52"/>
      <c r="ZJ156" s="53"/>
      <c r="ZK156" s="8"/>
      <c r="ZL156" s="45"/>
      <c r="ZM156" s="45"/>
      <c r="ZN156" s="46"/>
      <c r="ZO156" s="44"/>
      <c r="ZP156" s="7"/>
      <c r="ZQ156" s="51"/>
      <c r="ZR156" s="52"/>
      <c r="ZS156" s="53"/>
      <c r="ZT156" s="54"/>
      <c r="ZU156" s="52"/>
      <c r="ZV156" s="53"/>
      <c r="ZW156" s="54"/>
      <c r="ZX156" s="52"/>
      <c r="ZY156" s="53"/>
      <c r="ZZ156" s="8"/>
      <c r="AAA156" s="45"/>
      <c r="AAB156" s="45"/>
      <c r="AAC156" s="46"/>
      <c r="AAD156" s="44"/>
      <c r="AAE156" s="7"/>
      <c r="AAF156" s="51"/>
      <c r="AAG156" s="52"/>
      <c r="AAH156" s="53"/>
      <c r="AAI156" s="54"/>
      <c r="AAJ156" s="52"/>
      <c r="AAK156" s="53"/>
      <c r="AAL156" s="54"/>
      <c r="AAM156" s="52"/>
      <c r="AAN156" s="53"/>
      <c r="AAO156" s="8"/>
      <c r="AAP156" s="45"/>
      <c r="AAQ156" s="45"/>
      <c r="AAR156" s="46"/>
      <c r="AAS156" s="44"/>
      <c r="AAT156" s="7"/>
      <c r="AAU156" s="51"/>
      <c r="AAV156" s="52"/>
      <c r="AAW156" s="53"/>
      <c r="AAX156" s="54"/>
      <c r="AAY156" s="52"/>
      <c r="AAZ156" s="53"/>
      <c r="ABA156" s="54"/>
      <c r="ABB156" s="52"/>
      <c r="ABC156" s="53"/>
      <c r="ABD156" s="8"/>
      <c r="ABE156" s="45"/>
      <c r="ABF156" s="45"/>
      <c r="ABG156" s="46"/>
      <c r="ABH156" s="44"/>
      <c r="ABI156" s="7"/>
      <c r="ABJ156" s="51"/>
      <c r="ABK156" s="52"/>
      <c r="ABL156" s="53"/>
      <c r="ABM156" s="54"/>
      <c r="ABN156" s="52"/>
      <c r="ABO156" s="53"/>
      <c r="ABP156" s="54"/>
      <c r="ABQ156" s="52"/>
      <c r="ABR156" s="53"/>
      <c r="ABS156" s="8"/>
      <c r="ABT156" s="45"/>
      <c r="ABU156" s="45"/>
      <c r="ABV156" s="46"/>
      <c r="ABW156" s="44"/>
      <c r="ABX156" s="7"/>
      <c r="ABY156" s="51"/>
      <c r="ABZ156" s="52"/>
      <c r="ACA156" s="53"/>
      <c r="ACB156" s="54"/>
      <c r="ACC156" s="52"/>
      <c r="ACD156" s="53"/>
      <c r="ACE156" s="54"/>
      <c r="ACF156" s="52"/>
      <c r="ACG156" s="53"/>
      <c r="ACH156" s="8"/>
      <c r="ACI156" s="45"/>
      <c r="ACJ156" s="45"/>
      <c r="ACK156" s="46"/>
      <c r="ACL156" s="44"/>
      <c r="ACM156" s="7"/>
      <c r="ACN156" s="51"/>
      <c r="ACO156" s="52"/>
      <c r="ACP156" s="53"/>
      <c r="ACQ156" s="54"/>
      <c r="ACR156" s="52"/>
      <c r="ACS156" s="53"/>
      <c r="ACT156" s="54"/>
      <c r="ACU156" s="52"/>
      <c r="ACV156" s="53"/>
      <c r="ACW156" s="8"/>
      <c r="ACX156" s="45"/>
      <c r="ACY156" s="45"/>
      <c r="ACZ156" s="46"/>
      <c r="ADA156" s="44"/>
      <c r="ADB156" s="7"/>
      <c r="ADC156" s="51"/>
      <c r="ADD156" s="52"/>
      <c r="ADE156" s="53"/>
      <c r="ADF156" s="54"/>
      <c r="ADG156" s="52"/>
      <c r="ADH156" s="53"/>
      <c r="ADI156" s="54"/>
      <c r="ADJ156" s="52"/>
      <c r="ADK156" s="53"/>
      <c r="ADL156" s="8"/>
      <c r="ADM156" s="45"/>
      <c r="ADN156" s="45"/>
      <c r="ADO156" s="46"/>
      <c r="ADP156" s="44"/>
      <c r="ADQ156" s="7"/>
      <c r="ADR156" s="51"/>
      <c r="ADS156" s="52"/>
      <c r="ADT156" s="53"/>
      <c r="ADU156" s="54"/>
      <c r="ADV156" s="52"/>
      <c r="ADW156" s="53"/>
      <c r="ADX156" s="54"/>
      <c r="ADY156" s="52"/>
      <c r="ADZ156" s="53"/>
      <c r="AEA156" s="8"/>
      <c r="AEB156" s="45"/>
      <c r="AEC156" s="45"/>
      <c r="AED156" s="46"/>
      <c r="AEE156" s="44"/>
      <c r="AEF156" s="7"/>
      <c r="AEG156" s="51"/>
      <c r="AEH156" s="52"/>
      <c r="AEI156" s="53"/>
      <c r="AEJ156" s="54"/>
      <c r="AEK156" s="52"/>
      <c r="AEL156" s="53"/>
      <c r="AEM156" s="54"/>
      <c r="AEN156" s="52"/>
      <c r="AEO156" s="53"/>
      <c r="AEP156" s="8"/>
      <c r="AEQ156" s="45"/>
      <c r="AER156" s="45"/>
      <c r="AES156" s="46"/>
      <c r="AET156" s="44"/>
      <c r="AEU156" s="7"/>
      <c r="AEV156" s="51"/>
      <c r="AEW156" s="52"/>
      <c r="AEX156" s="53"/>
      <c r="AEY156" s="54"/>
      <c r="AEZ156" s="52"/>
      <c r="AFA156" s="53"/>
      <c r="AFB156" s="54"/>
      <c r="AFC156" s="52"/>
      <c r="AFD156" s="53"/>
      <c r="AFE156" s="8"/>
      <c r="AFF156" s="45"/>
      <c r="AFG156" s="45"/>
      <c r="AFH156" s="46"/>
      <c r="AFI156" s="44"/>
      <c r="AFJ156" s="7"/>
      <c r="AFK156" s="51"/>
      <c r="AFL156" s="52"/>
      <c r="AFM156" s="53"/>
      <c r="AFN156" s="54"/>
      <c r="AFO156" s="52"/>
      <c r="AFP156" s="53"/>
      <c r="AFQ156" s="54"/>
      <c r="AFR156" s="52"/>
      <c r="AFS156" s="53"/>
      <c r="AFT156" s="8"/>
      <c r="AFU156" s="45"/>
      <c r="AFV156" s="45"/>
      <c r="AFW156" s="46"/>
      <c r="AFX156" s="44"/>
      <c r="AFY156" s="7"/>
      <c r="AFZ156" s="51"/>
      <c r="AGA156" s="52"/>
      <c r="AGB156" s="53"/>
      <c r="AGC156" s="54"/>
      <c r="AGD156" s="52"/>
      <c r="AGE156" s="53"/>
      <c r="AGF156" s="54"/>
      <c r="AGG156" s="52"/>
      <c r="AGH156" s="53"/>
      <c r="AGI156" s="8"/>
      <c r="AGJ156" s="45"/>
      <c r="AGK156" s="45"/>
      <c r="AGL156" s="46"/>
      <c r="AGM156" s="44"/>
      <c r="AGN156" s="7"/>
      <c r="AGO156" s="51"/>
      <c r="AGP156" s="52"/>
      <c r="AGQ156" s="53"/>
      <c r="AGR156" s="54"/>
      <c r="AGS156" s="52"/>
      <c r="AGT156" s="53"/>
      <c r="AGU156" s="54"/>
      <c r="AGV156" s="52"/>
      <c r="AGW156" s="53"/>
      <c r="AGX156" s="8"/>
      <c r="AGY156" s="45"/>
      <c r="AGZ156" s="45"/>
      <c r="AHA156" s="46"/>
      <c r="AHB156" s="44"/>
      <c r="AHC156" s="7"/>
      <c r="AHD156" s="51"/>
      <c r="AHE156" s="52"/>
      <c r="AHF156" s="53"/>
      <c r="AHG156" s="54"/>
      <c r="AHH156" s="52"/>
      <c r="AHI156" s="53"/>
      <c r="AHJ156" s="54"/>
      <c r="AHK156" s="52"/>
      <c r="AHL156" s="53"/>
      <c r="AHM156" s="8"/>
      <c r="AHN156" s="45"/>
      <c r="AHO156" s="45"/>
      <c r="AHP156" s="46"/>
      <c r="AHQ156" s="44"/>
      <c r="AHR156" s="7"/>
      <c r="AHS156" s="51"/>
      <c r="AHT156" s="52"/>
      <c r="AHU156" s="53"/>
      <c r="AHV156" s="54"/>
      <c r="AHW156" s="52"/>
      <c r="AHX156" s="53"/>
      <c r="AHY156" s="54"/>
      <c r="AHZ156" s="52"/>
      <c r="AIA156" s="53"/>
      <c r="AIB156" s="8"/>
      <c r="AIC156" s="45"/>
      <c r="AID156" s="45"/>
      <c r="AIE156" s="46"/>
      <c r="AIF156" s="44"/>
      <c r="AIG156" s="7"/>
      <c r="AIH156" s="51"/>
      <c r="AII156" s="52"/>
      <c r="AIJ156" s="53"/>
      <c r="AIK156" s="54"/>
      <c r="AIL156" s="52"/>
      <c r="AIM156" s="53"/>
      <c r="AIN156" s="54"/>
      <c r="AIO156" s="52"/>
      <c r="AIP156" s="53"/>
      <c r="AIQ156" s="8"/>
      <c r="AIR156" s="45"/>
      <c r="AIS156" s="45"/>
      <c r="AIT156" s="46"/>
      <c r="AIU156" s="44"/>
      <c r="AIV156" s="7"/>
      <c r="AIW156" s="51"/>
      <c r="AIX156" s="52"/>
      <c r="AIY156" s="53"/>
      <c r="AIZ156" s="54"/>
      <c r="AJA156" s="52"/>
      <c r="AJB156" s="53"/>
      <c r="AJC156" s="54"/>
      <c r="AJD156" s="52"/>
      <c r="AJE156" s="53"/>
      <c r="AJF156" s="8"/>
      <c r="AJG156" s="45"/>
      <c r="AJH156" s="45"/>
      <c r="AJI156" s="46"/>
      <c r="AJJ156" s="44"/>
      <c r="AJK156" s="7"/>
      <c r="AJL156" s="51"/>
      <c r="AJM156" s="52"/>
      <c r="AJN156" s="53"/>
      <c r="AJO156" s="54"/>
      <c r="AJP156" s="52"/>
      <c r="AJQ156" s="53"/>
      <c r="AJR156" s="54"/>
      <c r="AJS156" s="52"/>
      <c r="AJT156" s="53"/>
      <c r="AJU156" s="8"/>
      <c r="AJV156" s="45"/>
      <c r="AJW156" s="45"/>
      <c r="AJX156" s="46"/>
      <c r="AJY156" s="44"/>
      <c r="AJZ156" s="7"/>
      <c r="AKA156" s="51"/>
      <c r="AKB156" s="52"/>
      <c r="AKC156" s="53"/>
      <c r="AKD156" s="54"/>
      <c r="AKE156" s="52"/>
      <c r="AKF156" s="53"/>
      <c r="AKG156" s="54"/>
      <c r="AKH156" s="52"/>
      <c r="AKI156" s="53"/>
      <c r="AKJ156" s="8"/>
      <c r="AKK156" s="45"/>
      <c r="AKL156" s="45"/>
      <c r="AKM156" s="46"/>
      <c r="AKN156" s="44"/>
      <c r="AKO156" s="7"/>
      <c r="AKP156" s="51"/>
      <c r="AKQ156" s="52"/>
      <c r="AKR156" s="53"/>
      <c r="AKS156" s="54"/>
      <c r="AKT156" s="52"/>
      <c r="AKU156" s="53"/>
      <c r="AKV156" s="54"/>
      <c r="AKW156" s="52"/>
      <c r="AKX156" s="53"/>
      <c r="AKY156" s="8"/>
      <c r="AKZ156" s="45"/>
      <c r="ALA156" s="45"/>
      <c r="ALB156" s="46"/>
      <c r="ALC156" s="44"/>
      <c r="ALD156" s="7"/>
      <c r="ALE156" s="51"/>
      <c r="ALF156" s="52"/>
      <c r="ALG156" s="53"/>
      <c r="ALH156" s="54"/>
      <c r="ALI156" s="52"/>
      <c r="ALJ156" s="53"/>
      <c r="ALK156" s="54"/>
      <c r="ALL156" s="52"/>
      <c r="ALM156" s="53"/>
      <c r="ALN156" s="8"/>
      <c r="ALO156" s="45"/>
      <c r="ALP156" s="45"/>
      <c r="ALQ156" s="46"/>
      <c r="ALR156" s="44"/>
      <c r="ALS156" s="7"/>
      <c r="ALT156" s="51"/>
      <c r="ALU156" s="52"/>
      <c r="ALV156" s="53"/>
      <c r="ALW156" s="54"/>
      <c r="ALX156" s="52"/>
      <c r="ALY156" s="53"/>
      <c r="ALZ156" s="54"/>
      <c r="AMA156" s="52"/>
      <c r="AMB156" s="53"/>
      <c r="AMC156" s="8"/>
      <c r="AMD156" s="45"/>
      <c r="AME156" s="45"/>
      <c r="AMF156" s="46"/>
      <c r="AMG156" s="44"/>
      <c r="AMH156" s="7"/>
      <c r="AMI156" s="51"/>
      <c r="AMJ156" s="52"/>
      <c r="AMK156" s="53"/>
      <c r="AML156" s="54"/>
      <c r="AMM156" s="52"/>
      <c r="AMN156" s="53"/>
      <c r="AMO156" s="54"/>
      <c r="AMP156" s="52"/>
      <c r="AMQ156" s="53"/>
      <c r="AMR156" s="8"/>
      <c r="AMS156" s="45"/>
      <c r="AMT156" s="45"/>
      <c r="AMU156" s="46"/>
      <c r="AMV156" s="44"/>
      <c r="AMW156" s="7"/>
      <c r="AMX156" s="51"/>
      <c r="AMY156" s="52"/>
      <c r="AMZ156" s="53"/>
      <c r="ANA156" s="54"/>
      <c r="ANB156" s="52"/>
      <c r="ANC156" s="53"/>
      <c r="AND156" s="54"/>
      <c r="ANE156" s="52"/>
      <c r="ANF156" s="53"/>
      <c r="ANG156" s="8"/>
      <c r="ANH156" s="45"/>
      <c r="ANI156" s="45"/>
      <c r="ANJ156" s="46"/>
      <c r="ANK156" s="44"/>
      <c r="ANL156" s="7"/>
      <c r="ANM156" s="51"/>
      <c r="ANN156" s="52"/>
      <c r="ANO156" s="53"/>
      <c r="ANP156" s="54"/>
      <c r="ANQ156" s="52"/>
      <c r="ANR156" s="53"/>
      <c r="ANS156" s="54"/>
      <c r="ANT156" s="52"/>
      <c r="ANU156" s="53"/>
      <c r="ANV156" s="8"/>
      <c r="ANW156" s="45"/>
      <c r="ANX156" s="45"/>
      <c r="ANY156" s="46"/>
      <c r="ANZ156" s="44"/>
      <c r="AOA156" s="7"/>
      <c r="AOB156" s="51"/>
      <c r="AOC156" s="52"/>
      <c r="AOD156" s="53"/>
      <c r="AOE156" s="54"/>
      <c r="AOF156" s="52"/>
      <c r="AOG156" s="53"/>
      <c r="AOH156" s="54"/>
      <c r="AOI156" s="52"/>
      <c r="AOJ156" s="53"/>
      <c r="AOK156" s="8"/>
      <c r="AOL156" s="45"/>
      <c r="AOM156" s="45"/>
      <c r="AON156" s="46"/>
      <c r="AOO156" s="44"/>
      <c r="AOP156" s="7"/>
      <c r="AOQ156" s="51"/>
      <c r="AOR156" s="52"/>
      <c r="AOS156" s="53"/>
      <c r="AOT156" s="54"/>
      <c r="AOU156" s="52"/>
      <c r="AOV156" s="53"/>
      <c r="AOW156" s="54"/>
      <c r="AOX156" s="52"/>
      <c r="AOY156" s="53"/>
      <c r="AOZ156" s="8"/>
      <c r="APA156" s="45"/>
      <c r="APB156" s="45"/>
      <c r="APC156" s="46"/>
      <c r="APD156" s="44"/>
      <c r="APE156" s="7"/>
      <c r="APF156" s="51"/>
      <c r="APG156" s="52"/>
      <c r="APH156" s="53"/>
      <c r="API156" s="54"/>
      <c r="APJ156" s="52"/>
      <c r="APK156" s="53"/>
      <c r="APL156" s="54"/>
      <c r="APM156" s="52"/>
      <c r="APN156" s="53"/>
      <c r="APO156" s="8"/>
      <c r="APP156" s="45"/>
      <c r="APQ156" s="45"/>
      <c r="APR156" s="46"/>
      <c r="APS156" s="44"/>
      <c r="APT156" s="7"/>
      <c r="APU156" s="51"/>
      <c r="APV156" s="52"/>
      <c r="APW156" s="53"/>
      <c r="APX156" s="54"/>
      <c r="APY156" s="52"/>
      <c r="APZ156" s="53"/>
      <c r="AQA156" s="54"/>
      <c r="AQB156" s="52"/>
      <c r="AQC156" s="53"/>
      <c r="AQD156" s="8"/>
      <c r="AQE156" s="45"/>
      <c r="AQF156" s="45"/>
      <c r="AQG156" s="46"/>
      <c r="AQH156" s="44"/>
      <c r="AQI156" s="7"/>
      <c r="AQJ156" s="51"/>
      <c r="AQK156" s="52"/>
      <c r="AQL156" s="53"/>
      <c r="AQM156" s="54"/>
      <c r="AQN156" s="52"/>
      <c r="AQO156" s="53"/>
      <c r="AQP156" s="54"/>
      <c r="AQQ156" s="52"/>
      <c r="AQR156" s="53"/>
      <c r="AQS156" s="8"/>
      <c r="AQT156" s="45"/>
      <c r="AQU156" s="45"/>
      <c r="AQV156" s="46"/>
      <c r="AQW156" s="44"/>
      <c r="AQX156" s="7"/>
      <c r="AQY156" s="51"/>
      <c r="AQZ156" s="52"/>
      <c r="ARA156" s="53"/>
      <c r="ARB156" s="54"/>
      <c r="ARC156" s="52"/>
      <c r="ARD156" s="53"/>
      <c r="ARE156" s="54"/>
      <c r="ARF156" s="52"/>
      <c r="ARG156" s="53"/>
      <c r="ARH156" s="8"/>
      <c r="ARI156" s="45"/>
      <c r="ARJ156" s="45"/>
      <c r="ARK156" s="46"/>
      <c r="ARL156" s="44"/>
      <c r="ARM156" s="7"/>
      <c r="ARN156" s="51"/>
      <c r="ARO156" s="52"/>
      <c r="ARP156" s="53"/>
      <c r="ARQ156" s="54"/>
      <c r="ARR156" s="52"/>
      <c r="ARS156" s="53"/>
      <c r="ART156" s="54"/>
      <c r="ARU156" s="52"/>
      <c r="ARV156" s="53"/>
      <c r="ARW156" s="8"/>
      <c r="ARX156" s="45"/>
      <c r="ARY156" s="45"/>
      <c r="ARZ156" s="46"/>
      <c r="ASA156" s="44"/>
      <c r="ASB156" s="7"/>
      <c r="ASC156" s="51"/>
      <c r="ASD156" s="52"/>
      <c r="ASE156" s="53"/>
      <c r="ASF156" s="54"/>
      <c r="ASG156" s="52"/>
      <c r="ASH156" s="53"/>
      <c r="ASI156" s="54"/>
      <c r="ASJ156" s="52"/>
      <c r="ASK156" s="53"/>
      <c r="ASL156" s="8"/>
      <c r="ASM156" s="45"/>
      <c r="ASN156" s="45"/>
      <c r="ASO156" s="46"/>
      <c r="ASP156" s="44"/>
      <c r="ASQ156" s="7"/>
      <c r="ASR156" s="51"/>
      <c r="ASS156" s="52"/>
      <c r="AST156" s="53"/>
      <c r="ASU156" s="54"/>
      <c r="ASV156" s="52"/>
      <c r="ASW156" s="53"/>
      <c r="ASX156" s="54"/>
      <c r="ASY156" s="52"/>
      <c r="ASZ156" s="53"/>
      <c r="ATA156" s="8"/>
      <c r="ATB156" s="45"/>
      <c r="ATC156" s="45"/>
      <c r="ATD156" s="46"/>
      <c r="ATE156" s="44"/>
      <c r="ATF156" s="7"/>
      <c r="ATG156" s="51"/>
      <c r="ATH156" s="52"/>
      <c r="ATI156" s="53"/>
      <c r="ATJ156" s="54"/>
      <c r="ATK156" s="52"/>
      <c r="ATL156" s="53"/>
      <c r="ATM156" s="54"/>
      <c r="ATN156" s="52"/>
      <c r="ATO156" s="53"/>
      <c r="ATP156" s="8"/>
      <c r="ATQ156" s="45"/>
      <c r="ATR156" s="45"/>
      <c r="ATS156" s="46"/>
      <c r="ATT156" s="44"/>
      <c r="ATU156" s="7"/>
      <c r="ATV156" s="51"/>
      <c r="ATW156" s="52"/>
      <c r="ATX156" s="53"/>
      <c r="ATY156" s="54"/>
      <c r="ATZ156" s="52"/>
      <c r="AUA156" s="53"/>
      <c r="AUB156" s="54"/>
      <c r="AUC156" s="52"/>
      <c r="AUD156" s="53"/>
      <c r="AUE156" s="8"/>
      <c r="AUF156" s="45"/>
      <c r="AUG156" s="45"/>
      <c r="AUH156" s="46"/>
      <c r="AUI156" s="44"/>
      <c r="AUJ156" s="7"/>
      <c r="AUK156" s="51"/>
      <c r="AUL156" s="52"/>
      <c r="AUM156" s="53"/>
      <c r="AUN156" s="54"/>
      <c r="AUO156" s="52"/>
      <c r="AUP156" s="53"/>
      <c r="AUQ156" s="54"/>
      <c r="AUR156" s="52"/>
      <c r="AUS156" s="53"/>
      <c r="AUT156" s="8"/>
      <c r="AUU156" s="45"/>
      <c r="AUV156" s="45"/>
      <c r="AUW156" s="46"/>
      <c r="AUX156" s="44"/>
      <c r="AUY156" s="7"/>
      <c r="AUZ156" s="51"/>
      <c r="AVA156" s="52"/>
      <c r="AVB156" s="53"/>
      <c r="AVC156" s="54"/>
      <c r="AVD156" s="52"/>
      <c r="AVE156" s="53"/>
      <c r="AVF156" s="54"/>
      <c r="AVG156" s="52"/>
      <c r="AVH156" s="53"/>
      <c r="AVI156" s="8"/>
      <c r="AVJ156" s="45"/>
      <c r="AVK156" s="45"/>
      <c r="AVL156" s="46"/>
      <c r="AVM156" s="44"/>
      <c r="AVN156" s="7"/>
      <c r="AVO156" s="51"/>
      <c r="AVP156" s="52"/>
      <c r="AVQ156" s="53"/>
      <c r="AVR156" s="54"/>
      <c r="AVS156" s="52"/>
      <c r="AVT156" s="53"/>
      <c r="AVU156" s="54"/>
      <c r="AVV156" s="52"/>
      <c r="AVW156" s="53"/>
      <c r="AVX156" s="8"/>
      <c r="AVY156" s="45"/>
      <c r="AVZ156" s="45"/>
      <c r="AWA156" s="46"/>
      <c r="AWB156" s="44"/>
      <c r="AWC156" s="7"/>
      <c r="AWD156" s="51"/>
      <c r="AWE156" s="52"/>
      <c r="AWF156" s="53"/>
      <c r="AWG156" s="54"/>
      <c r="AWH156" s="52"/>
      <c r="AWI156" s="53"/>
      <c r="AWJ156" s="54"/>
      <c r="AWK156" s="52"/>
      <c r="AWL156" s="53"/>
      <c r="AWM156" s="8"/>
      <c r="AWN156" s="45"/>
      <c r="AWO156" s="45"/>
      <c r="AWP156" s="46"/>
      <c r="AWQ156" s="44"/>
      <c r="AWR156" s="7"/>
      <c r="AWS156" s="51"/>
      <c r="AWT156" s="52"/>
      <c r="AWU156" s="53"/>
      <c r="AWV156" s="54"/>
      <c r="AWW156" s="52"/>
      <c r="AWX156" s="53"/>
      <c r="AWY156" s="54"/>
      <c r="AWZ156" s="52"/>
      <c r="AXA156" s="53"/>
      <c r="AXB156" s="8"/>
      <c r="AXC156" s="45"/>
      <c r="AXD156" s="45"/>
      <c r="AXE156" s="46"/>
      <c r="AXF156" s="44"/>
      <c r="AXG156" s="7"/>
      <c r="AXH156" s="51"/>
      <c r="AXI156" s="52"/>
      <c r="AXJ156" s="53"/>
      <c r="AXK156" s="54"/>
      <c r="AXL156" s="52"/>
      <c r="AXM156" s="53"/>
      <c r="AXN156" s="54"/>
      <c r="AXO156" s="52"/>
      <c r="AXP156" s="53"/>
      <c r="AXQ156" s="8"/>
      <c r="AXR156" s="45"/>
      <c r="AXS156" s="45"/>
      <c r="AXT156" s="46"/>
      <c r="AXU156" s="44"/>
      <c r="AXV156" s="7"/>
      <c r="AXW156" s="51"/>
      <c r="AXX156" s="52"/>
      <c r="AXY156" s="53"/>
      <c r="AXZ156" s="54"/>
      <c r="AYA156" s="52"/>
      <c r="AYB156" s="53"/>
      <c r="AYC156" s="54"/>
      <c r="AYD156" s="52"/>
      <c r="AYE156" s="53"/>
      <c r="AYF156" s="8"/>
      <c r="AYG156" s="45"/>
      <c r="AYH156" s="45"/>
      <c r="AYI156" s="46"/>
      <c r="AYJ156" s="44"/>
      <c r="AYK156" s="7"/>
      <c r="AYL156" s="51"/>
      <c r="AYM156" s="52"/>
      <c r="AYN156" s="53"/>
      <c r="AYO156" s="54"/>
      <c r="AYP156" s="52"/>
      <c r="AYQ156" s="53"/>
      <c r="AYR156" s="54"/>
      <c r="AYS156" s="52"/>
      <c r="AYT156" s="53"/>
      <c r="AYU156" s="8"/>
      <c r="AYV156" s="45"/>
      <c r="AYW156" s="45"/>
      <c r="AYX156" s="46"/>
      <c r="AYY156" s="44"/>
      <c r="AYZ156" s="7"/>
      <c r="AZA156" s="51"/>
      <c r="AZB156" s="52"/>
      <c r="AZC156" s="53"/>
      <c r="AZD156" s="54"/>
      <c r="AZE156" s="52"/>
      <c r="AZF156" s="53"/>
      <c r="AZG156" s="54"/>
      <c r="AZH156" s="52"/>
      <c r="AZI156" s="53"/>
      <c r="AZJ156" s="8"/>
      <c r="AZK156" s="45"/>
      <c r="AZL156" s="45"/>
      <c r="AZM156" s="46"/>
      <c r="AZN156" s="44"/>
      <c r="AZO156" s="7"/>
      <c r="AZP156" s="51"/>
      <c r="AZQ156" s="52"/>
      <c r="AZR156" s="53"/>
      <c r="AZS156" s="54"/>
      <c r="AZT156" s="52"/>
      <c r="AZU156" s="53"/>
      <c r="AZV156" s="54"/>
      <c r="AZW156" s="52"/>
      <c r="AZX156" s="53"/>
      <c r="AZY156" s="8"/>
      <c r="AZZ156" s="45"/>
      <c r="BAA156" s="45"/>
      <c r="BAB156" s="46"/>
      <c r="BAC156" s="44"/>
      <c r="BAD156" s="7"/>
      <c r="BAE156" s="51"/>
      <c r="BAF156" s="52"/>
      <c r="BAG156" s="53"/>
      <c r="BAH156" s="54"/>
      <c r="BAI156" s="52"/>
      <c r="BAJ156" s="53"/>
      <c r="BAK156" s="54"/>
      <c r="BAL156" s="52"/>
      <c r="BAM156" s="53"/>
      <c r="BAN156" s="8"/>
      <c r="BAO156" s="45"/>
      <c r="BAP156" s="45"/>
      <c r="BAQ156" s="46"/>
      <c r="BAR156" s="44"/>
      <c r="BAS156" s="7"/>
      <c r="BAT156" s="51"/>
      <c r="BAU156" s="52"/>
      <c r="BAV156" s="53"/>
      <c r="BAW156" s="54"/>
      <c r="BAX156" s="52"/>
      <c r="BAY156" s="53"/>
      <c r="BAZ156" s="54"/>
      <c r="BBA156" s="52"/>
      <c r="BBB156" s="53"/>
      <c r="BBC156" s="8"/>
      <c r="BBD156" s="45"/>
      <c r="BBE156" s="45"/>
      <c r="BBF156" s="46"/>
      <c r="BBG156" s="44"/>
      <c r="BBH156" s="7"/>
      <c r="BBI156" s="51"/>
      <c r="BBJ156" s="52"/>
      <c r="BBK156" s="53"/>
      <c r="BBL156" s="54"/>
      <c r="BBM156" s="52"/>
      <c r="BBN156" s="53"/>
      <c r="BBO156" s="54"/>
      <c r="BBP156" s="52"/>
      <c r="BBQ156" s="53"/>
      <c r="BBR156" s="8"/>
      <c r="BBS156" s="45"/>
      <c r="BBT156" s="45"/>
      <c r="BBU156" s="46"/>
      <c r="BBV156" s="44"/>
      <c r="BBW156" s="7"/>
      <c r="BBX156" s="51"/>
      <c r="BBY156" s="52"/>
      <c r="BBZ156" s="53"/>
      <c r="BCA156" s="54"/>
      <c r="BCB156" s="52"/>
      <c r="BCC156" s="53"/>
      <c r="BCD156" s="54"/>
      <c r="BCE156" s="52"/>
      <c r="BCF156" s="53"/>
      <c r="BCG156" s="8"/>
      <c r="BCH156" s="45"/>
      <c r="BCI156" s="45"/>
      <c r="BCJ156" s="46"/>
      <c r="BCK156" s="44"/>
      <c r="BCL156" s="7"/>
      <c r="BCM156" s="51"/>
      <c r="BCN156" s="52"/>
      <c r="BCO156" s="53"/>
      <c r="BCP156" s="54"/>
      <c r="BCQ156" s="52"/>
      <c r="BCR156" s="53"/>
      <c r="BCS156" s="54"/>
      <c r="BCT156" s="52"/>
      <c r="BCU156" s="53"/>
      <c r="BCV156" s="8"/>
      <c r="BCW156" s="45"/>
      <c r="BCX156" s="45"/>
      <c r="BCY156" s="46"/>
      <c r="BCZ156" s="44"/>
      <c r="BDA156" s="7"/>
      <c r="BDB156" s="51"/>
      <c r="BDC156" s="52"/>
      <c r="BDD156" s="53"/>
      <c r="BDE156" s="54"/>
      <c r="BDF156" s="52"/>
      <c r="BDG156" s="53"/>
      <c r="BDH156" s="54"/>
      <c r="BDI156" s="52"/>
      <c r="BDJ156" s="53"/>
      <c r="BDK156" s="8"/>
      <c r="BDL156" s="45"/>
      <c r="BDM156" s="45"/>
      <c r="BDN156" s="46"/>
      <c r="BDO156" s="44"/>
      <c r="BDP156" s="7"/>
      <c r="BDQ156" s="51"/>
      <c r="BDR156" s="52"/>
      <c r="BDS156" s="53"/>
      <c r="BDT156" s="54"/>
      <c r="BDU156" s="52"/>
      <c r="BDV156" s="53"/>
      <c r="BDW156" s="54"/>
      <c r="BDX156" s="52"/>
      <c r="BDY156" s="53"/>
      <c r="BDZ156" s="8"/>
      <c r="BEA156" s="45"/>
      <c r="BEB156" s="45"/>
      <c r="BEC156" s="46"/>
      <c r="BED156" s="44"/>
      <c r="BEE156" s="7"/>
      <c r="BEF156" s="51"/>
      <c r="BEG156" s="52"/>
      <c r="BEH156" s="53"/>
      <c r="BEI156" s="54"/>
      <c r="BEJ156" s="52"/>
      <c r="BEK156" s="53"/>
      <c r="BEL156" s="54"/>
      <c r="BEM156" s="52"/>
      <c r="BEN156" s="53"/>
      <c r="BEO156" s="8"/>
      <c r="BEP156" s="45"/>
      <c r="BEQ156" s="45"/>
      <c r="BER156" s="46"/>
      <c r="BES156" s="44"/>
      <c r="BET156" s="7"/>
      <c r="BEU156" s="51"/>
      <c r="BEV156" s="52"/>
      <c r="BEW156" s="53"/>
      <c r="BEX156" s="54"/>
      <c r="BEY156" s="52"/>
      <c r="BEZ156" s="53"/>
      <c r="BFA156" s="54"/>
      <c r="BFB156" s="52"/>
      <c r="BFC156" s="53"/>
      <c r="BFD156" s="8"/>
      <c r="BFE156" s="45"/>
      <c r="BFF156" s="45"/>
      <c r="BFG156" s="46"/>
      <c r="BFH156" s="44"/>
      <c r="BFI156" s="7"/>
      <c r="BFJ156" s="51"/>
      <c r="BFK156" s="52"/>
      <c r="BFL156" s="53"/>
      <c r="BFM156" s="54"/>
      <c r="BFN156" s="52"/>
      <c r="BFO156" s="53"/>
      <c r="BFP156" s="54"/>
      <c r="BFQ156" s="52"/>
      <c r="BFR156" s="53"/>
      <c r="BFS156" s="8"/>
      <c r="BFT156" s="45"/>
      <c r="BFU156" s="45"/>
      <c r="BFV156" s="46"/>
      <c r="BFW156" s="44"/>
      <c r="BFX156" s="7"/>
      <c r="BFY156" s="51"/>
      <c r="BFZ156" s="52"/>
      <c r="BGA156" s="53"/>
      <c r="BGB156" s="54"/>
      <c r="BGC156" s="52"/>
      <c r="BGD156" s="53"/>
      <c r="BGE156" s="54"/>
      <c r="BGF156" s="52"/>
      <c r="BGG156" s="53"/>
      <c r="BGH156" s="8"/>
      <c r="BGI156" s="45"/>
      <c r="BGJ156" s="45"/>
      <c r="BGK156" s="46"/>
      <c r="BGL156" s="44"/>
      <c r="BGM156" s="7"/>
      <c r="BGN156" s="51"/>
      <c r="BGO156" s="52"/>
      <c r="BGP156" s="53"/>
      <c r="BGQ156" s="54"/>
      <c r="BGR156" s="52"/>
      <c r="BGS156" s="53"/>
      <c r="BGT156" s="54"/>
      <c r="BGU156" s="52"/>
      <c r="BGV156" s="53"/>
      <c r="BGW156" s="8"/>
      <c r="BGX156" s="45"/>
      <c r="BGY156" s="45"/>
      <c r="BGZ156" s="46"/>
      <c r="BHA156" s="44"/>
      <c r="BHB156" s="7"/>
      <c r="BHC156" s="51"/>
      <c r="BHD156" s="52"/>
      <c r="BHE156" s="53"/>
      <c r="BHF156" s="54"/>
      <c r="BHG156" s="52"/>
      <c r="BHH156" s="53"/>
      <c r="BHI156" s="54"/>
      <c r="BHJ156" s="52"/>
      <c r="BHK156" s="53"/>
      <c r="BHL156" s="8"/>
      <c r="BHM156" s="45"/>
      <c r="BHN156" s="45"/>
      <c r="BHO156" s="46"/>
      <c r="BHP156" s="44"/>
      <c r="BHQ156" s="7"/>
      <c r="BHR156" s="51"/>
      <c r="BHS156" s="52"/>
      <c r="BHT156" s="53"/>
      <c r="BHU156" s="54"/>
      <c r="BHV156" s="52"/>
      <c r="BHW156" s="53"/>
      <c r="BHX156" s="54"/>
      <c r="BHY156" s="52"/>
      <c r="BHZ156" s="53"/>
      <c r="BIA156" s="8"/>
      <c r="BIB156" s="45"/>
      <c r="BIC156" s="45"/>
      <c r="BID156" s="46"/>
      <c r="BIE156" s="44"/>
      <c r="BIF156" s="7"/>
      <c r="BIG156" s="51"/>
      <c r="BIH156" s="52"/>
      <c r="BII156" s="53"/>
      <c r="BIJ156" s="54"/>
      <c r="BIK156" s="52"/>
      <c r="BIL156" s="53"/>
      <c r="BIM156" s="54"/>
      <c r="BIN156" s="52"/>
      <c r="BIO156" s="53"/>
      <c r="BIP156" s="8"/>
      <c r="BIQ156" s="45"/>
      <c r="BIR156" s="45"/>
      <c r="BIS156" s="46"/>
      <c r="BIT156" s="44"/>
      <c r="BIU156" s="7"/>
      <c r="BIV156" s="51"/>
      <c r="BIW156" s="52"/>
      <c r="BIX156" s="53"/>
      <c r="BIY156" s="54"/>
      <c r="BIZ156" s="52"/>
      <c r="BJA156" s="53"/>
      <c r="BJB156" s="54"/>
      <c r="BJC156" s="52"/>
      <c r="BJD156" s="53"/>
      <c r="BJE156" s="8"/>
      <c r="BJF156" s="45"/>
      <c r="BJG156" s="45"/>
      <c r="BJH156" s="46"/>
      <c r="BJI156" s="44"/>
      <c r="BJJ156" s="7"/>
      <c r="BJK156" s="51"/>
      <c r="BJL156" s="52"/>
      <c r="BJM156" s="53"/>
      <c r="BJN156" s="54"/>
      <c r="BJO156" s="52"/>
      <c r="BJP156" s="53"/>
      <c r="BJQ156" s="54"/>
      <c r="BJR156" s="52"/>
      <c r="BJS156" s="53"/>
      <c r="BJT156" s="8"/>
      <c r="BJU156" s="45"/>
      <c r="BJV156" s="45"/>
      <c r="BJW156" s="46"/>
      <c r="BJX156" s="44"/>
      <c r="BJY156" s="7"/>
      <c r="BJZ156" s="51"/>
      <c r="BKA156" s="52"/>
      <c r="BKB156" s="53"/>
      <c r="BKC156" s="54"/>
      <c r="BKD156" s="52"/>
      <c r="BKE156" s="53"/>
      <c r="BKF156" s="54"/>
      <c r="BKG156" s="52"/>
      <c r="BKH156" s="53"/>
      <c r="BKI156" s="8"/>
      <c r="BKJ156" s="45"/>
      <c r="BKK156" s="45"/>
      <c r="BKL156" s="46"/>
      <c r="BKM156" s="44"/>
      <c r="BKN156" s="7"/>
      <c r="BKO156" s="51"/>
      <c r="BKP156" s="52"/>
      <c r="BKQ156" s="53"/>
      <c r="BKR156" s="54"/>
      <c r="BKS156" s="52"/>
      <c r="BKT156" s="53"/>
      <c r="BKU156" s="54"/>
      <c r="BKV156" s="52"/>
      <c r="BKW156" s="53"/>
      <c r="BKX156" s="8"/>
      <c r="BKY156" s="45"/>
      <c r="BKZ156" s="45"/>
      <c r="BLA156" s="46"/>
      <c r="BLB156" s="44"/>
      <c r="BLC156" s="7"/>
      <c r="BLD156" s="51"/>
      <c r="BLE156" s="52"/>
      <c r="BLF156" s="53"/>
      <c r="BLG156" s="54"/>
      <c r="BLH156" s="52"/>
      <c r="BLI156" s="53"/>
      <c r="BLJ156" s="54"/>
      <c r="BLK156" s="52"/>
      <c r="BLL156" s="53"/>
      <c r="BLM156" s="8"/>
      <c r="BLN156" s="45"/>
      <c r="BLO156" s="45"/>
      <c r="BLP156" s="46"/>
      <c r="BLQ156" s="44"/>
      <c r="BLR156" s="7"/>
      <c r="BLS156" s="51"/>
      <c r="BLT156" s="52"/>
      <c r="BLU156" s="53"/>
      <c r="BLV156" s="54"/>
      <c r="BLW156" s="52"/>
      <c r="BLX156" s="53"/>
      <c r="BLY156" s="54"/>
      <c r="BLZ156" s="52"/>
      <c r="BMA156" s="53"/>
      <c r="BMB156" s="8"/>
      <c r="BMC156" s="45"/>
      <c r="BMD156" s="45"/>
      <c r="BME156" s="46"/>
      <c r="BMF156" s="44"/>
      <c r="BMG156" s="7"/>
      <c r="BMH156" s="51"/>
      <c r="BMI156" s="52"/>
      <c r="BMJ156" s="53"/>
      <c r="BMK156" s="54"/>
      <c r="BML156" s="52"/>
      <c r="BMM156" s="53"/>
      <c r="BMN156" s="54"/>
      <c r="BMO156" s="52"/>
      <c r="BMP156" s="53"/>
      <c r="BMQ156" s="8"/>
      <c r="BMR156" s="45"/>
      <c r="BMS156" s="45"/>
      <c r="BMT156" s="46"/>
      <c r="BMU156" s="44"/>
      <c r="BMV156" s="7"/>
      <c r="BMW156" s="51"/>
      <c r="BMX156" s="52"/>
      <c r="BMY156" s="53"/>
      <c r="BMZ156" s="54"/>
      <c r="BNA156" s="52"/>
      <c r="BNB156" s="53"/>
      <c r="BNC156" s="54"/>
      <c r="BND156" s="52"/>
      <c r="BNE156" s="53"/>
      <c r="BNF156" s="8"/>
      <c r="BNG156" s="45"/>
      <c r="BNH156" s="45"/>
      <c r="BNI156" s="46"/>
      <c r="BNJ156" s="44"/>
      <c r="BNK156" s="7"/>
      <c r="BNL156" s="51"/>
      <c r="BNM156" s="52"/>
      <c r="BNN156" s="53"/>
      <c r="BNO156" s="54"/>
      <c r="BNP156" s="52"/>
      <c r="BNQ156" s="53"/>
      <c r="BNR156" s="54"/>
      <c r="BNS156" s="52"/>
      <c r="BNT156" s="53"/>
      <c r="BNU156" s="8"/>
      <c r="BNV156" s="45"/>
      <c r="BNW156" s="45"/>
      <c r="BNX156" s="46"/>
      <c r="BNY156" s="44"/>
      <c r="BNZ156" s="7"/>
      <c r="BOA156" s="51"/>
      <c r="BOB156" s="52"/>
      <c r="BOC156" s="53"/>
      <c r="BOD156" s="54"/>
      <c r="BOE156" s="52"/>
      <c r="BOF156" s="53"/>
      <c r="BOG156" s="54"/>
      <c r="BOH156" s="52"/>
      <c r="BOI156" s="53"/>
      <c r="BOJ156" s="8"/>
      <c r="BOK156" s="45"/>
      <c r="BOL156" s="45"/>
      <c r="BOM156" s="46"/>
      <c r="BON156" s="44"/>
      <c r="BOO156" s="7"/>
      <c r="BOP156" s="51"/>
      <c r="BOQ156" s="52"/>
      <c r="BOR156" s="53"/>
      <c r="BOS156" s="54"/>
      <c r="BOT156" s="52"/>
      <c r="BOU156" s="53"/>
      <c r="BOV156" s="54"/>
      <c r="BOW156" s="52"/>
      <c r="BOX156" s="53"/>
      <c r="BOY156" s="8"/>
      <c r="BOZ156" s="45"/>
      <c r="BPA156" s="45"/>
      <c r="BPB156" s="46"/>
      <c r="BPC156" s="44"/>
      <c r="BPD156" s="7"/>
      <c r="BPE156" s="51"/>
      <c r="BPF156" s="52"/>
      <c r="BPG156" s="53"/>
      <c r="BPH156" s="54"/>
      <c r="BPI156" s="52"/>
      <c r="BPJ156" s="53"/>
      <c r="BPK156" s="54"/>
      <c r="BPL156" s="52"/>
      <c r="BPM156" s="53"/>
      <c r="BPN156" s="8"/>
      <c r="BPO156" s="45"/>
      <c r="BPP156" s="45"/>
      <c r="BPQ156" s="46"/>
      <c r="BPR156" s="44"/>
      <c r="BPS156" s="7"/>
      <c r="BPT156" s="51"/>
      <c r="BPU156" s="52"/>
      <c r="BPV156" s="53"/>
      <c r="BPW156" s="54"/>
      <c r="BPX156" s="52"/>
      <c r="BPY156" s="53"/>
      <c r="BPZ156" s="54"/>
      <c r="BQA156" s="52"/>
      <c r="BQB156" s="53"/>
      <c r="BQC156" s="8"/>
      <c r="BQD156" s="45"/>
      <c r="BQE156" s="45"/>
      <c r="BQF156" s="46"/>
      <c r="BQG156" s="44"/>
      <c r="BQH156" s="7"/>
      <c r="BQI156" s="51"/>
      <c r="BQJ156" s="52"/>
      <c r="BQK156" s="53"/>
      <c r="BQL156" s="54"/>
      <c r="BQM156" s="52"/>
      <c r="BQN156" s="53"/>
      <c r="BQO156" s="54"/>
      <c r="BQP156" s="52"/>
      <c r="BQQ156" s="53"/>
      <c r="BQR156" s="8"/>
      <c r="BQS156" s="45"/>
      <c r="BQT156" s="45"/>
      <c r="BQU156" s="46"/>
      <c r="BQV156" s="44"/>
      <c r="BQW156" s="7"/>
      <c r="BQX156" s="51"/>
      <c r="BQY156" s="52"/>
      <c r="BQZ156" s="53"/>
      <c r="BRA156" s="54"/>
      <c r="BRB156" s="52"/>
      <c r="BRC156" s="53"/>
      <c r="BRD156" s="54"/>
      <c r="BRE156" s="52"/>
      <c r="BRF156" s="53"/>
      <c r="BRG156" s="8"/>
      <c r="BRH156" s="45"/>
      <c r="BRI156" s="45"/>
      <c r="BRJ156" s="46"/>
      <c r="BRK156" s="44"/>
      <c r="BRL156" s="7"/>
      <c r="BRM156" s="51"/>
      <c r="BRN156" s="52"/>
      <c r="BRO156" s="53"/>
      <c r="BRP156" s="54"/>
      <c r="BRQ156" s="52"/>
      <c r="BRR156" s="53"/>
      <c r="BRS156" s="54"/>
      <c r="BRT156" s="52"/>
      <c r="BRU156" s="53"/>
      <c r="BRV156" s="8"/>
      <c r="BRW156" s="45"/>
      <c r="BRX156" s="45"/>
      <c r="BRY156" s="46"/>
      <c r="BRZ156" s="44"/>
      <c r="BSA156" s="7"/>
      <c r="BSB156" s="51"/>
      <c r="BSC156" s="52"/>
      <c r="BSD156" s="53"/>
      <c r="BSE156" s="54"/>
      <c r="BSF156" s="52"/>
      <c r="BSG156" s="53"/>
      <c r="BSH156" s="54"/>
      <c r="BSI156" s="52"/>
      <c r="BSJ156" s="53"/>
      <c r="BSK156" s="8"/>
      <c r="BSL156" s="45"/>
      <c r="BSM156" s="45"/>
      <c r="BSN156" s="46"/>
      <c r="BSO156" s="44"/>
      <c r="BSP156" s="7"/>
      <c r="BSQ156" s="51"/>
      <c r="BSR156" s="52"/>
      <c r="BSS156" s="53"/>
      <c r="BST156" s="54"/>
      <c r="BSU156" s="52"/>
      <c r="BSV156" s="53"/>
      <c r="BSW156" s="54"/>
      <c r="BSX156" s="52"/>
      <c r="BSY156" s="53"/>
      <c r="BSZ156" s="8"/>
      <c r="BTA156" s="45"/>
      <c r="BTB156" s="45"/>
      <c r="BTC156" s="46"/>
      <c r="BTD156" s="44"/>
      <c r="BTE156" s="7"/>
      <c r="BTF156" s="51"/>
      <c r="BTG156" s="52"/>
      <c r="BTH156" s="53"/>
      <c r="BTI156" s="54"/>
      <c r="BTJ156" s="52"/>
      <c r="BTK156" s="53"/>
      <c r="BTL156" s="54"/>
      <c r="BTM156" s="52"/>
      <c r="BTN156" s="53"/>
      <c r="BTO156" s="8"/>
      <c r="BTP156" s="45"/>
      <c r="BTQ156" s="45"/>
      <c r="BTR156" s="46"/>
      <c r="BTS156" s="44"/>
      <c r="BTT156" s="7"/>
      <c r="BTU156" s="51"/>
      <c r="BTV156" s="52"/>
      <c r="BTW156" s="53"/>
      <c r="BTX156" s="54"/>
      <c r="BTY156" s="52"/>
      <c r="BTZ156" s="53"/>
      <c r="BUA156" s="54"/>
      <c r="BUB156" s="52"/>
      <c r="BUC156" s="53"/>
      <c r="BUD156" s="8"/>
      <c r="BUE156" s="45"/>
      <c r="BUF156" s="45"/>
      <c r="BUG156" s="46"/>
      <c r="BUH156" s="44"/>
      <c r="BUI156" s="7"/>
      <c r="BUJ156" s="51"/>
      <c r="BUK156" s="52"/>
      <c r="BUL156" s="53"/>
      <c r="BUM156" s="54"/>
      <c r="BUN156" s="52"/>
      <c r="BUO156" s="53"/>
      <c r="BUP156" s="54"/>
      <c r="BUQ156" s="52"/>
      <c r="BUR156" s="53"/>
      <c r="BUS156" s="8"/>
      <c r="BUT156" s="45"/>
      <c r="BUU156" s="45"/>
      <c r="BUV156" s="46"/>
      <c r="BUW156" s="44"/>
      <c r="BUX156" s="7"/>
      <c r="BUY156" s="51"/>
      <c r="BUZ156" s="52"/>
      <c r="BVA156" s="53"/>
      <c r="BVB156" s="54"/>
      <c r="BVC156" s="52"/>
      <c r="BVD156" s="53"/>
      <c r="BVE156" s="54"/>
      <c r="BVF156" s="52"/>
      <c r="BVG156" s="53"/>
      <c r="BVH156" s="8"/>
      <c r="BVI156" s="45"/>
      <c r="BVJ156" s="45"/>
      <c r="BVK156" s="46"/>
      <c r="BVL156" s="44"/>
      <c r="BVM156" s="7"/>
      <c r="BVN156" s="51"/>
      <c r="BVO156" s="52"/>
      <c r="BVP156" s="53"/>
      <c r="BVQ156" s="54"/>
      <c r="BVR156" s="52"/>
      <c r="BVS156" s="53"/>
      <c r="BVT156" s="54"/>
      <c r="BVU156" s="52"/>
      <c r="BVV156" s="53"/>
      <c r="BVW156" s="8"/>
      <c r="BVX156" s="45"/>
      <c r="BVY156" s="45"/>
      <c r="BVZ156" s="46"/>
      <c r="BWA156" s="44"/>
      <c r="BWB156" s="7"/>
      <c r="BWC156" s="51"/>
      <c r="BWD156" s="52"/>
      <c r="BWE156" s="53"/>
      <c r="BWF156" s="54"/>
      <c r="BWG156" s="52"/>
      <c r="BWH156" s="53"/>
      <c r="BWI156" s="54"/>
      <c r="BWJ156" s="52"/>
      <c r="BWK156" s="53"/>
      <c r="BWL156" s="8"/>
      <c r="BWM156" s="45"/>
      <c r="BWN156" s="45"/>
      <c r="BWO156" s="46"/>
      <c r="BWP156" s="44"/>
      <c r="BWQ156" s="7"/>
      <c r="BWR156" s="51"/>
      <c r="BWS156" s="52"/>
      <c r="BWT156" s="53"/>
      <c r="BWU156" s="54"/>
      <c r="BWV156" s="52"/>
      <c r="BWW156" s="53"/>
      <c r="BWX156" s="54"/>
      <c r="BWY156" s="52"/>
      <c r="BWZ156" s="53"/>
      <c r="BXA156" s="8"/>
      <c r="BXB156" s="45"/>
      <c r="BXC156" s="45"/>
      <c r="BXD156" s="46"/>
      <c r="BXE156" s="44"/>
      <c r="BXF156" s="7"/>
      <c r="BXG156" s="51"/>
      <c r="BXH156" s="52"/>
      <c r="BXI156" s="53"/>
      <c r="BXJ156" s="54"/>
      <c r="BXK156" s="52"/>
      <c r="BXL156" s="53"/>
      <c r="BXM156" s="54"/>
      <c r="BXN156" s="52"/>
      <c r="BXO156" s="53"/>
      <c r="BXP156" s="8"/>
      <c r="BXQ156" s="45"/>
      <c r="BXR156" s="45"/>
      <c r="BXS156" s="46"/>
      <c r="BXT156" s="44"/>
      <c r="BXU156" s="7"/>
      <c r="BXV156" s="51"/>
      <c r="BXW156" s="52"/>
      <c r="BXX156" s="53"/>
      <c r="BXY156" s="54"/>
      <c r="BXZ156" s="52"/>
      <c r="BYA156" s="53"/>
      <c r="BYB156" s="54"/>
      <c r="BYC156" s="52"/>
      <c r="BYD156" s="53"/>
      <c r="BYE156" s="8"/>
      <c r="BYF156" s="45"/>
      <c r="BYG156" s="45"/>
      <c r="BYH156" s="46"/>
      <c r="BYI156" s="44"/>
      <c r="BYJ156" s="7"/>
      <c r="BYK156" s="51"/>
      <c r="BYL156" s="52"/>
      <c r="BYM156" s="53"/>
      <c r="BYN156" s="54"/>
      <c r="BYO156" s="52"/>
      <c r="BYP156" s="53"/>
      <c r="BYQ156" s="54"/>
      <c r="BYR156" s="52"/>
      <c r="BYS156" s="53"/>
      <c r="BYT156" s="8"/>
      <c r="BYU156" s="45"/>
      <c r="BYV156" s="45"/>
      <c r="BYW156" s="46"/>
      <c r="BYX156" s="44"/>
      <c r="BYY156" s="7"/>
      <c r="BYZ156" s="51"/>
      <c r="BZA156" s="52"/>
      <c r="BZB156" s="53"/>
      <c r="BZC156" s="54"/>
      <c r="BZD156" s="52"/>
      <c r="BZE156" s="53"/>
      <c r="BZF156" s="54"/>
      <c r="BZG156" s="52"/>
      <c r="BZH156" s="53"/>
      <c r="BZI156" s="8"/>
      <c r="BZJ156" s="45"/>
      <c r="BZK156" s="45"/>
      <c r="BZL156" s="46"/>
      <c r="BZM156" s="44"/>
      <c r="BZN156" s="7"/>
      <c r="BZO156" s="51"/>
      <c r="BZP156" s="52"/>
      <c r="BZQ156" s="53"/>
      <c r="BZR156" s="54"/>
      <c r="BZS156" s="52"/>
      <c r="BZT156" s="53"/>
      <c r="BZU156" s="54"/>
      <c r="BZV156" s="52"/>
      <c r="BZW156" s="53"/>
      <c r="BZX156" s="8"/>
      <c r="BZY156" s="45"/>
      <c r="BZZ156" s="45"/>
      <c r="CAA156" s="46"/>
      <c r="CAB156" s="44"/>
      <c r="CAC156" s="7"/>
      <c r="CAD156" s="51"/>
      <c r="CAE156" s="52"/>
      <c r="CAF156" s="53"/>
      <c r="CAG156" s="54"/>
      <c r="CAH156" s="52"/>
      <c r="CAI156" s="53"/>
      <c r="CAJ156" s="54"/>
      <c r="CAK156" s="52"/>
      <c r="CAL156" s="53"/>
      <c r="CAM156" s="8"/>
      <c r="CAN156" s="45"/>
      <c r="CAO156" s="45"/>
      <c r="CAP156" s="46"/>
      <c r="CAQ156" s="44"/>
      <c r="CAR156" s="7"/>
      <c r="CAS156" s="51"/>
      <c r="CAT156" s="52"/>
      <c r="CAU156" s="53"/>
      <c r="CAV156" s="54"/>
      <c r="CAW156" s="52"/>
      <c r="CAX156" s="53"/>
      <c r="CAY156" s="54"/>
      <c r="CAZ156" s="52"/>
      <c r="CBA156" s="53"/>
      <c r="CBB156" s="8"/>
      <c r="CBC156" s="45"/>
      <c r="CBD156" s="45"/>
      <c r="CBE156" s="46"/>
      <c r="CBF156" s="44"/>
      <c r="CBG156" s="7"/>
      <c r="CBH156" s="51"/>
      <c r="CBI156" s="52"/>
      <c r="CBJ156" s="53"/>
      <c r="CBK156" s="54"/>
      <c r="CBL156" s="52"/>
      <c r="CBM156" s="53"/>
      <c r="CBN156" s="54"/>
      <c r="CBO156" s="52"/>
      <c r="CBP156" s="53"/>
      <c r="CBQ156" s="8"/>
      <c r="CBR156" s="45"/>
      <c r="CBS156" s="45"/>
      <c r="CBT156" s="46"/>
      <c r="CBU156" s="44"/>
      <c r="CBV156" s="7"/>
      <c r="CBW156" s="51"/>
      <c r="CBX156" s="52"/>
      <c r="CBY156" s="53"/>
      <c r="CBZ156" s="54"/>
      <c r="CCA156" s="52"/>
      <c r="CCB156" s="53"/>
      <c r="CCC156" s="54"/>
      <c r="CCD156" s="52"/>
      <c r="CCE156" s="53"/>
      <c r="CCF156" s="8"/>
      <c r="CCG156" s="45"/>
      <c r="CCH156" s="45"/>
      <c r="CCI156" s="46"/>
      <c r="CCJ156" s="44"/>
      <c r="CCK156" s="7"/>
      <c r="CCL156" s="51"/>
      <c r="CCM156" s="52"/>
      <c r="CCN156" s="53"/>
      <c r="CCO156" s="54"/>
      <c r="CCP156" s="52"/>
      <c r="CCQ156" s="53"/>
      <c r="CCR156" s="54"/>
      <c r="CCS156" s="52"/>
      <c r="CCT156" s="53"/>
      <c r="CCU156" s="8"/>
      <c r="CCV156" s="45"/>
      <c r="CCW156" s="45"/>
      <c r="CCX156" s="46"/>
      <c r="CCY156" s="44"/>
      <c r="CCZ156" s="7"/>
      <c r="CDA156" s="51"/>
      <c r="CDB156" s="52"/>
      <c r="CDC156" s="53"/>
      <c r="CDD156" s="54"/>
      <c r="CDE156" s="52"/>
      <c r="CDF156" s="53"/>
      <c r="CDG156" s="54"/>
      <c r="CDH156" s="52"/>
      <c r="CDI156" s="53"/>
      <c r="CDJ156" s="8"/>
      <c r="CDK156" s="45"/>
      <c r="CDL156" s="45"/>
      <c r="CDM156" s="46"/>
      <c r="CDN156" s="44"/>
      <c r="CDO156" s="7"/>
      <c r="CDP156" s="51"/>
      <c r="CDQ156" s="52"/>
      <c r="CDR156" s="53"/>
      <c r="CDS156" s="54"/>
      <c r="CDT156" s="52"/>
      <c r="CDU156" s="53"/>
      <c r="CDV156" s="54"/>
      <c r="CDW156" s="52"/>
      <c r="CDX156" s="53"/>
      <c r="CDY156" s="8"/>
      <c r="CDZ156" s="45"/>
      <c r="CEA156" s="45"/>
      <c r="CEB156" s="46"/>
      <c r="CEC156" s="44"/>
      <c r="CED156" s="7"/>
      <c r="CEE156" s="51"/>
      <c r="CEF156" s="52"/>
      <c r="CEG156" s="53"/>
      <c r="CEH156" s="54"/>
      <c r="CEI156" s="52"/>
      <c r="CEJ156" s="53"/>
      <c r="CEK156" s="54"/>
      <c r="CEL156" s="52"/>
      <c r="CEM156" s="53"/>
      <c r="CEN156" s="8"/>
      <c r="CEO156" s="45"/>
      <c r="CEP156" s="45"/>
      <c r="CEQ156" s="46"/>
      <c r="CER156" s="44"/>
      <c r="CES156" s="7"/>
      <c r="CET156" s="51"/>
      <c r="CEU156" s="52"/>
      <c r="CEV156" s="53"/>
      <c r="CEW156" s="54"/>
      <c r="CEX156" s="52"/>
      <c r="CEY156" s="53"/>
      <c r="CEZ156" s="54"/>
      <c r="CFA156" s="52"/>
      <c r="CFB156" s="53"/>
      <c r="CFC156" s="8"/>
      <c r="CFD156" s="45"/>
      <c r="CFE156" s="45"/>
      <c r="CFF156" s="46"/>
      <c r="CFG156" s="44"/>
      <c r="CFH156" s="7"/>
      <c r="CFI156" s="51"/>
      <c r="CFJ156" s="52"/>
      <c r="CFK156" s="53"/>
      <c r="CFL156" s="54"/>
      <c r="CFM156" s="52"/>
      <c r="CFN156" s="53"/>
      <c r="CFO156" s="54"/>
      <c r="CFP156" s="52"/>
      <c r="CFQ156" s="53"/>
      <c r="CFR156" s="8"/>
      <c r="CFS156" s="45"/>
      <c r="CFT156" s="45"/>
      <c r="CFU156" s="46"/>
      <c r="CFV156" s="44"/>
      <c r="CFW156" s="7"/>
      <c r="CFX156" s="51"/>
      <c r="CFY156" s="52"/>
      <c r="CFZ156" s="53"/>
      <c r="CGA156" s="54"/>
      <c r="CGB156" s="52"/>
      <c r="CGC156" s="53"/>
      <c r="CGD156" s="54"/>
      <c r="CGE156" s="52"/>
      <c r="CGF156" s="53"/>
      <c r="CGG156" s="8"/>
      <c r="CGH156" s="45"/>
      <c r="CGI156" s="45"/>
      <c r="CGJ156" s="46"/>
      <c r="CGK156" s="44"/>
      <c r="CGL156" s="7"/>
      <c r="CGM156" s="51"/>
      <c r="CGN156" s="52"/>
      <c r="CGO156" s="53"/>
      <c r="CGP156" s="54"/>
      <c r="CGQ156" s="52"/>
      <c r="CGR156" s="53"/>
      <c r="CGS156" s="54"/>
      <c r="CGT156" s="52"/>
      <c r="CGU156" s="53"/>
      <c r="CGV156" s="8"/>
      <c r="CGW156" s="45"/>
      <c r="CGX156" s="45"/>
      <c r="CGY156" s="46"/>
      <c r="CGZ156" s="44"/>
      <c r="CHA156" s="7"/>
      <c r="CHB156" s="51"/>
      <c r="CHC156" s="52"/>
      <c r="CHD156" s="53"/>
      <c r="CHE156" s="54"/>
      <c r="CHF156" s="52"/>
      <c r="CHG156" s="53"/>
      <c r="CHH156" s="54"/>
      <c r="CHI156" s="52"/>
      <c r="CHJ156" s="53"/>
      <c r="CHK156" s="8"/>
      <c r="CHL156" s="45"/>
      <c r="CHM156" s="45"/>
      <c r="CHN156" s="46"/>
      <c r="CHO156" s="44"/>
      <c r="CHP156" s="7"/>
      <c r="CHQ156" s="51"/>
      <c r="CHR156" s="52"/>
      <c r="CHS156" s="53"/>
      <c r="CHT156" s="54"/>
      <c r="CHU156" s="52"/>
      <c r="CHV156" s="53"/>
      <c r="CHW156" s="54"/>
      <c r="CHX156" s="52"/>
      <c r="CHY156" s="53"/>
      <c r="CHZ156" s="8"/>
      <c r="CIA156" s="45"/>
      <c r="CIB156" s="45"/>
      <c r="CIC156" s="46"/>
      <c r="CID156" s="44"/>
      <c r="CIE156" s="7"/>
      <c r="CIF156" s="51"/>
      <c r="CIG156" s="52"/>
      <c r="CIH156" s="53"/>
      <c r="CII156" s="54"/>
      <c r="CIJ156" s="52"/>
      <c r="CIK156" s="53"/>
      <c r="CIL156" s="54"/>
      <c r="CIM156" s="52"/>
      <c r="CIN156" s="53"/>
      <c r="CIO156" s="8"/>
      <c r="CIP156" s="45"/>
      <c r="CIQ156" s="45"/>
      <c r="CIR156" s="46"/>
      <c r="CIS156" s="44"/>
      <c r="CIT156" s="7"/>
      <c r="CIU156" s="51"/>
      <c r="CIV156" s="52"/>
      <c r="CIW156" s="53"/>
      <c r="CIX156" s="54"/>
      <c r="CIY156" s="52"/>
      <c r="CIZ156" s="53"/>
      <c r="CJA156" s="54"/>
      <c r="CJB156" s="52"/>
      <c r="CJC156" s="53"/>
      <c r="CJD156" s="8"/>
      <c r="CJE156" s="45"/>
      <c r="CJF156" s="45"/>
      <c r="CJG156" s="46"/>
      <c r="CJH156" s="44"/>
      <c r="CJI156" s="7"/>
      <c r="CJJ156" s="51"/>
      <c r="CJK156" s="52"/>
      <c r="CJL156" s="53"/>
      <c r="CJM156" s="54"/>
      <c r="CJN156" s="52"/>
      <c r="CJO156" s="53"/>
      <c r="CJP156" s="54"/>
      <c r="CJQ156" s="52"/>
      <c r="CJR156" s="53"/>
      <c r="CJS156" s="8"/>
      <c r="CJT156" s="45"/>
      <c r="CJU156" s="45"/>
      <c r="CJV156" s="46"/>
      <c r="CJW156" s="44"/>
      <c r="CJX156" s="7"/>
      <c r="CJY156" s="51"/>
      <c r="CJZ156" s="52"/>
      <c r="CKA156" s="53"/>
      <c r="CKB156" s="54"/>
      <c r="CKC156" s="52"/>
      <c r="CKD156" s="53"/>
      <c r="CKE156" s="54"/>
      <c r="CKF156" s="52"/>
      <c r="CKG156" s="53"/>
      <c r="CKH156" s="8"/>
      <c r="CKI156" s="45"/>
      <c r="CKJ156" s="45"/>
      <c r="CKK156" s="46"/>
      <c r="CKL156" s="44"/>
      <c r="CKM156" s="7"/>
      <c r="CKN156" s="51"/>
      <c r="CKO156" s="52"/>
      <c r="CKP156" s="53"/>
      <c r="CKQ156" s="54"/>
      <c r="CKR156" s="52"/>
      <c r="CKS156" s="53"/>
      <c r="CKT156" s="54"/>
      <c r="CKU156" s="52"/>
      <c r="CKV156" s="53"/>
      <c r="CKW156" s="8"/>
      <c r="CKX156" s="45"/>
      <c r="CKY156" s="45"/>
      <c r="CKZ156" s="46"/>
      <c r="CLA156" s="44"/>
      <c r="CLB156" s="7"/>
      <c r="CLC156" s="51"/>
      <c r="CLD156" s="52"/>
      <c r="CLE156" s="53"/>
      <c r="CLF156" s="54"/>
      <c r="CLG156" s="52"/>
      <c r="CLH156" s="53"/>
      <c r="CLI156" s="54"/>
      <c r="CLJ156" s="52"/>
      <c r="CLK156" s="53"/>
      <c r="CLL156" s="8"/>
      <c r="CLM156" s="45"/>
      <c r="CLN156" s="45"/>
      <c r="CLO156" s="46"/>
      <c r="CLP156" s="44"/>
      <c r="CLQ156" s="7"/>
      <c r="CLR156" s="51"/>
      <c r="CLS156" s="52"/>
      <c r="CLT156" s="53"/>
      <c r="CLU156" s="54"/>
      <c r="CLV156" s="52"/>
      <c r="CLW156" s="53"/>
      <c r="CLX156" s="54"/>
      <c r="CLY156" s="52"/>
      <c r="CLZ156" s="53"/>
      <c r="CMA156" s="8"/>
      <c r="CMB156" s="45"/>
      <c r="CMC156" s="45"/>
      <c r="CMD156" s="46"/>
      <c r="CME156" s="44"/>
      <c r="CMF156" s="7"/>
      <c r="CMG156" s="51"/>
      <c r="CMH156" s="52"/>
      <c r="CMI156" s="53"/>
      <c r="CMJ156" s="54"/>
      <c r="CMK156" s="52"/>
      <c r="CML156" s="53"/>
      <c r="CMM156" s="54"/>
      <c r="CMN156" s="52"/>
      <c r="CMO156" s="53"/>
      <c r="CMP156" s="8"/>
      <c r="CMQ156" s="45"/>
      <c r="CMR156" s="45"/>
      <c r="CMS156" s="46"/>
      <c r="CMT156" s="44"/>
      <c r="CMU156" s="7"/>
      <c r="CMV156" s="51"/>
      <c r="CMW156" s="52"/>
      <c r="CMX156" s="53"/>
      <c r="CMY156" s="54"/>
      <c r="CMZ156" s="52"/>
      <c r="CNA156" s="53"/>
      <c r="CNB156" s="54"/>
      <c r="CNC156" s="52"/>
      <c r="CND156" s="53"/>
      <c r="CNE156" s="8"/>
      <c r="CNF156" s="45"/>
      <c r="CNG156" s="45"/>
      <c r="CNH156" s="46"/>
      <c r="CNI156" s="44"/>
      <c r="CNJ156" s="7"/>
      <c r="CNK156" s="51"/>
      <c r="CNL156" s="52"/>
      <c r="CNM156" s="53"/>
      <c r="CNN156" s="54"/>
      <c r="CNO156" s="52"/>
      <c r="CNP156" s="53"/>
      <c r="CNQ156" s="54"/>
      <c r="CNR156" s="52"/>
      <c r="CNS156" s="53"/>
      <c r="CNT156" s="8"/>
      <c r="CNU156" s="45"/>
      <c r="CNV156" s="45"/>
      <c r="CNW156" s="46"/>
      <c r="CNX156" s="44"/>
      <c r="CNY156" s="7"/>
      <c r="CNZ156" s="51"/>
      <c r="COA156" s="52"/>
      <c r="COB156" s="53"/>
      <c r="COC156" s="54"/>
      <c r="COD156" s="52"/>
      <c r="COE156" s="53"/>
      <c r="COF156" s="54"/>
      <c r="COG156" s="52"/>
      <c r="COH156" s="53"/>
      <c r="COI156" s="8"/>
      <c r="COJ156" s="45"/>
      <c r="COK156" s="45"/>
      <c r="COL156" s="46"/>
      <c r="COM156" s="44"/>
      <c r="CON156" s="7"/>
      <c r="COO156" s="51"/>
      <c r="COP156" s="52"/>
      <c r="COQ156" s="53"/>
      <c r="COR156" s="54"/>
      <c r="COS156" s="52"/>
      <c r="COT156" s="53"/>
      <c r="COU156" s="54"/>
      <c r="COV156" s="52"/>
      <c r="COW156" s="53"/>
      <c r="COX156" s="8"/>
      <c r="COY156" s="45"/>
      <c r="COZ156" s="45"/>
      <c r="CPA156" s="46"/>
      <c r="CPB156" s="44"/>
      <c r="CPC156" s="7"/>
      <c r="CPD156" s="51"/>
      <c r="CPE156" s="52"/>
      <c r="CPF156" s="53"/>
      <c r="CPG156" s="54"/>
      <c r="CPH156" s="52"/>
      <c r="CPI156" s="53"/>
      <c r="CPJ156" s="54"/>
      <c r="CPK156" s="52"/>
      <c r="CPL156" s="53"/>
      <c r="CPM156" s="8"/>
      <c r="CPN156" s="45"/>
      <c r="CPO156" s="45"/>
      <c r="CPP156" s="46"/>
      <c r="CPQ156" s="44"/>
      <c r="CPR156" s="7"/>
      <c r="CPS156" s="51"/>
      <c r="CPT156" s="52"/>
      <c r="CPU156" s="53"/>
      <c r="CPV156" s="54"/>
      <c r="CPW156" s="52"/>
      <c r="CPX156" s="53"/>
      <c r="CPY156" s="54"/>
      <c r="CPZ156" s="52"/>
      <c r="CQA156" s="53"/>
      <c r="CQB156" s="8"/>
      <c r="CQC156" s="45"/>
      <c r="CQD156" s="45"/>
      <c r="CQE156" s="46"/>
      <c r="CQF156" s="44"/>
      <c r="CQG156" s="7"/>
      <c r="CQH156" s="51"/>
      <c r="CQI156" s="52"/>
      <c r="CQJ156" s="53"/>
      <c r="CQK156" s="54"/>
      <c r="CQL156" s="52"/>
      <c r="CQM156" s="53"/>
      <c r="CQN156" s="54"/>
      <c r="CQO156" s="52"/>
      <c r="CQP156" s="53"/>
      <c r="CQQ156" s="8"/>
      <c r="CQR156" s="45"/>
      <c r="CQS156" s="45"/>
      <c r="CQT156" s="46"/>
      <c r="CQU156" s="44"/>
      <c r="CQV156" s="7"/>
      <c r="CQW156" s="51"/>
      <c r="CQX156" s="52"/>
      <c r="CQY156" s="53"/>
      <c r="CQZ156" s="54"/>
      <c r="CRA156" s="52"/>
      <c r="CRB156" s="53"/>
      <c r="CRC156" s="54"/>
      <c r="CRD156" s="52"/>
      <c r="CRE156" s="53"/>
      <c r="CRF156" s="8"/>
      <c r="CRG156" s="45"/>
      <c r="CRH156" s="45"/>
      <c r="CRI156" s="46"/>
      <c r="CRJ156" s="44"/>
      <c r="CRK156" s="7"/>
      <c r="CRL156" s="51"/>
      <c r="CRM156" s="52"/>
      <c r="CRN156" s="53"/>
      <c r="CRO156" s="54"/>
      <c r="CRP156" s="52"/>
      <c r="CRQ156" s="53"/>
      <c r="CRR156" s="54"/>
      <c r="CRS156" s="52"/>
      <c r="CRT156" s="53"/>
      <c r="CRU156" s="8"/>
      <c r="CRV156" s="45"/>
      <c r="CRW156" s="45"/>
      <c r="CRX156" s="46"/>
      <c r="CRY156" s="44"/>
      <c r="CRZ156" s="7"/>
      <c r="CSA156" s="51"/>
      <c r="CSB156" s="52"/>
      <c r="CSC156" s="53"/>
      <c r="CSD156" s="54"/>
      <c r="CSE156" s="52"/>
      <c r="CSF156" s="53"/>
      <c r="CSG156" s="54"/>
      <c r="CSH156" s="52"/>
      <c r="CSI156" s="53"/>
      <c r="CSJ156" s="8"/>
      <c r="CSK156" s="45"/>
      <c r="CSL156" s="45"/>
      <c r="CSM156" s="46"/>
      <c r="CSN156" s="44"/>
      <c r="CSO156" s="7"/>
      <c r="CSP156" s="51"/>
      <c r="CSQ156" s="52"/>
      <c r="CSR156" s="53"/>
      <c r="CSS156" s="54"/>
      <c r="CST156" s="52"/>
      <c r="CSU156" s="53"/>
      <c r="CSV156" s="54"/>
      <c r="CSW156" s="52"/>
      <c r="CSX156" s="53"/>
      <c r="CSY156" s="8"/>
      <c r="CSZ156" s="45"/>
      <c r="CTA156" s="45"/>
      <c r="CTB156" s="46"/>
      <c r="CTC156" s="44"/>
      <c r="CTD156" s="7"/>
      <c r="CTE156" s="51"/>
      <c r="CTF156" s="52"/>
      <c r="CTG156" s="53"/>
      <c r="CTH156" s="54"/>
      <c r="CTI156" s="52"/>
      <c r="CTJ156" s="53"/>
      <c r="CTK156" s="54"/>
      <c r="CTL156" s="52"/>
      <c r="CTM156" s="53"/>
      <c r="CTN156" s="8"/>
      <c r="CTO156" s="45"/>
      <c r="CTP156" s="45"/>
      <c r="CTQ156" s="46"/>
      <c r="CTR156" s="44"/>
      <c r="CTS156" s="7"/>
      <c r="CTT156" s="51"/>
      <c r="CTU156" s="52"/>
      <c r="CTV156" s="53"/>
      <c r="CTW156" s="54"/>
      <c r="CTX156" s="52"/>
      <c r="CTY156" s="53"/>
      <c r="CTZ156" s="54"/>
      <c r="CUA156" s="52"/>
      <c r="CUB156" s="53"/>
      <c r="CUC156" s="8"/>
      <c r="CUD156" s="45"/>
      <c r="CUE156" s="45"/>
      <c r="CUF156" s="46"/>
      <c r="CUG156" s="44"/>
      <c r="CUH156" s="7"/>
      <c r="CUI156" s="51"/>
      <c r="CUJ156" s="52"/>
      <c r="CUK156" s="53"/>
      <c r="CUL156" s="54"/>
      <c r="CUM156" s="52"/>
      <c r="CUN156" s="53"/>
      <c r="CUO156" s="54"/>
      <c r="CUP156" s="52"/>
      <c r="CUQ156" s="53"/>
      <c r="CUR156" s="8"/>
      <c r="CUS156" s="45"/>
      <c r="CUT156" s="45"/>
      <c r="CUU156" s="46"/>
      <c r="CUV156" s="44"/>
      <c r="CUW156" s="7"/>
      <c r="CUX156" s="51"/>
      <c r="CUY156" s="52"/>
      <c r="CUZ156" s="53"/>
      <c r="CVA156" s="54"/>
      <c r="CVB156" s="52"/>
      <c r="CVC156" s="53"/>
      <c r="CVD156" s="54"/>
      <c r="CVE156" s="52"/>
      <c r="CVF156" s="53"/>
      <c r="CVG156" s="8"/>
      <c r="CVH156" s="45"/>
      <c r="CVI156" s="45"/>
      <c r="CVJ156" s="46"/>
      <c r="CVK156" s="44"/>
      <c r="CVL156" s="7"/>
      <c r="CVM156" s="51"/>
      <c r="CVN156" s="52"/>
      <c r="CVO156" s="53"/>
      <c r="CVP156" s="54"/>
      <c r="CVQ156" s="52"/>
      <c r="CVR156" s="53"/>
      <c r="CVS156" s="54"/>
      <c r="CVT156" s="52"/>
      <c r="CVU156" s="53"/>
      <c r="CVV156" s="8"/>
      <c r="CVW156" s="45"/>
      <c r="CVX156" s="45"/>
      <c r="CVY156" s="46"/>
      <c r="CVZ156" s="44"/>
      <c r="CWA156" s="7"/>
      <c r="CWB156" s="51"/>
      <c r="CWC156" s="52"/>
      <c r="CWD156" s="53"/>
      <c r="CWE156" s="54"/>
      <c r="CWF156" s="52"/>
      <c r="CWG156" s="53"/>
      <c r="CWH156" s="54"/>
      <c r="CWI156" s="52"/>
      <c r="CWJ156" s="53"/>
      <c r="CWK156" s="8"/>
      <c r="CWL156" s="45"/>
      <c r="CWM156" s="45"/>
      <c r="CWN156" s="46"/>
      <c r="CWO156" s="44"/>
      <c r="CWP156" s="7"/>
      <c r="CWQ156" s="51"/>
      <c r="CWR156" s="52"/>
      <c r="CWS156" s="53"/>
      <c r="CWT156" s="54"/>
      <c r="CWU156" s="52"/>
      <c r="CWV156" s="53"/>
      <c r="CWW156" s="54"/>
      <c r="CWX156" s="52"/>
      <c r="CWY156" s="53"/>
      <c r="CWZ156" s="8"/>
      <c r="CXA156" s="45"/>
      <c r="CXB156" s="45"/>
      <c r="CXC156" s="46"/>
      <c r="CXD156" s="44"/>
      <c r="CXE156" s="7"/>
      <c r="CXF156" s="51"/>
      <c r="CXG156" s="52"/>
      <c r="CXH156" s="53"/>
      <c r="CXI156" s="54"/>
      <c r="CXJ156" s="52"/>
      <c r="CXK156" s="53"/>
      <c r="CXL156" s="54"/>
      <c r="CXM156" s="52"/>
      <c r="CXN156" s="53"/>
      <c r="CXO156" s="8"/>
      <c r="CXP156" s="45"/>
      <c r="CXQ156" s="45"/>
      <c r="CXR156" s="46"/>
      <c r="CXS156" s="44"/>
      <c r="CXT156" s="7"/>
      <c r="CXU156" s="51"/>
      <c r="CXV156" s="52"/>
      <c r="CXW156" s="53"/>
      <c r="CXX156" s="54"/>
      <c r="CXY156" s="52"/>
      <c r="CXZ156" s="53"/>
      <c r="CYA156" s="54"/>
      <c r="CYB156" s="52"/>
      <c r="CYC156" s="53"/>
      <c r="CYD156" s="8"/>
      <c r="CYE156" s="45"/>
      <c r="CYF156" s="45"/>
      <c r="CYG156" s="46"/>
      <c r="CYH156" s="44"/>
      <c r="CYI156" s="7"/>
      <c r="CYJ156" s="51"/>
      <c r="CYK156" s="52"/>
      <c r="CYL156" s="53"/>
      <c r="CYM156" s="54"/>
      <c r="CYN156" s="52"/>
      <c r="CYO156" s="53"/>
      <c r="CYP156" s="54"/>
      <c r="CYQ156" s="52"/>
      <c r="CYR156" s="53"/>
      <c r="CYS156" s="8"/>
      <c r="CYT156" s="45"/>
      <c r="CYU156" s="45"/>
      <c r="CYV156" s="46"/>
      <c r="CYW156" s="44"/>
      <c r="CYX156" s="7"/>
      <c r="CYY156" s="51"/>
      <c r="CYZ156" s="52"/>
      <c r="CZA156" s="53"/>
      <c r="CZB156" s="54"/>
      <c r="CZC156" s="52"/>
      <c r="CZD156" s="53"/>
      <c r="CZE156" s="54"/>
      <c r="CZF156" s="52"/>
      <c r="CZG156" s="53"/>
      <c r="CZH156" s="8"/>
      <c r="CZI156" s="45"/>
      <c r="CZJ156" s="45"/>
      <c r="CZK156" s="46"/>
      <c r="CZL156" s="44"/>
      <c r="CZM156" s="7"/>
      <c r="CZN156" s="51"/>
      <c r="CZO156" s="52"/>
      <c r="CZP156" s="53"/>
      <c r="CZQ156" s="54"/>
      <c r="CZR156" s="52"/>
      <c r="CZS156" s="53"/>
      <c r="CZT156" s="54"/>
      <c r="CZU156" s="52"/>
      <c r="CZV156" s="53"/>
      <c r="CZW156" s="8"/>
      <c r="CZX156" s="45"/>
      <c r="CZY156" s="45"/>
      <c r="CZZ156" s="46"/>
      <c r="DAA156" s="44"/>
      <c r="DAB156" s="7"/>
      <c r="DAC156" s="51"/>
      <c r="DAD156" s="52"/>
      <c r="DAE156" s="53"/>
      <c r="DAF156" s="54"/>
      <c r="DAG156" s="52"/>
      <c r="DAH156" s="53"/>
      <c r="DAI156" s="54"/>
      <c r="DAJ156" s="52"/>
      <c r="DAK156" s="53"/>
      <c r="DAL156" s="8"/>
      <c r="DAM156" s="45"/>
      <c r="DAN156" s="45"/>
      <c r="DAO156" s="46"/>
      <c r="DAP156" s="44"/>
      <c r="DAQ156" s="7"/>
      <c r="DAR156" s="51"/>
      <c r="DAS156" s="52"/>
      <c r="DAT156" s="53"/>
      <c r="DAU156" s="54"/>
      <c r="DAV156" s="52"/>
      <c r="DAW156" s="53"/>
      <c r="DAX156" s="54"/>
      <c r="DAY156" s="52"/>
      <c r="DAZ156" s="53"/>
      <c r="DBA156" s="8"/>
      <c r="DBB156" s="45"/>
      <c r="DBC156" s="45"/>
      <c r="DBD156" s="46"/>
      <c r="DBE156" s="44"/>
      <c r="DBF156" s="7"/>
      <c r="DBG156" s="51"/>
      <c r="DBH156" s="52"/>
      <c r="DBI156" s="53"/>
      <c r="DBJ156" s="54"/>
      <c r="DBK156" s="52"/>
      <c r="DBL156" s="53"/>
      <c r="DBM156" s="54"/>
      <c r="DBN156" s="52"/>
      <c r="DBO156" s="53"/>
      <c r="DBP156" s="8"/>
      <c r="DBQ156" s="45"/>
      <c r="DBR156" s="45"/>
      <c r="DBS156" s="46"/>
      <c r="DBT156" s="44"/>
      <c r="DBU156" s="7"/>
      <c r="DBV156" s="51"/>
      <c r="DBW156" s="52"/>
      <c r="DBX156" s="53"/>
      <c r="DBY156" s="54"/>
      <c r="DBZ156" s="52"/>
      <c r="DCA156" s="53"/>
      <c r="DCB156" s="54"/>
      <c r="DCC156" s="52"/>
      <c r="DCD156" s="53"/>
      <c r="DCE156" s="8"/>
      <c r="DCF156" s="45"/>
      <c r="DCG156" s="45"/>
      <c r="DCH156" s="46"/>
      <c r="DCI156" s="44"/>
      <c r="DCJ156" s="7"/>
      <c r="DCK156" s="51"/>
      <c r="DCL156" s="52"/>
      <c r="DCM156" s="53"/>
      <c r="DCN156" s="54"/>
      <c r="DCO156" s="52"/>
      <c r="DCP156" s="53"/>
      <c r="DCQ156" s="54"/>
      <c r="DCR156" s="52"/>
      <c r="DCS156" s="53"/>
      <c r="DCT156" s="8"/>
      <c r="DCU156" s="45"/>
      <c r="DCV156" s="45"/>
      <c r="DCW156" s="46"/>
      <c r="DCX156" s="44"/>
      <c r="DCY156" s="7"/>
      <c r="DCZ156" s="51"/>
      <c r="DDA156" s="52"/>
      <c r="DDB156" s="53"/>
      <c r="DDC156" s="54"/>
      <c r="DDD156" s="52"/>
      <c r="DDE156" s="53"/>
      <c r="DDF156" s="54"/>
      <c r="DDG156" s="52"/>
      <c r="DDH156" s="53"/>
      <c r="DDI156" s="8"/>
      <c r="DDJ156" s="45"/>
      <c r="DDK156" s="45"/>
      <c r="DDL156" s="46"/>
      <c r="DDM156" s="44"/>
      <c r="DDN156" s="7"/>
      <c r="DDO156" s="51"/>
      <c r="DDP156" s="52"/>
      <c r="DDQ156" s="53"/>
      <c r="DDR156" s="54"/>
      <c r="DDS156" s="52"/>
      <c r="DDT156" s="53"/>
      <c r="DDU156" s="54"/>
      <c r="DDV156" s="52"/>
      <c r="DDW156" s="53"/>
      <c r="DDX156" s="8"/>
      <c r="DDY156" s="45"/>
      <c r="DDZ156" s="45"/>
      <c r="DEA156" s="46"/>
      <c r="DEB156" s="44"/>
      <c r="DEC156" s="7"/>
      <c r="DED156" s="51"/>
      <c r="DEE156" s="52"/>
      <c r="DEF156" s="53"/>
      <c r="DEG156" s="54"/>
      <c r="DEH156" s="52"/>
      <c r="DEI156" s="53"/>
      <c r="DEJ156" s="54"/>
      <c r="DEK156" s="52"/>
      <c r="DEL156" s="53"/>
      <c r="DEM156" s="8"/>
      <c r="DEN156" s="45"/>
      <c r="DEO156" s="45"/>
      <c r="DEP156" s="46"/>
      <c r="DEQ156" s="44"/>
      <c r="DER156" s="7"/>
      <c r="DES156" s="51"/>
      <c r="DET156" s="52"/>
      <c r="DEU156" s="53"/>
      <c r="DEV156" s="54"/>
      <c r="DEW156" s="52"/>
      <c r="DEX156" s="53"/>
      <c r="DEY156" s="54"/>
      <c r="DEZ156" s="52"/>
      <c r="DFA156" s="53"/>
      <c r="DFB156" s="8"/>
      <c r="DFC156" s="45"/>
      <c r="DFD156" s="45"/>
      <c r="DFE156" s="46"/>
      <c r="DFF156" s="44"/>
      <c r="DFG156" s="7"/>
      <c r="DFH156" s="51"/>
      <c r="DFI156" s="52"/>
      <c r="DFJ156" s="53"/>
      <c r="DFK156" s="54"/>
      <c r="DFL156" s="52"/>
      <c r="DFM156" s="53"/>
      <c r="DFN156" s="54"/>
      <c r="DFO156" s="52"/>
      <c r="DFP156" s="53"/>
      <c r="DFQ156" s="8"/>
      <c r="DFR156" s="45"/>
      <c r="DFS156" s="45"/>
      <c r="DFT156" s="46"/>
      <c r="DFU156" s="44"/>
      <c r="DFV156" s="7"/>
      <c r="DFW156" s="51"/>
      <c r="DFX156" s="52"/>
      <c r="DFY156" s="53"/>
      <c r="DFZ156" s="54"/>
      <c r="DGA156" s="52"/>
      <c r="DGB156" s="53"/>
      <c r="DGC156" s="54"/>
      <c r="DGD156" s="52"/>
      <c r="DGE156" s="53"/>
      <c r="DGF156" s="8"/>
      <c r="DGG156" s="45"/>
      <c r="DGH156" s="45"/>
      <c r="DGI156" s="46"/>
      <c r="DGJ156" s="44"/>
      <c r="DGK156" s="7"/>
      <c r="DGL156" s="51"/>
      <c r="DGM156" s="52"/>
      <c r="DGN156" s="53"/>
      <c r="DGO156" s="54"/>
      <c r="DGP156" s="52"/>
      <c r="DGQ156" s="53"/>
      <c r="DGR156" s="54"/>
      <c r="DGS156" s="52"/>
      <c r="DGT156" s="53"/>
      <c r="DGU156" s="8"/>
      <c r="DGV156" s="45"/>
      <c r="DGW156" s="45"/>
      <c r="DGX156" s="46"/>
      <c r="DGY156" s="44"/>
      <c r="DGZ156" s="7"/>
      <c r="DHA156" s="51"/>
      <c r="DHB156" s="52"/>
      <c r="DHC156" s="53"/>
      <c r="DHD156" s="54"/>
      <c r="DHE156" s="52"/>
      <c r="DHF156" s="53"/>
      <c r="DHG156" s="54"/>
      <c r="DHH156" s="52"/>
      <c r="DHI156" s="53"/>
      <c r="DHJ156" s="8"/>
      <c r="DHK156" s="45"/>
      <c r="DHL156" s="45"/>
      <c r="DHM156" s="46"/>
      <c r="DHN156" s="44"/>
      <c r="DHO156" s="7"/>
      <c r="DHP156" s="51"/>
      <c r="DHQ156" s="52"/>
      <c r="DHR156" s="53"/>
      <c r="DHS156" s="54"/>
      <c r="DHT156" s="52"/>
      <c r="DHU156" s="53"/>
      <c r="DHV156" s="54"/>
      <c r="DHW156" s="52"/>
      <c r="DHX156" s="53"/>
      <c r="DHY156" s="8"/>
      <c r="DHZ156" s="45"/>
      <c r="DIA156" s="45"/>
      <c r="DIB156" s="46"/>
      <c r="DIC156" s="44"/>
      <c r="DID156" s="7"/>
      <c r="DIE156" s="51"/>
      <c r="DIF156" s="52"/>
      <c r="DIG156" s="53"/>
      <c r="DIH156" s="54"/>
      <c r="DII156" s="52"/>
      <c r="DIJ156" s="53"/>
      <c r="DIK156" s="54"/>
      <c r="DIL156" s="52"/>
      <c r="DIM156" s="53"/>
      <c r="DIN156" s="8"/>
      <c r="DIO156" s="45"/>
      <c r="DIP156" s="45"/>
      <c r="DIQ156" s="46"/>
      <c r="DIR156" s="44"/>
      <c r="DIS156" s="7"/>
      <c r="DIT156" s="51"/>
      <c r="DIU156" s="52"/>
      <c r="DIV156" s="53"/>
      <c r="DIW156" s="54"/>
      <c r="DIX156" s="52"/>
      <c r="DIY156" s="53"/>
      <c r="DIZ156" s="54"/>
      <c r="DJA156" s="52"/>
      <c r="DJB156" s="53"/>
      <c r="DJC156" s="8"/>
      <c r="DJD156" s="45"/>
      <c r="DJE156" s="45"/>
      <c r="DJF156" s="46"/>
      <c r="DJG156" s="44"/>
      <c r="DJH156" s="7"/>
      <c r="DJI156" s="51"/>
      <c r="DJJ156" s="52"/>
      <c r="DJK156" s="53"/>
      <c r="DJL156" s="54"/>
      <c r="DJM156" s="52"/>
      <c r="DJN156" s="53"/>
      <c r="DJO156" s="54"/>
      <c r="DJP156" s="52"/>
      <c r="DJQ156" s="53"/>
      <c r="DJR156" s="8"/>
      <c r="DJS156" s="45"/>
      <c r="DJT156" s="45"/>
      <c r="DJU156" s="46"/>
      <c r="DJV156" s="44"/>
      <c r="DJW156" s="7"/>
      <c r="DJX156" s="51"/>
      <c r="DJY156" s="52"/>
      <c r="DJZ156" s="53"/>
      <c r="DKA156" s="54"/>
      <c r="DKB156" s="52"/>
      <c r="DKC156" s="53"/>
      <c r="DKD156" s="54"/>
      <c r="DKE156" s="52"/>
      <c r="DKF156" s="53"/>
      <c r="DKG156" s="8"/>
      <c r="DKH156" s="45"/>
      <c r="DKI156" s="45"/>
      <c r="DKJ156" s="46"/>
      <c r="DKK156" s="44"/>
      <c r="DKL156" s="7"/>
      <c r="DKM156" s="51"/>
      <c r="DKN156" s="52"/>
      <c r="DKO156" s="53"/>
      <c r="DKP156" s="54"/>
      <c r="DKQ156" s="52"/>
      <c r="DKR156" s="53"/>
      <c r="DKS156" s="54"/>
      <c r="DKT156" s="52"/>
      <c r="DKU156" s="53"/>
      <c r="DKV156" s="8"/>
      <c r="DKW156" s="45"/>
      <c r="DKX156" s="45"/>
      <c r="DKY156" s="46"/>
      <c r="DKZ156" s="44"/>
      <c r="DLA156" s="7"/>
      <c r="DLB156" s="51"/>
      <c r="DLC156" s="52"/>
      <c r="DLD156" s="53"/>
      <c r="DLE156" s="54"/>
      <c r="DLF156" s="52"/>
      <c r="DLG156" s="53"/>
      <c r="DLH156" s="54"/>
      <c r="DLI156" s="52"/>
      <c r="DLJ156" s="53"/>
      <c r="DLK156" s="8"/>
      <c r="DLL156" s="45"/>
      <c r="DLM156" s="45"/>
      <c r="DLN156" s="46"/>
      <c r="DLO156" s="44"/>
      <c r="DLP156" s="7"/>
      <c r="DLQ156" s="51"/>
      <c r="DLR156" s="52"/>
      <c r="DLS156" s="53"/>
      <c r="DLT156" s="54"/>
      <c r="DLU156" s="52"/>
      <c r="DLV156" s="53"/>
      <c r="DLW156" s="54"/>
      <c r="DLX156" s="52"/>
      <c r="DLY156" s="53"/>
      <c r="DLZ156" s="8"/>
      <c r="DMA156" s="45"/>
      <c r="DMB156" s="45"/>
      <c r="DMC156" s="46"/>
      <c r="DMD156" s="44"/>
      <c r="DME156" s="7"/>
      <c r="DMF156" s="51"/>
      <c r="DMG156" s="52"/>
      <c r="DMH156" s="53"/>
      <c r="DMI156" s="54"/>
      <c r="DMJ156" s="52"/>
      <c r="DMK156" s="53"/>
      <c r="DML156" s="54"/>
      <c r="DMM156" s="52"/>
      <c r="DMN156" s="53"/>
      <c r="DMO156" s="8"/>
      <c r="DMP156" s="45"/>
      <c r="DMQ156" s="45"/>
      <c r="DMR156" s="46"/>
      <c r="DMS156" s="44"/>
      <c r="DMT156" s="7"/>
      <c r="DMU156" s="51"/>
      <c r="DMV156" s="52"/>
      <c r="DMW156" s="53"/>
      <c r="DMX156" s="54"/>
      <c r="DMY156" s="52"/>
      <c r="DMZ156" s="53"/>
      <c r="DNA156" s="54"/>
      <c r="DNB156" s="52"/>
      <c r="DNC156" s="53"/>
      <c r="DND156" s="8"/>
      <c r="DNE156" s="45"/>
      <c r="DNF156" s="45"/>
      <c r="DNG156" s="46"/>
      <c r="DNH156" s="44"/>
      <c r="DNI156" s="7"/>
      <c r="DNJ156" s="51"/>
      <c r="DNK156" s="52"/>
      <c r="DNL156" s="53"/>
      <c r="DNM156" s="54"/>
      <c r="DNN156" s="52"/>
      <c r="DNO156" s="53"/>
      <c r="DNP156" s="54"/>
      <c r="DNQ156" s="52"/>
      <c r="DNR156" s="53"/>
      <c r="DNS156" s="8"/>
      <c r="DNT156" s="45"/>
      <c r="DNU156" s="45"/>
      <c r="DNV156" s="46"/>
      <c r="DNW156" s="44"/>
      <c r="DNX156" s="7"/>
      <c r="DNY156" s="51"/>
      <c r="DNZ156" s="52"/>
      <c r="DOA156" s="53"/>
      <c r="DOB156" s="54"/>
      <c r="DOC156" s="52"/>
      <c r="DOD156" s="53"/>
      <c r="DOE156" s="54"/>
      <c r="DOF156" s="52"/>
      <c r="DOG156" s="53"/>
      <c r="DOH156" s="8"/>
      <c r="DOI156" s="45"/>
      <c r="DOJ156" s="45"/>
      <c r="DOK156" s="46"/>
      <c r="DOL156" s="44"/>
      <c r="DOM156" s="7"/>
      <c r="DON156" s="51"/>
      <c r="DOO156" s="52"/>
      <c r="DOP156" s="53"/>
      <c r="DOQ156" s="54"/>
      <c r="DOR156" s="52"/>
      <c r="DOS156" s="53"/>
      <c r="DOT156" s="54"/>
      <c r="DOU156" s="52"/>
      <c r="DOV156" s="53"/>
      <c r="DOW156" s="8"/>
      <c r="DOX156" s="45"/>
      <c r="DOY156" s="45"/>
      <c r="DOZ156" s="46"/>
      <c r="DPA156" s="44"/>
      <c r="DPB156" s="7"/>
      <c r="DPC156" s="51"/>
      <c r="DPD156" s="52"/>
      <c r="DPE156" s="53"/>
      <c r="DPF156" s="54"/>
      <c r="DPG156" s="52"/>
      <c r="DPH156" s="53"/>
      <c r="DPI156" s="54"/>
      <c r="DPJ156" s="52"/>
      <c r="DPK156" s="53"/>
      <c r="DPL156" s="8"/>
      <c r="DPM156" s="45"/>
      <c r="DPN156" s="45"/>
      <c r="DPO156" s="46"/>
      <c r="DPP156" s="44"/>
      <c r="DPQ156" s="7"/>
      <c r="DPR156" s="51"/>
      <c r="DPS156" s="52"/>
      <c r="DPT156" s="53"/>
      <c r="DPU156" s="54"/>
      <c r="DPV156" s="52"/>
      <c r="DPW156" s="53"/>
      <c r="DPX156" s="54"/>
      <c r="DPY156" s="52"/>
      <c r="DPZ156" s="53"/>
      <c r="DQA156" s="8"/>
      <c r="DQB156" s="45"/>
      <c r="DQC156" s="45"/>
      <c r="DQD156" s="46"/>
      <c r="DQE156" s="44"/>
      <c r="DQF156" s="7"/>
      <c r="DQG156" s="51"/>
      <c r="DQH156" s="52"/>
      <c r="DQI156" s="53"/>
      <c r="DQJ156" s="54"/>
      <c r="DQK156" s="52"/>
      <c r="DQL156" s="53"/>
      <c r="DQM156" s="54"/>
      <c r="DQN156" s="52"/>
      <c r="DQO156" s="53"/>
      <c r="DQP156" s="8"/>
      <c r="DQQ156" s="45"/>
      <c r="DQR156" s="45"/>
      <c r="DQS156" s="46"/>
      <c r="DQT156" s="44"/>
      <c r="DQU156" s="7"/>
      <c r="DQV156" s="51"/>
      <c r="DQW156" s="52"/>
      <c r="DQX156" s="53"/>
      <c r="DQY156" s="54"/>
      <c r="DQZ156" s="52"/>
      <c r="DRA156" s="53"/>
      <c r="DRB156" s="54"/>
      <c r="DRC156" s="52"/>
      <c r="DRD156" s="53"/>
      <c r="DRE156" s="8"/>
      <c r="DRF156" s="45"/>
      <c r="DRG156" s="45"/>
      <c r="DRH156" s="46"/>
      <c r="DRI156" s="44"/>
      <c r="DRJ156" s="7"/>
      <c r="DRK156" s="51"/>
      <c r="DRL156" s="52"/>
      <c r="DRM156" s="53"/>
      <c r="DRN156" s="54"/>
      <c r="DRO156" s="52"/>
      <c r="DRP156" s="53"/>
      <c r="DRQ156" s="54"/>
      <c r="DRR156" s="52"/>
      <c r="DRS156" s="53"/>
      <c r="DRT156" s="8"/>
      <c r="DRU156" s="45"/>
      <c r="DRV156" s="45"/>
      <c r="DRW156" s="46"/>
      <c r="DRX156" s="44"/>
      <c r="DRY156" s="7"/>
      <c r="DRZ156" s="51"/>
      <c r="DSA156" s="52"/>
      <c r="DSB156" s="53"/>
      <c r="DSC156" s="54"/>
      <c r="DSD156" s="52"/>
      <c r="DSE156" s="53"/>
      <c r="DSF156" s="54"/>
      <c r="DSG156" s="52"/>
      <c r="DSH156" s="53"/>
      <c r="DSI156" s="8"/>
      <c r="DSJ156" s="45"/>
      <c r="DSK156" s="45"/>
      <c r="DSL156" s="46"/>
      <c r="DSM156" s="44"/>
      <c r="DSN156" s="7"/>
      <c r="DSO156" s="51"/>
      <c r="DSP156" s="52"/>
      <c r="DSQ156" s="53"/>
      <c r="DSR156" s="54"/>
      <c r="DSS156" s="52"/>
      <c r="DST156" s="53"/>
      <c r="DSU156" s="54"/>
      <c r="DSV156" s="52"/>
      <c r="DSW156" s="53"/>
      <c r="DSX156" s="8"/>
      <c r="DSY156" s="45"/>
      <c r="DSZ156" s="45"/>
      <c r="DTA156" s="46"/>
      <c r="DTB156" s="44"/>
      <c r="DTC156" s="7"/>
      <c r="DTD156" s="51"/>
      <c r="DTE156" s="52"/>
      <c r="DTF156" s="53"/>
      <c r="DTG156" s="54"/>
      <c r="DTH156" s="52"/>
      <c r="DTI156" s="53"/>
      <c r="DTJ156" s="54"/>
      <c r="DTK156" s="52"/>
      <c r="DTL156" s="53"/>
      <c r="DTM156" s="8"/>
      <c r="DTN156" s="45"/>
      <c r="DTO156" s="45"/>
      <c r="DTP156" s="46"/>
      <c r="DTQ156" s="44"/>
      <c r="DTR156" s="7"/>
      <c r="DTS156" s="51"/>
      <c r="DTT156" s="52"/>
      <c r="DTU156" s="53"/>
      <c r="DTV156" s="54"/>
      <c r="DTW156" s="52"/>
      <c r="DTX156" s="53"/>
      <c r="DTY156" s="54"/>
      <c r="DTZ156" s="52"/>
      <c r="DUA156" s="53"/>
      <c r="DUB156" s="8"/>
      <c r="DUC156" s="45"/>
      <c r="DUD156" s="45"/>
      <c r="DUE156" s="46"/>
      <c r="DUF156" s="44"/>
      <c r="DUG156" s="7"/>
      <c r="DUH156" s="51"/>
      <c r="DUI156" s="52"/>
      <c r="DUJ156" s="53"/>
      <c r="DUK156" s="54"/>
      <c r="DUL156" s="52"/>
      <c r="DUM156" s="53"/>
      <c r="DUN156" s="54"/>
      <c r="DUO156" s="52"/>
      <c r="DUP156" s="53"/>
      <c r="DUQ156" s="8"/>
      <c r="DUR156" s="45"/>
      <c r="DUS156" s="45"/>
      <c r="DUT156" s="46"/>
      <c r="DUU156" s="44"/>
      <c r="DUV156" s="7"/>
      <c r="DUW156" s="51"/>
      <c r="DUX156" s="52"/>
      <c r="DUY156" s="53"/>
      <c r="DUZ156" s="54"/>
      <c r="DVA156" s="52"/>
      <c r="DVB156" s="53"/>
      <c r="DVC156" s="54"/>
      <c r="DVD156" s="52"/>
      <c r="DVE156" s="53"/>
      <c r="DVF156" s="8"/>
      <c r="DVG156" s="45"/>
      <c r="DVH156" s="45"/>
      <c r="DVI156" s="46"/>
      <c r="DVJ156" s="44"/>
      <c r="DVK156" s="7"/>
      <c r="DVL156" s="51"/>
      <c r="DVM156" s="52"/>
      <c r="DVN156" s="53"/>
      <c r="DVO156" s="54"/>
      <c r="DVP156" s="52"/>
      <c r="DVQ156" s="53"/>
      <c r="DVR156" s="54"/>
      <c r="DVS156" s="52"/>
      <c r="DVT156" s="53"/>
      <c r="DVU156" s="8"/>
      <c r="DVV156" s="45"/>
      <c r="DVW156" s="45"/>
      <c r="DVX156" s="46"/>
      <c r="DVY156" s="44"/>
      <c r="DVZ156" s="7"/>
      <c r="DWA156" s="51"/>
      <c r="DWB156" s="52"/>
      <c r="DWC156" s="53"/>
      <c r="DWD156" s="54"/>
      <c r="DWE156" s="52"/>
      <c r="DWF156" s="53"/>
      <c r="DWG156" s="54"/>
      <c r="DWH156" s="52"/>
      <c r="DWI156" s="53"/>
      <c r="DWJ156" s="8"/>
      <c r="DWK156" s="45"/>
      <c r="DWL156" s="45"/>
      <c r="DWM156" s="46"/>
      <c r="DWN156" s="44"/>
      <c r="DWO156" s="7"/>
      <c r="DWP156" s="51"/>
      <c r="DWQ156" s="52"/>
      <c r="DWR156" s="53"/>
      <c r="DWS156" s="54"/>
      <c r="DWT156" s="52"/>
      <c r="DWU156" s="53"/>
      <c r="DWV156" s="54"/>
      <c r="DWW156" s="52"/>
      <c r="DWX156" s="53"/>
      <c r="DWY156" s="8"/>
      <c r="DWZ156" s="45"/>
      <c r="DXA156" s="45"/>
      <c r="DXB156" s="46"/>
      <c r="DXC156" s="44"/>
      <c r="DXD156" s="7"/>
      <c r="DXE156" s="51"/>
      <c r="DXF156" s="52"/>
      <c r="DXG156" s="53"/>
      <c r="DXH156" s="54"/>
      <c r="DXI156" s="52"/>
      <c r="DXJ156" s="53"/>
      <c r="DXK156" s="54"/>
      <c r="DXL156" s="52"/>
      <c r="DXM156" s="53"/>
      <c r="DXN156" s="8"/>
      <c r="DXO156" s="45"/>
      <c r="DXP156" s="45"/>
      <c r="DXQ156" s="46"/>
      <c r="DXR156" s="44"/>
      <c r="DXS156" s="7"/>
      <c r="DXT156" s="51"/>
      <c r="DXU156" s="52"/>
      <c r="DXV156" s="53"/>
      <c r="DXW156" s="54"/>
      <c r="DXX156" s="52"/>
      <c r="DXY156" s="53"/>
      <c r="DXZ156" s="54"/>
      <c r="DYA156" s="52"/>
      <c r="DYB156" s="53"/>
      <c r="DYC156" s="8"/>
      <c r="DYD156" s="45"/>
      <c r="DYE156" s="45"/>
      <c r="DYF156" s="46"/>
      <c r="DYG156" s="44"/>
      <c r="DYH156" s="7"/>
      <c r="DYI156" s="51"/>
      <c r="DYJ156" s="52"/>
      <c r="DYK156" s="53"/>
      <c r="DYL156" s="54"/>
      <c r="DYM156" s="52"/>
      <c r="DYN156" s="53"/>
      <c r="DYO156" s="54"/>
      <c r="DYP156" s="52"/>
      <c r="DYQ156" s="53"/>
      <c r="DYR156" s="8"/>
      <c r="DYS156" s="45"/>
      <c r="DYT156" s="45"/>
      <c r="DYU156" s="46"/>
      <c r="DYV156" s="44"/>
      <c r="DYW156" s="7"/>
      <c r="DYX156" s="51"/>
      <c r="DYY156" s="52"/>
      <c r="DYZ156" s="53"/>
      <c r="DZA156" s="54"/>
      <c r="DZB156" s="52"/>
      <c r="DZC156" s="53"/>
      <c r="DZD156" s="54"/>
      <c r="DZE156" s="52"/>
      <c r="DZF156" s="53"/>
      <c r="DZG156" s="8"/>
      <c r="DZH156" s="45"/>
      <c r="DZI156" s="45"/>
      <c r="DZJ156" s="46"/>
      <c r="DZK156" s="44"/>
      <c r="DZL156" s="7"/>
      <c r="DZM156" s="51"/>
      <c r="DZN156" s="52"/>
      <c r="DZO156" s="53"/>
      <c r="DZP156" s="54"/>
      <c r="DZQ156" s="52"/>
      <c r="DZR156" s="53"/>
      <c r="DZS156" s="54"/>
      <c r="DZT156" s="52"/>
      <c r="DZU156" s="53"/>
      <c r="DZV156" s="8"/>
      <c r="DZW156" s="45"/>
      <c r="DZX156" s="45"/>
      <c r="DZY156" s="46"/>
      <c r="DZZ156" s="44"/>
      <c r="EAA156" s="7"/>
      <c r="EAB156" s="51"/>
      <c r="EAC156" s="52"/>
      <c r="EAD156" s="53"/>
      <c r="EAE156" s="54"/>
      <c r="EAF156" s="52"/>
      <c r="EAG156" s="53"/>
      <c r="EAH156" s="54"/>
      <c r="EAI156" s="52"/>
      <c r="EAJ156" s="53"/>
      <c r="EAK156" s="8"/>
      <c r="EAL156" s="45"/>
      <c r="EAM156" s="45"/>
      <c r="EAN156" s="46"/>
      <c r="EAO156" s="44"/>
      <c r="EAP156" s="7"/>
      <c r="EAQ156" s="51"/>
      <c r="EAR156" s="52"/>
      <c r="EAS156" s="53"/>
      <c r="EAT156" s="54"/>
      <c r="EAU156" s="52"/>
      <c r="EAV156" s="53"/>
      <c r="EAW156" s="54"/>
      <c r="EAX156" s="52"/>
      <c r="EAY156" s="53"/>
      <c r="EAZ156" s="8"/>
      <c r="EBA156" s="45"/>
      <c r="EBB156" s="45"/>
      <c r="EBC156" s="46"/>
      <c r="EBD156" s="44"/>
      <c r="EBE156" s="7"/>
      <c r="EBF156" s="51"/>
      <c r="EBG156" s="52"/>
      <c r="EBH156" s="53"/>
      <c r="EBI156" s="54"/>
      <c r="EBJ156" s="52"/>
      <c r="EBK156" s="53"/>
      <c r="EBL156" s="54"/>
      <c r="EBM156" s="52"/>
      <c r="EBN156" s="53"/>
      <c r="EBO156" s="8"/>
      <c r="EBP156" s="45"/>
      <c r="EBQ156" s="45"/>
      <c r="EBR156" s="46"/>
      <c r="EBS156" s="44"/>
      <c r="EBT156" s="7"/>
      <c r="EBU156" s="51"/>
      <c r="EBV156" s="52"/>
      <c r="EBW156" s="53"/>
      <c r="EBX156" s="54"/>
      <c r="EBY156" s="52"/>
      <c r="EBZ156" s="53"/>
      <c r="ECA156" s="54"/>
      <c r="ECB156" s="52"/>
      <c r="ECC156" s="53"/>
      <c r="ECD156" s="8"/>
      <c r="ECE156" s="45"/>
      <c r="ECF156" s="45"/>
      <c r="ECG156" s="46"/>
      <c r="ECH156" s="44"/>
      <c r="ECI156" s="7"/>
      <c r="ECJ156" s="51"/>
      <c r="ECK156" s="52"/>
      <c r="ECL156" s="53"/>
      <c r="ECM156" s="54"/>
      <c r="ECN156" s="52"/>
      <c r="ECO156" s="53"/>
      <c r="ECP156" s="54"/>
      <c r="ECQ156" s="52"/>
      <c r="ECR156" s="53"/>
      <c r="ECS156" s="8"/>
      <c r="ECT156" s="45"/>
      <c r="ECU156" s="45"/>
      <c r="ECV156" s="46"/>
      <c r="ECW156" s="44"/>
      <c r="ECX156" s="7"/>
      <c r="ECY156" s="51"/>
      <c r="ECZ156" s="52"/>
      <c r="EDA156" s="53"/>
      <c r="EDB156" s="54"/>
      <c r="EDC156" s="52"/>
      <c r="EDD156" s="53"/>
      <c r="EDE156" s="54"/>
      <c r="EDF156" s="52"/>
      <c r="EDG156" s="53"/>
      <c r="EDH156" s="8"/>
      <c r="EDI156" s="45"/>
      <c r="EDJ156" s="45"/>
      <c r="EDK156" s="46"/>
      <c r="EDL156" s="44"/>
      <c r="EDM156" s="7"/>
      <c r="EDN156" s="51"/>
      <c r="EDO156" s="52"/>
      <c r="EDP156" s="53"/>
      <c r="EDQ156" s="54"/>
      <c r="EDR156" s="52"/>
      <c r="EDS156" s="53"/>
      <c r="EDT156" s="54"/>
      <c r="EDU156" s="52"/>
      <c r="EDV156" s="53"/>
      <c r="EDW156" s="8"/>
      <c r="EDX156" s="45"/>
      <c r="EDY156" s="45"/>
      <c r="EDZ156" s="46"/>
      <c r="EEA156" s="44"/>
      <c r="EEB156" s="7"/>
      <c r="EEC156" s="51"/>
      <c r="EED156" s="52"/>
      <c r="EEE156" s="53"/>
      <c r="EEF156" s="54"/>
      <c r="EEG156" s="52"/>
      <c r="EEH156" s="53"/>
      <c r="EEI156" s="54"/>
      <c r="EEJ156" s="52"/>
      <c r="EEK156" s="53"/>
      <c r="EEL156" s="8"/>
      <c r="EEM156" s="45"/>
      <c r="EEN156" s="45"/>
      <c r="EEO156" s="46"/>
      <c r="EEP156" s="44"/>
      <c r="EEQ156" s="7"/>
      <c r="EER156" s="51"/>
      <c r="EES156" s="52"/>
      <c r="EET156" s="53"/>
      <c r="EEU156" s="54"/>
      <c r="EEV156" s="52"/>
      <c r="EEW156" s="53"/>
      <c r="EEX156" s="54"/>
      <c r="EEY156" s="52"/>
      <c r="EEZ156" s="53"/>
      <c r="EFA156" s="8"/>
      <c r="EFB156" s="45"/>
      <c r="EFC156" s="45"/>
      <c r="EFD156" s="46"/>
      <c r="EFE156" s="44"/>
      <c r="EFF156" s="7"/>
      <c r="EFG156" s="51"/>
      <c r="EFH156" s="52"/>
      <c r="EFI156" s="53"/>
      <c r="EFJ156" s="54"/>
      <c r="EFK156" s="52"/>
      <c r="EFL156" s="53"/>
      <c r="EFM156" s="54"/>
      <c r="EFN156" s="52"/>
      <c r="EFO156" s="53"/>
      <c r="EFP156" s="8"/>
      <c r="EFQ156" s="45"/>
      <c r="EFR156" s="45"/>
      <c r="EFS156" s="46"/>
      <c r="EFT156" s="44"/>
      <c r="EFU156" s="7"/>
      <c r="EFV156" s="51"/>
      <c r="EFW156" s="52"/>
      <c r="EFX156" s="53"/>
      <c r="EFY156" s="54"/>
      <c r="EFZ156" s="52"/>
      <c r="EGA156" s="53"/>
      <c r="EGB156" s="54"/>
      <c r="EGC156" s="52"/>
      <c r="EGD156" s="53"/>
      <c r="EGE156" s="8"/>
      <c r="EGF156" s="45"/>
      <c r="EGG156" s="45"/>
      <c r="EGH156" s="46"/>
      <c r="EGI156" s="44"/>
      <c r="EGJ156" s="7"/>
      <c r="EGK156" s="51"/>
      <c r="EGL156" s="52"/>
      <c r="EGM156" s="53"/>
      <c r="EGN156" s="54"/>
      <c r="EGO156" s="52"/>
      <c r="EGP156" s="53"/>
      <c r="EGQ156" s="54"/>
      <c r="EGR156" s="52"/>
      <c r="EGS156" s="53"/>
      <c r="EGT156" s="8"/>
      <c r="EGU156" s="45"/>
      <c r="EGV156" s="45"/>
      <c r="EGW156" s="46"/>
      <c r="EGX156" s="44"/>
      <c r="EGY156" s="7"/>
      <c r="EGZ156" s="51"/>
      <c r="EHA156" s="52"/>
      <c r="EHB156" s="53"/>
      <c r="EHC156" s="54"/>
      <c r="EHD156" s="52"/>
      <c r="EHE156" s="53"/>
      <c r="EHF156" s="54"/>
      <c r="EHG156" s="52"/>
      <c r="EHH156" s="53"/>
      <c r="EHI156" s="8"/>
      <c r="EHJ156" s="45"/>
      <c r="EHK156" s="45"/>
      <c r="EHL156" s="46"/>
      <c r="EHM156" s="44"/>
      <c r="EHN156" s="7"/>
      <c r="EHO156" s="51"/>
      <c r="EHP156" s="52"/>
      <c r="EHQ156" s="53"/>
      <c r="EHR156" s="54"/>
      <c r="EHS156" s="52"/>
      <c r="EHT156" s="53"/>
      <c r="EHU156" s="54"/>
      <c r="EHV156" s="52"/>
      <c r="EHW156" s="53"/>
      <c r="EHX156" s="8"/>
      <c r="EHY156" s="45"/>
      <c r="EHZ156" s="45"/>
      <c r="EIA156" s="46"/>
      <c r="EIB156" s="44"/>
      <c r="EIC156" s="7"/>
      <c r="EID156" s="51"/>
      <c r="EIE156" s="52"/>
      <c r="EIF156" s="53"/>
      <c r="EIG156" s="54"/>
      <c r="EIH156" s="52"/>
      <c r="EII156" s="53"/>
      <c r="EIJ156" s="54"/>
      <c r="EIK156" s="52"/>
      <c r="EIL156" s="53"/>
      <c r="EIM156" s="8"/>
      <c r="EIN156" s="45"/>
      <c r="EIO156" s="45"/>
      <c r="EIP156" s="46"/>
      <c r="EIQ156" s="44"/>
      <c r="EIR156" s="7"/>
      <c r="EIS156" s="51"/>
      <c r="EIT156" s="52"/>
      <c r="EIU156" s="53"/>
      <c r="EIV156" s="54"/>
      <c r="EIW156" s="52"/>
      <c r="EIX156" s="53"/>
      <c r="EIY156" s="54"/>
      <c r="EIZ156" s="52"/>
      <c r="EJA156" s="53"/>
      <c r="EJB156" s="8"/>
      <c r="EJC156" s="45"/>
      <c r="EJD156" s="45"/>
      <c r="EJE156" s="46"/>
      <c r="EJF156" s="44"/>
      <c r="EJG156" s="7"/>
      <c r="EJH156" s="51"/>
      <c r="EJI156" s="52"/>
      <c r="EJJ156" s="53"/>
      <c r="EJK156" s="54"/>
      <c r="EJL156" s="52"/>
      <c r="EJM156" s="53"/>
      <c r="EJN156" s="54"/>
      <c r="EJO156" s="52"/>
      <c r="EJP156" s="53"/>
      <c r="EJQ156" s="8"/>
      <c r="EJR156" s="45"/>
      <c r="EJS156" s="45"/>
      <c r="EJT156" s="46"/>
      <c r="EJU156" s="44"/>
      <c r="EJV156" s="7"/>
      <c r="EJW156" s="51"/>
      <c r="EJX156" s="52"/>
      <c r="EJY156" s="53"/>
      <c r="EJZ156" s="54"/>
      <c r="EKA156" s="52"/>
      <c r="EKB156" s="53"/>
      <c r="EKC156" s="54"/>
      <c r="EKD156" s="52"/>
      <c r="EKE156" s="53"/>
      <c r="EKF156" s="8"/>
      <c r="EKG156" s="45"/>
      <c r="EKH156" s="45"/>
      <c r="EKI156" s="46"/>
      <c r="EKJ156" s="44"/>
      <c r="EKK156" s="7"/>
      <c r="EKL156" s="51"/>
      <c r="EKM156" s="52"/>
      <c r="EKN156" s="53"/>
      <c r="EKO156" s="54"/>
      <c r="EKP156" s="52"/>
      <c r="EKQ156" s="53"/>
      <c r="EKR156" s="54"/>
      <c r="EKS156" s="52"/>
      <c r="EKT156" s="53"/>
      <c r="EKU156" s="8"/>
      <c r="EKV156" s="45"/>
      <c r="EKW156" s="45"/>
      <c r="EKX156" s="46"/>
      <c r="EKY156" s="44"/>
      <c r="EKZ156" s="7"/>
      <c r="ELA156" s="51"/>
      <c r="ELB156" s="52"/>
      <c r="ELC156" s="53"/>
      <c r="ELD156" s="54"/>
      <c r="ELE156" s="52"/>
      <c r="ELF156" s="53"/>
      <c r="ELG156" s="54"/>
      <c r="ELH156" s="52"/>
      <c r="ELI156" s="53"/>
      <c r="ELJ156" s="8"/>
      <c r="ELK156" s="45"/>
      <c r="ELL156" s="45"/>
      <c r="ELM156" s="46"/>
      <c r="ELN156" s="44"/>
      <c r="ELO156" s="7"/>
      <c r="ELP156" s="51"/>
      <c r="ELQ156" s="52"/>
      <c r="ELR156" s="53"/>
      <c r="ELS156" s="54"/>
      <c r="ELT156" s="52"/>
      <c r="ELU156" s="53"/>
      <c r="ELV156" s="54"/>
      <c r="ELW156" s="52"/>
      <c r="ELX156" s="53"/>
      <c r="ELY156" s="8"/>
      <c r="ELZ156" s="45"/>
      <c r="EMA156" s="45"/>
      <c r="EMB156" s="46"/>
      <c r="EMC156" s="44"/>
      <c r="EMD156" s="7"/>
      <c r="EME156" s="51"/>
      <c r="EMF156" s="52"/>
      <c r="EMG156" s="53"/>
      <c r="EMH156" s="54"/>
      <c r="EMI156" s="52"/>
      <c r="EMJ156" s="53"/>
      <c r="EMK156" s="54"/>
      <c r="EML156" s="52"/>
      <c r="EMM156" s="53"/>
      <c r="EMN156" s="8"/>
      <c r="EMO156" s="45"/>
      <c r="EMP156" s="45"/>
      <c r="EMQ156" s="46"/>
      <c r="EMR156" s="44"/>
      <c r="EMS156" s="7"/>
      <c r="EMT156" s="51"/>
      <c r="EMU156" s="52"/>
      <c r="EMV156" s="53"/>
      <c r="EMW156" s="54"/>
      <c r="EMX156" s="52"/>
      <c r="EMY156" s="53"/>
      <c r="EMZ156" s="54"/>
      <c r="ENA156" s="52"/>
      <c r="ENB156" s="53"/>
      <c r="ENC156" s="8"/>
      <c r="END156" s="45"/>
      <c r="ENE156" s="45"/>
      <c r="ENF156" s="46"/>
      <c r="ENG156" s="44"/>
      <c r="ENH156" s="7"/>
      <c r="ENI156" s="51"/>
      <c r="ENJ156" s="52"/>
      <c r="ENK156" s="53"/>
      <c r="ENL156" s="54"/>
      <c r="ENM156" s="52"/>
      <c r="ENN156" s="53"/>
      <c r="ENO156" s="54"/>
      <c r="ENP156" s="52"/>
      <c r="ENQ156" s="53"/>
      <c r="ENR156" s="8"/>
      <c r="ENS156" s="45"/>
      <c r="ENT156" s="45"/>
      <c r="ENU156" s="46"/>
      <c r="ENV156" s="44"/>
      <c r="ENW156" s="7"/>
      <c r="ENX156" s="51"/>
      <c r="ENY156" s="52"/>
      <c r="ENZ156" s="53"/>
      <c r="EOA156" s="54"/>
      <c r="EOB156" s="52"/>
      <c r="EOC156" s="53"/>
      <c r="EOD156" s="54"/>
      <c r="EOE156" s="52"/>
      <c r="EOF156" s="53"/>
      <c r="EOG156" s="8"/>
      <c r="EOH156" s="45"/>
      <c r="EOI156" s="45"/>
      <c r="EOJ156" s="46"/>
      <c r="EOK156" s="44"/>
      <c r="EOL156" s="7"/>
      <c r="EOM156" s="51"/>
      <c r="EON156" s="52"/>
      <c r="EOO156" s="53"/>
      <c r="EOP156" s="54"/>
      <c r="EOQ156" s="52"/>
      <c r="EOR156" s="53"/>
      <c r="EOS156" s="54"/>
      <c r="EOT156" s="52"/>
      <c r="EOU156" s="53"/>
      <c r="EOV156" s="8"/>
      <c r="EOW156" s="45"/>
      <c r="EOX156" s="45"/>
      <c r="EOY156" s="46"/>
      <c r="EOZ156" s="44"/>
      <c r="EPA156" s="7"/>
      <c r="EPB156" s="51"/>
      <c r="EPC156" s="52"/>
      <c r="EPD156" s="53"/>
      <c r="EPE156" s="54"/>
      <c r="EPF156" s="52"/>
      <c r="EPG156" s="53"/>
      <c r="EPH156" s="54"/>
      <c r="EPI156" s="52"/>
      <c r="EPJ156" s="53"/>
      <c r="EPK156" s="8"/>
      <c r="EPL156" s="45"/>
      <c r="EPM156" s="45"/>
      <c r="EPN156" s="46"/>
      <c r="EPO156" s="44"/>
      <c r="EPP156" s="7"/>
      <c r="EPQ156" s="51"/>
      <c r="EPR156" s="52"/>
      <c r="EPS156" s="53"/>
      <c r="EPT156" s="54"/>
      <c r="EPU156" s="52"/>
      <c r="EPV156" s="53"/>
      <c r="EPW156" s="54"/>
      <c r="EPX156" s="52"/>
      <c r="EPY156" s="53"/>
      <c r="EPZ156" s="8"/>
      <c r="EQA156" s="45"/>
      <c r="EQB156" s="45"/>
      <c r="EQC156" s="46"/>
      <c r="EQD156" s="44"/>
      <c r="EQE156" s="7"/>
      <c r="EQF156" s="51"/>
      <c r="EQG156" s="52"/>
      <c r="EQH156" s="53"/>
      <c r="EQI156" s="54"/>
      <c r="EQJ156" s="52"/>
      <c r="EQK156" s="53"/>
      <c r="EQL156" s="54"/>
      <c r="EQM156" s="52"/>
      <c r="EQN156" s="53"/>
      <c r="EQO156" s="8"/>
      <c r="EQP156" s="45"/>
      <c r="EQQ156" s="45"/>
      <c r="EQR156" s="46"/>
      <c r="EQS156" s="44"/>
      <c r="EQT156" s="7"/>
      <c r="EQU156" s="51"/>
      <c r="EQV156" s="52"/>
      <c r="EQW156" s="53"/>
      <c r="EQX156" s="54"/>
      <c r="EQY156" s="52"/>
      <c r="EQZ156" s="53"/>
      <c r="ERA156" s="54"/>
      <c r="ERB156" s="52"/>
      <c r="ERC156" s="53"/>
      <c r="ERD156" s="8"/>
      <c r="ERE156" s="45"/>
      <c r="ERF156" s="45"/>
      <c r="ERG156" s="46"/>
      <c r="ERH156" s="44"/>
      <c r="ERI156" s="7"/>
      <c r="ERJ156" s="51"/>
      <c r="ERK156" s="52"/>
      <c r="ERL156" s="53"/>
      <c r="ERM156" s="54"/>
      <c r="ERN156" s="52"/>
      <c r="ERO156" s="53"/>
      <c r="ERP156" s="54"/>
      <c r="ERQ156" s="52"/>
      <c r="ERR156" s="53"/>
      <c r="ERS156" s="8"/>
      <c r="ERT156" s="45"/>
      <c r="ERU156" s="45"/>
      <c r="ERV156" s="46"/>
      <c r="ERW156" s="44"/>
      <c r="ERX156" s="7"/>
      <c r="ERY156" s="51"/>
      <c r="ERZ156" s="52"/>
      <c r="ESA156" s="53"/>
      <c r="ESB156" s="54"/>
      <c r="ESC156" s="52"/>
      <c r="ESD156" s="53"/>
      <c r="ESE156" s="54"/>
      <c r="ESF156" s="52"/>
      <c r="ESG156" s="53"/>
      <c r="ESH156" s="8"/>
      <c r="ESI156" s="45"/>
      <c r="ESJ156" s="45"/>
      <c r="ESK156" s="46"/>
      <c r="ESL156" s="44"/>
      <c r="ESM156" s="7"/>
      <c r="ESN156" s="51"/>
      <c r="ESO156" s="52"/>
      <c r="ESP156" s="53"/>
      <c r="ESQ156" s="54"/>
      <c r="ESR156" s="52"/>
      <c r="ESS156" s="53"/>
      <c r="EST156" s="54"/>
      <c r="ESU156" s="52"/>
      <c r="ESV156" s="53"/>
      <c r="ESW156" s="8"/>
      <c r="ESX156" s="45"/>
      <c r="ESY156" s="45"/>
      <c r="ESZ156" s="46"/>
      <c r="ETA156" s="44"/>
      <c r="ETB156" s="7"/>
      <c r="ETC156" s="51"/>
      <c r="ETD156" s="52"/>
      <c r="ETE156" s="53"/>
      <c r="ETF156" s="54"/>
      <c r="ETG156" s="52"/>
      <c r="ETH156" s="53"/>
      <c r="ETI156" s="54"/>
      <c r="ETJ156" s="52"/>
      <c r="ETK156" s="53"/>
      <c r="ETL156" s="8"/>
      <c r="ETM156" s="45"/>
      <c r="ETN156" s="45"/>
      <c r="ETO156" s="46"/>
      <c r="ETP156" s="44"/>
      <c r="ETQ156" s="7"/>
      <c r="ETR156" s="51"/>
      <c r="ETS156" s="52"/>
      <c r="ETT156" s="53"/>
      <c r="ETU156" s="54"/>
      <c r="ETV156" s="52"/>
      <c r="ETW156" s="53"/>
      <c r="ETX156" s="54"/>
      <c r="ETY156" s="52"/>
      <c r="ETZ156" s="53"/>
      <c r="EUA156" s="8"/>
      <c r="EUB156" s="45"/>
      <c r="EUC156" s="45"/>
      <c r="EUD156" s="46"/>
      <c r="EUE156" s="44"/>
      <c r="EUF156" s="7"/>
      <c r="EUG156" s="51"/>
      <c r="EUH156" s="52"/>
      <c r="EUI156" s="53"/>
      <c r="EUJ156" s="54"/>
      <c r="EUK156" s="52"/>
      <c r="EUL156" s="53"/>
      <c r="EUM156" s="54"/>
      <c r="EUN156" s="52"/>
      <c r="EUO156" s="53"/>
      <c r="EUP156" s="8"/>
      <c r="EUQ156" s="45"/>
      <c r="EUR156" s="45"/>
      <c r="EUS156" s="46"/>
      <c r="EUT156" s="44"/>
      <c r="EUU156" s="7"/>
      <c r="EUV156" s="51"/>
      <c r="EUW156" s="52"/>
      <c r="EUX156" s="53"/>
      <c r="EUY156" s="54"/>
      <c r="EUZ156" s="52"/>
      <c r="EVA156" s="53"/>
      <c r="EVB156" s="54"/>
      <c r="EVC156" s="52"/>
      <c r="EVD156" s="53"/>
      <c r="EVE156" s="8"/>
      <c r="EVF156" s="45"/>
      <c r="EVG156" s="45"/>
      <c r="EVH156" s="46"/>
      <c r="EVI156" s="44"/>
      <c r="EVJ156" s="7"/>
      <c r="EVK156" s="51"/>
      <c r="EVL156" s="52"/>
      <c r="EVM156" s="53"/>
      <c r="EVN156" s="54"/>
      <c r="EVO156" s="52"/>
      <c r="EVP156" s="53"/>
      <c r="EVQ156" s="54"/>
      <c r="EVR156" s="52"/>
      <c r="EVS156" s="53"/>
      <c r="EVT156" s="8"/>
      <c r="EVU156" s="45"/>
      <c r="EVV156" s="45"/>
      <c r="EVW156" s="46"/>
      <c r="EVX156" s="44"/>
      <c r="EVY156" s="7"/>
      <c r="EVZ156" s="51"/>
      <c r="EWA156" s="52"/>
      <c r="EWB156" s="53"/>
      <c r="EWC156" s="54"/>
      <c r="EWD156" s="52"/>
      <c r="EWE156" s="53"/>
      <c r="EWF156" s="54"/>
      <c r="EWG156" s="52"/>
      <c r="EWH156" s="53"/>
      <c r="EWI156" s="8"/>
      <c r="EWJ156" s="45"/>
      <c r="EWK156" s="45"/>
      <c r="EWL156" s="46"/>
      <c r="EWM156" s="44"/>
      <c r="EWN156" s="7"/>
      <c r="EWO156" s="51"/>
      <c r="EWP156" s="52"/>
      <c r="EWQ156" s="53"/>
      <c r="EWR156" s="54"/>
      <c r="EWS156" s="52"/>
      <c r="EWT156" s="53"/>
      <c r="EWU156" s="54"/>
      <c r="EWV156" s="52"/>
      <c r="EWW156" s="53"/>
      <c r="EWX156" s="8"/>
      <c r="EWY156" s="45"/>
      <c r="EWZ156" s="45"/>
      <c r="EXA156" s="46"/>
      <c r="EXB156" s="44"/>
      <c r="EXC156" s="7"/>
      <c r="EXD156" s="51"/>
      <c r="EXE156" s="52"/>
      <c r="EXF156" s="53"/>
      <c r="EXG156" s="54"/>
      <c r="EXH156" s="52"/>
      <c r="EXI156" s="53"/>
      <c r="EXJ156" s="54"/>
      <c r="EXK156" s="52"/>
      <c r="EXL156" s="53"/>
      <c r="EXM156" s="8"/>
      <c r="EXN156" s="45"/>
      <c r="EXO156" s="45"/>
      <c r="EXP156" s="46"/>
      <c r="EXQ156" s="44"/>
      <c r="EXR156" s="7"/>
      <c r="EXS156" s="51"/>
      <c r="EXT156" s="52"/>
      <c r="EXU156" s="53"/>
      <c r="EXV156" s="54"/>
      <c r="EXW156" s="52"/>
      <c r="EXX156" s="53"/>
      <c r="EXY156" s="54"/>
      <c r="EXZ156" s="52"/>
      <c r="EYA156" s="53"/>
      <c r="EYB156" s="8"/>
      <c r="EYC156" s="45"/>
      <c r="EYD156" s="45"/>
      <c r="EYE156" s="46"/>
      <c r="EYF156" s="44"/>
      <c r="EYG156" s="7"/>
      <c r="EYH156" s="51"/>
      <c r="EYI156" s="52"/>
      <c r="EYJ156" s="53"/>
      <c r="EYK156" s="54"/>
      <c r="EYL156" s="52"/>
      <c r="EYM156" s="53"/>
      <c r="EYN156" s="54"/>
      <c r="EYO156" s="52"/>
      <c r="EYP156" s="53"/>
      <c r="EYQ156" s="8"/>
      <c r="EYR156" s="45"/>
      <c r="EYS156" s="45"/>
      <c r="EYT156" s="46"/>
      <c r="EYU156" s="44"/>
      <c r="EYV156" s="7"/>
      <c r="EYW156" s="51"/>
      <c r="EYX156" s="52"/>
      <c r="EYY156" s="53"/>
      <c r="EYZ156" s="54"/>
      <c r="EZA156" s="52"/>
      <c r="EZB156" s="53"/>
      <c r="EZC156" s="54"/>
      <c r="EZD156" s="52"/>
      <c r="EZE156" s="53"/>
      <c r="EZF156" s="8"/>
      <c r="EZG156" s="45"/>
      <c r="EZH156" s="45"/>
      <c r="EZI156" s="46"/>
      <c r="EZJ156" s="44"/>
      <c r="EZK156" s="7"/>
      <c r="EZL156" s="51"/>
      <c r="EZM156" s="52"/>
      <c r="EZN156" s="53"/>
      <c r="EZO156" s="54"/>
      <c r="EZP156" s="52"/>
      <c r="EZQ156" s="53"/>
      <c r="EZR156" s="54"/>
      <c r="EZS156" s="52"/>
      <c r="EZT156" s="53"/>
      <c r="EZU156" s="8"/>
      <c r="EZV156" s="45"/>
      <c r="EZW156" s="45"/>
      <c r="EZX156" s="46"/>
      <c r="EZY156" s="44"/>
      <c r="EZZ156" s="7"/>
      <c r="FAA156" s="51"/>
      <c r="FAB156" s="52"/>
      <c r="FAC156" s="53"/>
      <c r="FAD156" s="54"/>
      <c r="FAE156" s="52"/>
      <c r="FAF156" s="53"/>
      <c r="FAG156" s="54"/>
      <c r="FAH156" s="52"/>
      <c r="FAI156" s="53"/>
      <c r="FAJ156" s="8"/>
      <c r="FAK156" s="45"/>
      <c r="FAL156" s="45"/>
      <c r="FAM156" s="46"/>
      <c r="FAN156" s="44"/>
      <c r="FAO156" s="7"/>
      <c r="FAP156" s="51"/>
      <c r="FAQ156" s="52"/>
      <c r="FAR156" s="53"/>
      <c r="FAS156" s="54"/>
      <c r="FAT156" s="52"/>
      <c r="FAU156" s="53"/>
      <c r="FAV156" s="54"/>
      <c r="FAW156" s="52"/>
      <c r="FAX156" s="53"/>
      <c r="FAY156" s="8"/>
      <c r="FAZ156" s="45"/>
      <c r="FBA156" s="45"/>
      <c r="FBB156" s="46"/>
      <c r="FBC156" s="44"/>
      <c r="FBD156" s="7"/>
      <c r="FBE156" s="51"/>
      <c r="FBF156" s="52"/>
      <c r="FBG156" s="53"/>
      <c r="FBH156" s="54"/>
      <c r="FBI156" s="52"/>
      <c r="FBJ156" s="53"/>
      <c r="FBK156" s="54"/>
      <c r="FBL156" s="52"/>
      <c r="FBM156" s="53"/>
      <c r="FBN156" s="8"/>
      <c r="FBO156" s="45"/>
      <c r="FBP156" s="45"/>
      <c r="FBQ156" s="46"/>
      <c r="FBR156" s="44"/>
      <c r="FBS156" s="7"/>
      <c r="FBT156" s="51"/>
      <c r="FBU156" s="52"/>
      <c r="FBV156" s="53"/>
      <c r="FBW156" s="54"/>
      <c r="FBX156" s="52"/>
      <c r="FBY156" s="53"/>
      <c r="FBZ156" s="54"/>
      <c r="FCA156" s="52"/>
      <c r="FCB156" s="53"/>
      <c r="FCC156" s="8"/>
      <c r="FCD156" s="45"/>
      <c r="FCE156" s="45"/>
      <c r="FCF156" s="46"/>
      <c r="FCG156" s="44"/>
      <c r="FCH156" s="7"/>
      <c r="FCI156" s="51"/>
      <c r="FCJ156" s="52"/>
      <c r="FCK156" s="53"/>
      <c r="FCL156" s="54"/>
      <c r="FCM156" s="52"/>
      <c r="FCN156" s="53"/>
      <c r="FCO156" s="54"/>
      <c r="FCP156" s="52"/>
      <c r="FCQ156" s="53"/>
      <c r="FCR156" s="8"/>
      <c r="FCS156" s="45"/>
      <c r="FCT156" s="45"/>
      <c r="FCU156" s="46"/>
      <c r="FCV156" s="44"/>
      <c r="FCW156" s="7"/>
      <c r="FCX156" s="51"/>
      <c r="FCY156" s="52"/>
      <c r="FCZ156" s="53"/>
      <c r="FDA156" s="54"/>
      <c r="FDB156" s="52"/>
      <c r="FDC156" s="53"/>
      <c r="FDD156" s="54"/>
      <c r="FDE156" s="52"/>
      <c r="FDF156" s="53"/>
      <c r="FDG156" s="8"/>
      <c r="FDH156" s="45"/>
      <c r="FDI156" s="45"/>
      <c r="FDJ156" s="46"/>
      <c r="FDK156" s="44"/>
      <c r="FDL156" s="7"/>
      <c r="FDM156" s="51"/>
      <c r="FDN156" s="52"/>
      <c r="FDO156" s="53"/>
      <c r="FDP156" s="54"/>
      <c r="FDQ156" s="52"/>
      <c r="FDR156" s="53"/>
      <c r="FDS156" s="54"/>
      <c r="FDT156" s="52"/>
      <c r="FDU156" s="53"/>
      <c r="FDV156" s="8"/>
      <c r="FDW156" s="45"/>
      <c r="FDX156" s="45"/>
      <c r="FDY156" s="46"/>
      <c r="FDZ156" s="44"/>
      <c r="FEA156" s="7"/>
      <c r="FEB156" s="51"/>
      <c r="FEC156" s="52"/>
      <c r="FED156" s="53"/>
      <c r="FEE156" s="54"/>
      <c r="FEF156" s="52"/>
      <c r="FEG156" s="53"/>
      <c r="FEH156" s="54"/>
      <c r="FEI156" s="52"/>
      <c r="FEJ156" s="53"/>
      <c r="FEK156" s="8"/>
      <c r="FEL156" s="45"/>
      <c r="FEM156" s="45"/>
      <c r="FEN156" s="46"/>
      <c r="FEO156" s="44"/>
      <c r="FEP156" s="7"/>
      <c r="FEQ156" s="51"/>
      <c r="FER156" s="52"/>
      <c r="FES156" s="53"/>
      <c r="FET156" s="54"/>
      <c r="FEU156" s="52"/>
      <c r="FEV156" s="53"/>
      <c r="FEW156" s="54"/>
      <c r="FEX156" s="52"/>
      <c r="FEY156" s="53"/>
      <c r="FEZ156" s="8"/>
      <c r="FFA156" s="45"/>
      <c r="FFB156" s="45"/>
      <c r="FFC156" s="46"/>
      <c r="FFD156" s="44"/>
      <c r="FFE156" s="7"/>
      <c r="FFF156" s="51"/>
      <c r="FFG156" s="52"/>
      <c r="FFH156" s="53"/>
      <c r="FFI156" s="54"/>
      <c r="FFJ156" s="52"/>
      <c r="FFK156" s="53"/>
      <c r="FFL156" s="54"/>
      <c r="FFM156" s="52"/>
      <c r="FFN156" s="53"/>
      <c r="FFO156" s="8"/>
      <c r="FFP156" s="45"/>
      <c r="FFQ156" s="45"/>
      <c r="FFR156" s="46"/>
      <c r="FFS156" s="44"/>
      <c r="FFT156" s="7"/>
      <c r="FFU156" s="51"/>
      <c r="FFV156" s="52"/>
      <c r="FFW156" s="53"/>
      <c r="FFX156" s="54"/>
      <c r="FFY156" s="52"/>
      <c r="FFZ156" s="53"/>
      <c r="FGA156" s="54"/>
      <c r="FGB156" s="52"/>
      <c r="FGC156" s="53"/>
      <c r="FGD156" s="8"/>
      <c r="FGE156" s="45"/>
      <c r="FGF156" s="45"/>
      <c r="FGG156" s="46"/>
      <c r="FGH156" s="44"/>
      <c r="FGI156" s="7"/>
      <c r="FGJ156" s="51"/>
      <c r="FGK156" s="52"/>
      <c r="FGL156" s="53"/>
      <c r="FGM156" s="54"/>
      <c r="FGN156" s="52"/>
      <c r="FGO156" s="53"/>
      <c r="FGP156" s="54"/>
      <c r="FGQ156" s="52"/>
      <c r="FGR156" s="53"/>
      <c r="FGS156" s="8"/>
      <c r="FGT156" s="45"/>
      <c r="FGU156" s="45"/>
      <c r="FGV156" s="46"/>
      <c r="FGW156" s="44"/>
      <c r="FGX156" s="7"/>
      <c r="FGY156" s="51"/>
      <c r="FGZ156" s="52"/>
      <c r="FHA156" s="53"/>
      <c r="FHB156" s="54"/>
      <c r="FHC156" s="52"/>
      <c r="FHD156" s="53"/>
      <c r="FHE156" s="54"/>
      <c r="FHF156" s="52"/>
      <c r="FHG156" s="53"/>
      <c r="FHH156" s="8"/>
      <c r="FHI156" s="45"/>
      <c r="FHJ156" s="45"/>
      <c r="FHK156" s="46"/>
      <c r="FHL156" s="44"/>
      <c r="FHM156" s="7"/>
      <c r="FHN156" s="51"/>
      <c r="FHO156" s="52"/>
      <c r="FHP156" s="53"/>
      <c r="FHQ156" s="54"/>
      <c r="FHR156" s="52"/>
      <c r="FHS156" s="53"/>
      <c r="FHT156" s="54"/>
      <c r="FHU156" s="52"/>
      <c r="FHV156" s="53"/>
      <c r="FHW156" s="8"/>
      <c r="FHX156" s="45"/>
      <c r="FHY156" s="45"/>
      <c r="FHZ156" s="46"/>
      <c r="FIA156" s="44"/>
      <c r="FIB156" s="7"/>
      <c r="FIC156" s="51"/>
      <c r="FID156" s="52"/>
      <c r="FIE156" s="53"/>
      <c r="FIF156" s="54"/>
      <c r="FIG156" s="52"/>
      <c r="FIH156" s="53"/>
      <c r="FII156" s="54"/>
      <c r="FIJ156" s="52"/>
      <c r="FIK156" s="53"/>
      <c r="FIL156" s="8"/>
      <c r="FIM156" s="45"/>
      <c r="FIN156" s="45"/>
      <c r="FIO156" s="46"/>
      <c r="FIP156" s="44"/>
      <c r="FIQ156" s="7"/>
      <c r="FIR156" s="51"/>
      <c r="FIS156" s="52"/>
      <c r="FIT156" s="53"/>
      <c r="FIU156" s="54"/>
      <c r="FIV156" s="52"/>
      <c r="FIW156" s="53"/>
      <c r="FIX156" s="54"/>
      <c r="FIY156" s="52"/>
      <c r="FIZ156" s="53"/>
      <c r="FJA156" s="8"/>
      <c r="FJB156" s="45"/>
      <c r="FJC156" s="45"/>
      <c r="FJD156" s="46"/>
      <c r="FJE156" s="44"/>
      <c r="FJF156" s="7"/>
      <c r="FJG156" s="51"/>
      <c r="FJH156" s="52"/>
      <c r="FJI156" s="53"/>
      <c r="FJJ156" s="54"/>
      <c r="FJK156" s="52"/>
      <c r="FJL156" s="53"/>
      <c r="FJM156" s="54"/>
      <c r="FJN156" s="52"/>
      <c r="FJO156" s="53"/>
      <c r="FJP156" s="8"/>
      <c r="FJQ156" s="45"/>
      <c r="FJR156" s="45"/>
      <c r="FJS156" s="46"/>
      <c r="FJT156" s="44"/>
      <c r="FJU156" s="7"/>
      <c r="FJV156" s="51"/>
      <c r="FJW156" s="52"/>
      <c r="FJX156" s="53"/>
      <c r="FJY156" s="54"/>
      <c r="FJZ156" s="52"/>
      <c r="FKA156" s="53"/>
      <c r="FKB156" s="54"/>
      <c r="FKC156" s="52"/>
      <c r="FKD156" s="53"/>
      <c r="FKE156" s="8"/>
      <c r="FKF156" s="45"/>
      <c r="FKG156" s="45"/>
      <c r="FKH156" s="46"/>
      <c r="FKI156" s="44"/>
      <c r="FKJ156" s="7"/>
      <c r="FKK156" s="51"/>
      <c r="FKL156" s="52"/>
      <c r="FKM156" s="53"/>
      <c r="FKN156" s="54"/>
      <c r="FKO156" s="52"/>
      <c r="FKP156" s="53"/>
      <c r="FKQ156" s="54"/>
      <c r="FKR156" s="52"/>
      <c r="FKS156" s="53"/>
      <c r="FKT156" s="8"/>
      <c r="FKU156" s="45"/>
      <c r="FKV156" s="45"/>
      <c r="FKW156" s="46"/>
      <c r="FKX156" s="44"/>
      <c r="FKY156" s="7"/>
      <c r="FKZ156" s="51"/>
      <c r="FLA156" s="52"/>
      <c r="FLB156" s="53"/>
      <c r="FLC156" s="54"/>
      <c r="FLD156" s="52"/>
      <c r="FLE156" s="53"/>
      <c r="FLF156" s="54"/>
      <c r="FLG156" s="52"/>
      <c r="FLH156" s="53"/>
      <c r="FLI156" s="8"/>
      <c r="FLJ156" s="45"/>
      <c r="FLK156" s="45"/>
      <c r="FLL156" s="46"/>
      <c r="FLM156" s="44"/>
      <c r="FLN156" s="7"/>
      <c r="FLO156" s="51"/>
      <c r="FLP156" s="52"/>
      <c r="FLQ156" s="53"/>
      <c r="FLR156" s="54"/>
      <c r="FLS156" s="52"/>
      <c r="FLT156" s="53"/>
      <c r="FLU156" s="54"/>
      <c r="FLV156" s="52"/>
      <c r="FLW156" s="53"/>
      <c r="FLX156" s="8"/>
      <c r="FLY156" s="45"/>
      <c r="FLZ156" s="45"/>
      <c r="FMA156" s="46"/>
      <c r="FMB156" s="44"/>
      <c r="FMC156" s="7"/>
      <c r="FMD156" s="51"/>
      <c r="FME156" s="52"/>
      <c r="FMF156" s="53"/>
      <c r="FMG156" s="54"/>
      <c r="FMH156" s="52"/>
      <c r="FMI156" s="53"/>
      <c r="FMJ156" s="54"/>
      <c r="FMK156" s="52"/>
      <c r="FML156" s="53"/>
      <c r="FMM156" s="8"/>
      <c r="FMN156" s="45"/>
      <c r="FMO156" s="45"/>
      <c r="FMP156" s="46"/>
      <c r="FMQ156" s="44"/>
      <c r="FMR156" s="7"/>
      <c r="FMS156" s="51"/>
      <c r="FMT156" s="52"/>
      <c r="FMU156" s="53"/>
      <c r="FMV156" s="54"/>
      <c r="FMW156" s="52"/>
      <c r="FMX156" s="53"/>
      <c r="FMY156" s="54"/>
      <c r="FMZ156" s="52"/>
      <c r="FNA156" s="53"/>
      <c r="FNB156" s="8"/>
      <c r="FNC156" s="45"/>
      <c r="FND156" s="45"/>
      <c r="FNE156" s="46"/>
      <c r="FNF156" s="44"/>
      <c r="FNG156" s="7"/>
      <c r="FNH156" s="51"/>
      <c r="FNI156" s="52"/>
      <c r="FNJ156" s="53"/>
      <c r="FNK156" s="54"/>
      <c r="FNL156" s="52"/>
      <c r="FNM156" s="53"/>
      <c r="FNN156" s="54"/>
      <c r="FNO156" s="52"/>
      <c r="FNP156" s="53"/>
      <c r="FNQ156" s="8"/>
      <c r="FNR156" s="45"/>
      <c r="FNS156" s="45"/>
      <c r="FNT156" s="46"/>
      <c r="FNU156" s="44"/>
      <c r="FNV156" s="7"/>
      <c r="FNW156" s="51"/>
      <c r="FNX156" s="52"/>
      <c r="FNY156" s="53"/>
      <c r="FNZ156" s="54"/>
      <c r="FOA156" s="52"/>
      <c r="FOB156" s="53"/>
      <c r="FOC156" s="54"/>
      <c r="FOD156" s="52"/>
      <c r="FOE156" s="53"/>
      <c r="FOF156" s="8"/>
      <c r="FOG156" s="45"/>
      <c r="FOH156" s="45"/>
      <c r="FOI156" s="46"/>
      <c r="FOJ156" s="44"/>
      <c r="FOK156" s="7"/>
      <c r="FOL156" s="51"/>
      <c r="FOM156" s="52"/>
      <c r="FON156" s="53"/>
      <c r="FOO156" s="54"/>
      <c r="FOP156" s="52"/>
      <c r="FOQ156" s="53"/>
      <c r="FOR156" s="54"/>
      <c r="FOS156" s="52"/>
      <c r="FOT156" s="53"/>
      <c r="FOU156" s="8"/>
      <c r="FOV156" s="45"/>
      <c r="FOW156" s="45"/>
      <c r="FOX156" s="46"/>
      <c r="FOY156" s="44"/>
      <c r="FOZ156" s="7"/>
      <c r="FPA156" s="51"/>
      <c r="FPB156" s="52"/>
      <c r="FPC156" s="53"/>
      <c r="FPD156" s="54"/>
      <c r="FPE156" s="52"/>
      <c r="FPF156" s="53"/>
      <c r="FPG156" s="54"/>
      <c r="FPH156" s="52"/>
      <c r="FPI156" s="53"/>
      <c r="FPJ156" s="8"/>
      <c r="FPK156" s="45"/>
      <c r="FPL156" s="45"/>
      <c r="FPM156" s="46"/>
      <c r="FPN156" s="44"/>
      <c r="FPO156" s="7"/>
      <c r="FPP156" s="51"/>
      <c r="FPQ156" s="52"/>
      <c r="FPR156" s="53"/>
      <c r="FPS156" s="54"/>
      <c r="FPT156" s="52"/>
      <c r="FPU156" s="53"/>
      <c r="FPV156" s="54"/>
      <c r="FPW156" s="52"/>
      <c r="FPX156" s="53"/>
      <c r="FPY156" s="8"/>
      <c r="FPZ156" s="45"/>
      <c r="FQA156" s="45"/>
      <c r="FQB156" s="46"/>
      <c r="FQC156" s="44"/>
      <c r="FQD156" s="7"/>
      <c r="FQE156" s="51"/>
      <c r="FQF156" s="52"/>
      <c r="FQG156" s="53"/>
      <c r="FQH156" s="54"/>
      <c r="FQI156" s="52"/>
      <c r="FQJ156" s="53"/>
      <c r="FQK156" s="54"/>
      <c r="FQL156" s="52"/>
      <c r="FQM156" s="53"/>
      <c r="FQN156" s="8"/>
      <c r="FQO156" s="45"/>
      <c r="FQP156" s="45"/>
      <c r="FQQ156" s="46"/>
      <c r="FQR156" s="44"/>
      <c r="FQS156" s="7"/>
      <c r="FQT156" s="51"/>
      <c r="FQU156" s="52"/>
      <c r="FQV156" s="53"/>
      <c r="FQW156" s="54"/>
      <c r="FQX156" s="52"/>
      <c r="FQY156" s="53"/>
      <c r="FQZ156" s="54"/>
      <c r="FRA156" s="52"/>
      <c r="FRB156" s="53"/>
      <c r="FRC156" s="8"/>
      <c r="FRD156" s="45"/>
      <c r="FRE156" s="45"/>
      <c r="FRF156" s="46"/>
      <c r="FRG156" s="44"/>
      <c r="FRH156" s="7"/>
      <c r="FRI156" s="51"/>
      <c r="FRJ156" s="52"/>
      <c r="FRK156" s="53"/>
      <c r="FRL156" s="54"/>
      <c r="FRM156" s="52"/>
      <c r="FRN156" s="53"/>
      <c r="FRO156" s="54"/>
      <c r="FRP156" s="52"/>
      <c r="FRQ156" s="53"/>
      <c r="FRR156" s="8"/>
      <c r="FRS156" s="45"/>
      <c r="FRT156" s="45"/>
      <c r="FRU156" s="46"/>
      <c r="FRV156" s="44"/>
      <c r="FRW156" s="7"/>
      <c r="FRX156" s="51"/>
      <c r="FRY156" s="52"/>
      <c r="FRZ156" s="53"/>
      <c r="FSA156" s="54"/>
      <c r="FSB156" s="52"/>
      <c r="FSC156" s="53"/>
      <c r="FSD156" s="54"/>
      <c r="FSE156" s="52"/>
      <c r="FSF156" s="53"/>
      <c r="FSG156" s="8"/>
      <c r="FSH156" s="45"/>
      <c r="FSI156" s="45"/>
      <c r="FSJ156" s="46"/>
      <c r="FSK156" s="44"/>
      <c r="FSL156" s="7"/>
      <c r="FSM156" s="51"/>
      <c r="FSN156" s="52"/>
      <c r="FSO156" s="53"/>
      <c r="FSP156" s="54"/>
      <c r="FSQ156" s="52"/>
      <c r="FSR156" s="53"/>
      <c r="FSS156" s="54"/>
      <c r="FST156" s="52"/>
      <c r="FSU156" s="53"/>
      <c r="FSV156" s="8"/>
      <c r="FSW156" s="45"/>
      <c r="FSX156" s="45"/>
      <c r="FSY156" s="46"/>
      <c r="FSZ156" s="44"/>
      <c r="FTA156" s="7"/>
      <c r="FTB156" s="51"/>
      <c r="FTC156" s="52"/>
      <c r="FTD156" s="53"/>
      <c r="FTE156" s="54"/>
      <c r="FTF156" s="52"/>
      <c r="FTG156" s="53"/>
      <c r="FTH156" s="54"/>
      <c r="FTI156" s="52"/>
      <c r="FTJ156" s="53"/>
      <c r="FTK156" s="8"/>
      <c r="FTL156" s="45"/>
      <c r="FTM156" s="45"/>
      <c r="FTN156" s="46"/>
      <c r="FTO156" s="44"/>
      <c r="FTP156" s="7"/>
      <c r="FTQ156" s="51"/>
      <c r="FTR156" s="52"/>
      <c r="FTS156" s="53"/>
      <c r="FTT156" s="54"/>
      <c r="FTU156" s="52"/>
      <c r="FTV156" s="53"/>
      <c r="FTW156" s="54"/>
      <c r="FTX156" s="52"/>
      <c r="FTY156" s="53"/>
      <c r="FTZ156" s="8"/>
      <c r="FUA156" s="45"/>
      <c r="FUB156" s="45"/>
      <c r="FUC156" s="46"/>
      <c r="FUD156" s="44"/>
      <c r="FUE156" s="7"/>
      <c r="FUF156" s="51"/>
      <c r="FUG156" s="52"/>
      <c r="FUH156" s="53"/>
      <c r="FUI156" s="54"/>
      <c r="FUJ156" s="52"/>
      <c r="FUK156" s="53"/>
      <c r="FUL156" s="54"/>
      <c r="FUM156" s="52"/>
      <c r="FUN156" s="53"/>
      <c r="FUO156" s="8"/>
      <c r="FUP156" s="45"/>
      <c r="FUQ156" s="45"/>
      <c r="FUR156" s="46"/>
      <c r="FUS156" s="44"/>
      <c r="FUT156" s="7"/>
      <c r="FUU156" s="51"/>
      <c r="FUV156" s="52"/>
      <c r="FUW156" s="53"/>
      <c r="FUX156" s="54"/>
      <c r="FUY156" s="52"/>
      <c r="FUZ156" s="53"/>
      <c r="FVA156" s="54"/>
      <c r="FVB156" s="52"/>
      <c r="FVC156" s="53"/>
      <c r="FVD156" s="8"/>
      <c r="FVE156" s="45"/>
      <c r="FVF156" s="45"/>
      <c r="FVG156" s="46"/>
      <c r="FVH156" s="44"/>
      <c r="FVI156" s="7"/>
      <c r="FVJ156" s="51"/>
      <c r="FVK156" s="52"/>
      <c r="FVL156" s="53"/>
      <c r="FVM156" s="54"/>
      <c r="FVN156" s="52"/>
      <c r="FVO156" s="53"/>
      <c r="FVP156" s="54"/>
      <c r="FVQ156" s="52"/>
      <c r="FVR156" s="53"/>
      <c r="FVS156" s="8"/>
      <c r="FVT156" s="45"/>
      <c r="FVU156" s="45"/>
      <c r="FVV156" s="46"/>
      <c r="FVW156" s="44"/>
      <c r="FVX156" s="7"/>
      <c r="FVY156" s="51"/>
      <c r="FVZ156" s="52"/>
      <c r="FWA156" s="53"/>
      <c r="FWB156" s="54"/>
      <c r="FWC156" s="52"/>
      <c r="FWD156" s="53"/>
      <c r="FWE156" s="54"/>
      <c r="FWF156" s="52"/>
      <c r="FWG156" s="53"/>
      <c r="FWH156" s="8"/>
      <c r="FWI156" s="45"/>
      <c r="FWJ156" s="45"/>
      <c r="FWK156" s="46"/>
      <c r="FWL156" s="44"/>
      <c r="FWM156" s="7"/>
      <c r="FWN156" s="51"/>
      <c r="FWO156" s="52"/>
      <c r="FWP156" s="53"/>
      <c r="FWQ156" s="54"/>
      <c r="FWR156" s="52"/>
      <c r="FWS156" s="53"/>
      <c r="FWT156" s="54"/>
      <c r="FWU156" s="52"/>
      <c r="FWV156" s="53"/>
      <c r="FWW156" s="8"/>
      <c r="FWX156" s="45"/>
      <c r="FWY156" s="45"/>
      <c r="FWZ156" s="46"/>
      <c r="FXA156" s="44"/>
      <c r="FXB156" s="7"/>
      <c r="FXC156" s="51"/>
      <c r="FXD156" s="52"/>
      <c r="FXE156" s="53"/>
      <c r="FXF156" s="54"/>
      <c r="FXG156" s="52"/>
      <c r="FXH156" s="53"/>
      <c r="FXI156" s="54"/>
      <c r="FXJ156" s="52"/>
      <c r="FXK156" s="53"/>
      <c r="FXL156" s="8"/>
      <c r="FXM156" s="45"/>
      <c r="FXN156" s="45"/>
      <c r="FXO156" s="46"/>
      <c r="FXP156" s="44"/>
      <c r="FXQ156" s="7"/>
      <c r="FXR156" s="51"/>
      <c r="FXS156" s="52"/>
      <c r="FXT156" s="53"/>
      <c r="FXU156" s="54"/>
      <c r="FXV156" s="52"/>
      <c r="FXW156" s="53"/>
      <c r="FXX156" s="54"/>
      <c r="FXY156" s="52"/>
      <c r="FXZ156" s="53"/>
      <c r="FYA156" s="8"/>
      <c r="FYB156" s="45"/>
      <c r="FYC156" s="45"/>
      <c r="FYD156" s="46"/>
      <c r="FYE156" s="44"/>
      <c r="FYF156" s="7"/>
      <c r="FYG156" s="51"/>
      <c r="FYH156" s="52"/>
      <c r="FYI156" s="53"/>
      <c r="FYJ156" s="54"/>
      <c r="FYK156" s="52"/>
      <c r="FYL156" s="53"/>
      <c r="FYM156" s="54"/>
      <c r="FYN156" s="52"/>
      <c r="FYO156" s="53"/>
      <c r="FYP156" s="8"/>
      <c r="FYQ156" s="45"/>
      <c r="FYR156" s="45"/>
      <c r="FYS156" s="46"/>
      <c r="FYT156" s="44"/>
      <c r="FYU156" s="7"/>
      <c r="FYV156" s="51"/>
      <c r="FYW156" s="52"/>
      <c r="FYX156" s="53"/>
      <c r="FYY156" s="54"/>
      <c r="FYZ156" s="52"/>
      <c r="FZA156" s="53"/>
      <c r="FZB156" s="54"/>
      <c r="FZC156" s="52"/>
      <c r="FZD156" s="53"/>
      <c r="FZE156" s="8"/>
      <c r="FZF156" s="45"/>
      <c r="FZG156" s="45"/>
      <c r="FZH156" s="46"/>
      <c r="FZI156" s="44"/>
      <c r="FZJ156" s="7"/>
      <c r="FZK156" s="51"/>
      <c r="FZL156" s="52"/>
      <c r="FZM156" s="53"/>
      <c r="FZN156" s="54"/>
      <c r="FZO156" s="52"/>
      <c r="FZP156" s="53"/>
      <c r="FZQ156" s="54"/>
      <c r="FZR156" s="52"/>
      <c r="FZS156" s="53"/>
      <c r="FZT156" s="8"/>
      <c r="FZU156" s="45"/>
      <c r="FZV156" s="45"/>
      <c r="FZW156" s="46"/>
      <c r="FZX156" s="44"/>
      <c r="FZY156" s="7"/>
      <c r="FZZ156" s="51"/>
      <c r="GAA156" s="52"/>
      <c r="GAB156" s="53"/>
      <c r="GAC156" s="54"/>
      <c r="GAD156" s="52"/>
      <c r="GAE156" s="53"/>
      <c r="GAF156" s="54"/>
      <c r="GAG156" s="52"/>
      <c r="GAH156" s="53"/>
      <c r="GAI156" s="8"/>
      <c r="GAJ156" s="45"/>
      <c r="GAK156" s="45"/>
      <c r="GAL156" s="46"/>
      <c r="GAM156" s="44"/>
      <c r="GAN156" s="7"/>
      <c r="GAO156" s="51"/>
      <c r="GAP156" s="52"/>
      <c r="GAQ156" s="53"/>
      <c r="GAR156" s="54"/>
      <c r="GAS156" s="52"/>
      <c r="GAT156" s="53"/>
      <c r="GAU156" s="54"/>
      <c r="GAV156" s="52"/>
      <c r="GAW156" s="53"/>
      <c r="GAX156" s="8"/>
      <c r="GAY156" s="45"/>
      <c r="GAZ156" s="45"/>
      <c r="GBA156" s="46"/>
      <c r="GBB156" s="44"/>
      <c r="GBC156" s="7"/>
      <c r="GBD156" s="51"/>
      <c r="GBE156" s="52"/>
      <c r="GBF156" s="53"/>
      <c r="GBG156" s="54"/>
      <c r="GBH156" s="52"/>
      <c r="GBI156" s="53"/>
      <c r="GBJ156" s="54"/>
      <c r="GBK156" s="52"/>
      <c r="GBL156" s="53"/>
      <c r="GBM156" s="8"/>
      <c r="GBN156" s="45"/>
      <c r="GBO156" s="45"/>
      <c r="GBP156" s="46"/>
      <c r="GBQ156" s="44"/>
      <c r="GBR156" s="7"/>
      <c r="GBS156" s="51"/>
      <c r="GBT156" s="52"/>
      <c r="GBU156" s="53"/>
      <c r="GBV156" s="54"/>
      <c r="GBW156" s="52"/>
      <c r="GBX156" s="53"/>
      <c r="GBY156" s="54"/>
      <c r="GBZ156" s="52"/>
      <c r="GCA156" s="53"/>
      <c r="GCB156" s="8"/>
      <c r="GCC156" s="45"/>
      <c r="GCD156" s="45"/>
      <c r="GCE156" s="46"/>
      <c r="GCF156" s="44"/>
      <c r="GCG156" s="7"/>
      <c r="GCH156" s="51"/>
      <c r="GCI156" s="52"/>
      <c r="GCJ156" s="53"/>
      <c r="GCK156" s="54"/>
      <c r="GCL156" s="52"/>
      <c r="GCM156" s="53"/>
      <c r="GCN156" s="54"/>
      <c r="GCO156" s="52"/>
      <c r="GCP156" s="53"/>
      <c r="GCQ156" s="8"/>
      <c r="GCR156" s="45"/>
      <c r="GCS156" s="45"/>
      <c r="GCT156" s="46"/>
      <c r="GCU156" s="44"/>
      <c r="GCV156" s="7"/>
      <c r="GCW156" s="51"/>
      <c r="GCX156" s="52"/>
      <c r="GCY156" s="53"/>
      <c r="GCZ156" s="54"/>
      <c r="GDA156" s="52"/>
      <c r="GDB156" s="53"/>
      <c r="GDC156" s="54"/>
      <c r="GDD156" s="52"/>
      <c r="GDE156" s="53"/>
      <c r="GDF156" s="8"/>
      <c r="GDG156" s="45"/>
      <c r="GDH156" s="45"/>
      <c r="GDI156" s="46"/>
      <c r="GDJ156" s="44"/>
      <c r="GDK156" s="7"/>
      <c r="GDL156" s="51"/>
      <c r="GDM156" s="52"/>
      <c r="GDN156" s="53"/>
      <c r="GDO156" s="54"/>
      <c r="GDP156" s="52"/>
      <c r="GDQ156" s="53"/>
      <c r="GDR156" s="54"/>
      <c r="GDS156" s="52"/>
      <c r="GDT156" s="53"/>
      <c r="GDU156" s="8"/>
      <c r="GDV156" s="45"/>
      <c r="GDW156" s="45"/>
      <c r="GDX156" s="46"/>
      <c r="GDY156" s="44"/>
      <c r="GDZ156" s="7"/>
      <c r="GEA156" s="51"/>
      <c r="GEB156" s="52"/>
      <c r="GEC156" s="53"/>
      <c r="GED156" s="54"/>
      <c r="GEE156" s="52"/>
      <c r="GEF156" s="53"/>
      <c r="GEG156" s="54"/>
      <c r="GEH156" s="52"/>
      <c r="GEI156" s="53"/>
      <c r="GEJ156" s="8"/>
      <c r="GEK156" s="45"/>
      <c r="GEL156" s="45"/>
      <c r="GEM156" s="46"/>
      <c r="GEN156" s="44"/>
      <c r="GEO156" s="7"/>
      <c r="GEP156" s="51"/>
      <c r="GEQ156" s="52"/>
      <c r="GER156" s="53"/>
      <c r="GES156" s="54"/>
      <c r="GET156" s="52"/>
      <c r="GEU156" s="53"/>
      <c r="GEV156" s="54"/>
      <c r="GEW156" s="52"/>
      <c r="GEX156" s="53"/>
      <c r="GEY156" s="8"/>
      <c r="GEZ156" s="45"/>
      <c r="GFA156" s="45"/>
      <c r="GFB156" s="46"/>
      <c r="GFC156" s="44"/>
      <c r="GFD156" s="7"/>
      <c r="GFE156" s="51"/>
      <c r="GFF156" s="52"/>
      <c r="GFG156" s="53"/>
      <c r="GFH156" s="54"/>
      <c r="GFI156" s="52"/>
      <c r="GFJ156" s="53"/>
      <c r="GFK156" s="54"/>
      <c r="GFL156" s="52"/>
      <c r="GFM156" s="53"/>
      <c r="GFN156" s="8"/>
      <c r="GFO156" s="45"/>
      <c r="GFP156" s="45"/>
      <c r="GFQ156" s="46"/>
      <c r="GFR156" s="44"/>
      <c r="GFS156" s="7"/>
      <c r="GFT156" s="51"/>
      <c r="GFU156" s="52"/>
      <c r="GFV156" s="53"/>
      <c r="GFW156" s="54"/>
      <c r="GFX156" s="52"/>
      <c r="GFY156" s="53"/>
      <c r="GFZ156" s="54"/>
      <c r="GGA156" s="52"/>
      <c r="GGB156" s="53"/>
      <c r="GGC156" s="8"/>
      <c r="GGD156" s="45"/>
      <c r="GGE156" s="45"/>
      <c r="GGF156" s="46"/>
      <c r="GGG156" s="44"/>
      <c r="GGH156" s="7"/>
      <c r="GGI156" s="51"/>
      <c r="GGJ156" s="52"/>
      <c r="GGK156" s="53"/>
      <c r="GGL156" s="54"/>
      <c r="GGM156" s="52"/>
      <c r="GGN156" s="53"/>
      <c r="GGO156" s="54"/>
      <c r="GGP156" s="52"/>
      <c r="GGQ156" s="53"/>
      <c r="GGR156" s="8"/>
      <c r="GGS156" s="45"/>
      <c r="GGT156" s="45"/>
      <c r="GGU156" s="46"/>
      <c r="GGV156" s="44"/>
      <c r="GGW156" s="7"/>
      <c r="GGX156" s="51"/>
      <c r="GGY156" s="52"/>
      <c r="GGZ156" s="53"/>
      <c r="GHA156" s="54"/>
      <c r="GHB156" s="52"/>
      <c r="GHC156" s="53"/>
      <c r="GHD156" s="54"/>
      <c r="GHE156" s="52"/>
      <c r="GHF156" s="53"/>
      <c r="GHG156" s="8"/>
      <c r="GHH156" s="45"/>
      <c r="GHI156" s="45"/>
      <c r="GHJ156" s="46"/>
      <c r="GHK156" s="44"/>
      <c r="GHL156" s="7"/>
      <c r="GHM156" s="51"/>
      <c r="GHN156" s="52"/>
      <c r="GHO156" s="53"/>
      <c r="GHP156" s="54"/>
      <c r="GHQ156" s="52"/>
      <c r="GHR156" s="53"/>
      <c r="GHS156" s="54"/>
      <c r="GHT156" s="52"/>
      <c r="GHU156" s="53"/>
      <c r="GHV156" s="8"/>
      <c r="GHW156" s="45"/>
      <c r="GHX156" s="45"/>
      <c r="GHY156" s="46"/>
      <c r="GHZ156" s="44"/>
      <c r="GIA156" s="7"/>
      <c r="GIB156" s="51"/>
      <c r="GIC156" s="52"/>
      <c r="GID156" s="53"/>
      <c r="GIE156" s="54"/>
      <c r="GIF156" s="52"/>
      <c r="GIG156" s="53"/>
      <c r="GIH156" s="54"/>
      <c r="GII156" s="52"/>
      <c r="GIJ156" s="53"/>
      <c r="GIK156" s="8"/>
      <c r="GIL156" s="45"/>
      <c r="GIM156" s="45"/>
      <c r="GIN156" s="46"/>
      <c r="GIO156" s="44"/>
      <c r="GIP156" s="7"/>
      <c r="GIQ156" s="51"/>
      <c r="GIR156" s="52"/>
      <c r="GIS156" s="53"/>
      <c r="GIT156" s="54"/>
      <c r="GIU156" s="52"/>
      <c r="GIV156" s="53"/>
      <c r="GIW156" s="54"/>
      <c r="GIX156" s="52"/>
      <c r="GIY156" s="53"/>
      <c r="GIZ156" s="8"/>
      <c r="GJA156" s="45"/>
      <c r="GJB156" s="45"/>
      <c r="GJC156" s="46"/>
      <c r="GJD156" s="44"/>
      <c r="GJE156" s="7"/>
      <c r="GJF156" s="51"/>
      <c r="GJG156" s="52"/>
      <c r="GJH156" s="53"/>
      <c r="GJI156" s="54"/>
      <c r="GJJ156" s="52"/>
      <c r="GJK156" s="53"/>
      <c r="GJL156" s="54"/>
      <c r="GJM156" s="52"/>
      <c r="GJN156" s="53"/>
      <c r="GJO156" s="8"/>
      <c r="GJP156" s="45"/>
      <c r="GJQ156" s="45"/>
      <c r="GJR156" s="46"/>
      <c r="GJS156" s="44"/>
      <c r="GJT156" s="7"/>
      <c r="GJU156" s="51"/>
      <c r="GJV156" s="52"/>
      <c r="GJW156" s="53"/>
      <c r="GJX156" s="54"/>
      <c r="GJY156" s="52"/>
      <c r="GJZ156" s="53"/>
      <c r="GKA156" s="54"/>
      <c r="GKB156" s="52"/>
      <c r="GKC156" s="53"/>
      <c r="GKD156" s="8"/>
      <c r="GKE156" s="45"/>
      <c r="GKF156" s="45"/>
      <c r="GKG156" s="46"/>
      <c r="GKH156" s="44"/>
      <c r="GKI156" s="7"/>
      <c r="GKJ156" s="51"/>
      <c r="GKK156" s="52"/>
      <c r="GKL156" s="53"/>
      <c r="GKM156" s="54"/>
      <c r="GKN156" s="52"/>
      <c r="GKO156" s="53"/>
      <c r="GKP156" s="54"/>
      <c r="GKQ156" s="52"/>
      <c r="GKR156" s="53"/>
      <c r="GKS156" s="8"/>
      <c r="GKT156" s="45"/>
      <c r="GKU156" s="45"/>
      <c r="GKV156" s="46"/>
      <c r="GKW156" s="44"/>
      <c r="GKX156" s="7"/>
      <c r="GKY156" s="51"/>
      <c r="GKZ156" s="52"/>
      <c r="GLA156" s="53"/>
      <c r="GLB156" s="54"/>
      <c r="GLC156" s="52"/>
      <c r="GLD156" s="53"/>
      <c r="GLE156" s="54"/>
      <c r="GLF156" s="52"/>
      <c r="GLG156" s="53"/>
      <c r="GLH156" s="8"/>
      <c r="GLI156" s="45"/>
      <c r="GLJ156" s="45"/>
      <c r="GLK156" s="46"/>
      <c r="GLL156" s="44"/>
      <c r="GLM156" s="7"/>
      <c r="GLN156" s="51"/>
      <c r="GLO156" s="52"/>
      <c r="GLP156" s="53"/>
      <c r="GLQ156" s="54"/>
      <c r="GLR156" s="52"/>
      <c r="GLS156" s="53"/>
      <c r="GLT156" s="54"/>
      <c r="GLU156" s="52"/>
      <c r="GLV156" s="53"/>
      <c r="GLW156" s="8"/>
      <c r="GLX156" s="45"/>
      <c r="GLY156" s="45"/>
      <c r="GLZ156" s="46"/>
      <c r="GMA156" s="44"/>
      <c r="GMB156" s="7"/>
      <c r="GMC156" s="51"/>
      <c r="GMD156" s="52"/>
      <c r="GME156" s="53"/>
      <c r="GMF156" s="54"/>
      <c r="GMG156" s="52"/>
      <c r="GMH156" s="53"/>
      <c r="GMI156" s="54"/>
      <c r="GMJ156" s="52"/>
      <c r="GMK156" s="53"/>
      <c r="GML156" s="8"/>
      <c r="GMM156" s="45"/>
      <c r="GMN156" s="45"/>
      <c r="GMO156" s="46"/>
      <c r="GMP156" s="44"/>
      <c r="GMQ156" s="7"/>
      <c r="GMR156" s="51"/>
      <c r="GMS156" s="52"/>
      <c r="GMT156" s="53"/>
      <c r="GMU156" s="54"/>
      <c r="GMV156" s="52"/>
      <c r="GMW156" s="53"/>
      <c r="GMX156" s="54"/>
      <c r="GMY156" s="52"/>
      <c r="GMZ156" s="53"/>
      <c r="GNA156" s="8"/>
      <c r="GNB156" s="45"/>
      <c r="GNC156" s="45"/>
      <c r="GND156" s="46"/>
      <c r="GNE156" s="44"/>
      <c r="GNF156" s="7"/>
      <c r="GNG156" s="51"/>
      <c r="GNH156" s="52"/>
      <c r="GNI156" s="53"/>
      <c r="GNJ156" s="54"/>
      <c r="GNK156" s="52"/>
      <c r="GNL156" s="53"/>
      <c r="GNM156" s="54"/>
      <c r="GNN156" s="52"/>
      <c r="GNO156" s="53"/>
      <c r="GNP156" s="8"/>
      <c r="GNQ156" s="45"/>
      <c r="GNR156" s="45"/>
      <c r="GNS156" s="46"/>
      <c r="GNT156" s="44"/>
      <c r="GNU156" s="7"/>
      <c r="GNV156" s="51"/>
      <c r="GNW156" s="52"/>
      <c r="GNX156" s="53"/>
      <c r="GNY156" s="54"/>
      <c r="GNZ156" s="52"/>
      <c r="GOA156" s="53"/>
      <c r="GOB156" s="54"/>
      <c r="GOC156" s="52"/>
      <c r="GOD156" s="53"/>
      <c r="GOE156" s="8"/>
      <c r="GOF156" s="45"/>
      <c r="GOG156" s="45"/>
      <c r="GOH156" s="46"/>
      <c r="GOI156" s="44"/>
      <c r="GOJ156" s="7"/>
      <c r="GOK156" s="51"/>
      <c r="GOL156" s="52"/>
      <c r="GOM156" s="53"/>
      <c r="GON156" s="54"/>
      <c r="GOO156" s="52"/>
      <c r="GOP156" s="53"/>
      <c r="GOQ156" s="54"/>
      <c r="GOR156" s="52"/>
      <c r="GOS156" s="53"/>
      <c r="GOT156" s="8"/>
      <c r="GOU156" s="45"/>
      <c r="GOV156" s="45"/>
      <c r="GOW156" s="46"/>
      <c r="GOX156" s="44"/>
      <c r="GOY156" s="7"/>
      <c r="GOZ156" s="51"/>
      <c r="GPA156" s="52"/>
      <c r="GPB156" s="53"/>
      <c r="GPC156" s="54"/>
      <c r="GPD156" s="52"/>
      <c r="GPE156" s="53"/>
      <c r="GPF156" s="54"/>
      <c r="GPG156" s="52"/>
      <c r="GPH156" s="53"/>
      <c r="GPI156" s="8"/>
      <c r="GPJ156" s="45"/>
      <c r="GPK156" s="45"/>
      <c r="GPL156" s="46"/>
      <c r="GPM156" s="44"/>
      <c r="GPN156" s="7"/>
      <c r="GPO156" s="51"/>
      <c r="GPP156" s="52"/>
      <c r="GPQ156" s="53"/>
      <c r="GPR156" s="54"/>
      <c r="GPS156" s="52"/>
      <c r="GPT156" s="53"/>
      <c r="GPU156" s="54"/>
      <c r="GPV156" s="52"/>
      <c r="GPW156" s="53"/>
      <c r="GPX156" s="8"/>
      <c r="GPY156" s="45"/>
      <c r="GPZ156" s="45"/>
      <c r="GQA156" s="46"/>
      <c r="GQB156" s="44"/>
      <c r="GQC156" s="7"/>
      <c r="GQD156" s="51"/>
      <c r="GQE156" s="52"/>
      <c r="GQF156" s="53"/>
      <c r="GQG156" s="54"/>
      <c r="GQH156" s="52"/>
      <c r="GQI156" s="53"/>
      <c r="GQJ156" s="54"/>
      <c r="GQK156" s="52"/>
      <c r="GQL156" s="53"/>
      <c r="GQM156" s="8"/>
      <c r="GQN156" s="45"/>
      <c r="GQO156" s="45"/>
      <c r="GQP156" s="46"/>
      <c r="GQQ156" s="44"/>
      <c r="GQR156" s="7"/>
      <c r="GQS156" s="51"/>
      <c r="GQT156" s="52"/>
      <c r="GQU156" s="53"/>
      <c r="GQV156" s="54"/>
      <c r="GQW156" s="52"/>
      <c r="GQX156" s="53"/>
      <c r="GQY156" s="54"/>
      <c r="GQZ156" s="52"/>
      <c r="GRA156" s="53"/>
      <c r="GRB156" s="8"/>
      <c r="GRC156" s="45"/>
      <c r="GRD156" s="45"/>
      <c r="GRE156" s="46"/>
      <c r="GRF156" s="44"/>
      <c r="GRG156" s="7"/>
      <c r="GRH156" s="51"/>
      <c r="GRI156" s="52"/>
      <c r="GRJ156" s="53"/>
      <c r="GRK156" s="54"/>
      <c r="GRL156" s="52"/>
      <c r="GRM156" s="53"/>
      <c r="GRN156" s="54"/>
      <c r="GRO156" s="52"/>
      <c r="GRP156" s="53"/>
      <c r="GRQ156" s="8"/>
      <c r="GRR156" s="45"/>
      <c r="GRS156" s="45"/>
      <c r="GRT156" s="46"/>
      <c r="GRU156" s="44"/>
      <c r="GRV156" s="7"/>
      <c r="GRW156" s="51"/>
      <c r="GRX156" s="52"/>
      <c r="GRY156" s="53"/>
      <c r="GRZ156" s="54"/>
      <c r="GSA156" s="52"/>
      <c r="GSB156" s="53"/>
      <c r="GSC156" s="54"/>
      <c r="GSD156" s="52"/>
      <c r="GSE156" s="53"/>
      <c r="GSF156" s="8"/>
      <c r="GSG156" s="45"/>
      <c r="GSH156" s="45"/>
      <c r="GSI156" s="46"/>
      <c r="GSJ156" s="44"/>
      <c r="GSK156" s="7"/>
      <c r="GSL156" s="51"/>
      <c r="GSM156" s="52"/>
      <c r="GSN156" s="53"/>
      <c r="GSO156" s="54"/>
      <c r="GSP156" s="52"/>
      <c r="GSQ156" s="53"/>
      <c r="GSR156" s="54"/>
      <c r="GSS156" s="52"/>
      <c r="GST156" s="53"/>
      <c r="GSU156" s="8"/>
      <c r="GSV156" s="45"/>
      <c r="GSW156" s="45"/>
      <c r="GSX156" s="46"/>
      <c r="GSY156" s="44"/>
      <c r="GSZ156" s="7"/>
      <c r="GTA156" s="51"/>
      <c r="GTB156" s="52"/>
      <c r="GTC156" s="53"/>
      <c r="GTD156" s="54"/>
      <c r="GTE156" s="52"/>
      <c r="GTF156" s="53"/>
      <c r="GTG156" s="54"/>
      <c r="GTH156" s="52"/>
      <c r="GTI156" s="53"/>
      <c r="GTJ156" s="8"/>
      <c r="GTK156" s="45"/>
      <c r="GTL156" s="45"/>
      <c r="GTM156" s="46"/>
      <c r="GTN156" s="44"/>
      <c r="GTO156" s="7"/>
      <c r="GTP156" s="51"/>
      <c r="GTQ156" s="52"/>
      <c r="GTR156" s="53"/>
      <c r="GTS156" s="54"/>
      <c r="GTT156" s="52"/>
      <c r="GTU156" s="53"/>
      <c r="GTV156" s="54"/>
      <c r="GTW156" s="52"/>
      <c r="GTX156" s="53"/>
      <c r="GTY156" s="8"/>
      <c r="GTZ156" s="45"/>
      <c r="GUA156" s="45"/>
      <c r="GUB156" s="46"/>
      <c r="GUC156" s="44"/>
      <c r="GUD156" s="7"/>
      <c r="GUE156" s="51"/>
      <c r="GUF156" s="52"/>
      <c r="GUG156" s="53"/>
      <c r="GUH156" s="54"/>
      <c r="GUI156" s="52"/>
      <c r="GUJ156" s="53"/>
      <c r="GUK156" s="54"/>
      <c r="GUL156" s="52"/>
      <c r="GUM156" s="53"/>
      <c r="GUN156" s="8"/>
      <c r="GUO156" s="45"/>
      <c r="GUP156" s="45"/>
      <c r="GUQ156" s="46"/>
      <c r="GUR156" s="44"/>
      <c r="GUS156" s="7"/>
      <c r="GUT156" s="51"/>
      <c r="GUU156" s="52"/>
      <c r="GUV156" s="53"/>
      <c r="GUW156" s="54"/>
      <c r="GUX156" s="52"/>
      <c r="GUY156" s="53"/>
      <c r="GUZ156" s="54"/>
      <c r="GVA156" s="52"/>
      <c r="GVB156" s="53"/>
      <c r="GVC156" s="8"/>
      <c r="GVD156" s="45"/>
      <c r="GVE156" s="45"/>
      <c r="GVF156" s="46"/>
      <c r="GVG156" s="44"/>
      <c r="GVH156" s="7"/>
      <c r="GVI156" s="51"/>
      <c r="GVJ156" s="52"/>
      <c r="GVK156" s="53"/>
      <c r="GVL156" s="54"/>
      <c r="GVM156" s="52"/>
      <c r="GVN156" s="53"/>
      <c r="GVO156" s="54"/>
      <c r="GVP156" s="52"/>
      <c r="GVQ156" s="53"/>
      <c r="GVR156" s="8"/>
      <c r="GVS156" s="45"/>
      <c r="GVT156" s="45"/>
      <c r="GVU156" s="46"/>
      <c r="GVV156" s="44"/>
      <c r="GVW156" s="7"/>
      <c r="GVX156" s="51"/>
      <c r="GVY156" s="52"/>
      <c r="GVZ156" s="53"/>
      <c r="GWA156" s="54"/>
      <c r="GWB156" s="52"/>
      <c r="GWC156" s="53"/>
      <c r="GWD156" s="54"/>
      <c r="GWE156" s="52"/>
      <c r="GWF156" s="53"/>
      <c r="GWG156" s="8"/>
      <c r="GWH156" s="45"/>
      <c r="GWI156" s="45"/>
      <c r="GWJ156" s="46"/>
      <c r="GWK156" s="44"/>
      <c r="GWL156" s="7"/>
      <c r="GWM156" s="51"/>
      <c r="GWN156" s="52"/>
      <c r="GWO156" s="53"/>
      <c r="GWP156" s="54"/>
      <c r="GWQ156" s="52"/>
      <c r="GWR156" s="53"/>
      <c r="GWS156" s="54"/>
      <c r="GWT156" s="52"/>
      <c r="GWU156" s="53"/>
      <c r="GWV156" s="8"/>
      <c r="GWW156" s="45"/>
      <c r="GWX156" s="45"/>
      <c r="GWY156" s="46"/>
      <c r="GWZ156" s="44"/>
      <c r="GXA156" s="7"/>
      <c r="GXB156" s="51"/>
      <c r="GXC156" s="52"/>
      <c r="GXD156" s="53"/>
      <c r="GXE156" s="54"/>
      <c r="GXF156" s="52"/>
      <c r="GXG156" s="53"/>
      <c r="GXH156" s="54"/>
      <c r="GXI156" s="52"/>
      <c r="GXJ156" s="53"/>
      <c r="GXK156" s="8"/>
      <c r="GXL156" s="45"/>
      <c r="GXM156" s="45"/>
      <c r="GXN156" s="46"/>
      <c r="GXO156" s="44"/>
      <c r="GXP156" s="7"/>
      <c r="GXQ156" s="51"/>
      <c r="GXR156" s="52"/>
      <c r="GXS156" s="53"/>
      <c r="GXT156" s="54"/>
      <c r="GXU156" s="52"/>
      <c r="GXV156" s="53"/>
      <c r="GXW156" s="54"/>
      <c r="GXX156" s="52"/>
      <c r="GXY156" s="53"/>
      <c r="GXZ156" s="8"/>
      <c r="GYA156" s="45"/>
      <c r="GYB156" s="45"/>
      <c r="GYC156" s="46"/>
      <c r="GYD156" s="44"/>
      <c r="GYE156" s="7"/>
      <c r="GYF156" s="51"/>
      <c r="GYG156" s="52"/>
      <c r="GYH156" s="53"/>
      <c r="GYI156" s="54"/>
      <c r="GYJ156" s="52"/>
      <c r="GYK156" s="53"/>
      <c r="GYL156" s="54"/>
      <c r="GYM156" s="52"/>
      <c r="GYN156" s="53"/>
      <c r="GYO156" s="8"/>
      <c r="GYP156" s="45"/>
      <c r="GYQ156" s="45"/>
      <c r="GYR156" s="46"/>
      <c r="GYS156" s="44"/>
      <c r="GYT156" s="7"/>
      <c r="GYU156" s="51"/>
      <c r="GYV156" s="52"/>
      <c r="GYW156" s="53"/>
      <c r="GYX156" s="54"/>
      <c r="GYY156" s="52"/>
      <c r="GYZ156" s="53"/>
      <c r="GZA156" s="54"/>
      <c r="GZB156" s="52"/>
      <c r="GZC156" s="53"/>
      <c r="GZD156" s="8"/>
      <c r="GZE156" s="45"/>
      <c r="GZF156" s="45"/>
      <c r="GZG156" s="46"/>
      <c r="GZH156" s="44"/>
      <c r="GZI156" s="7"/>
      <c r="GZJ156" s="51"/>
      <c r="GZK156" s="52"/>
      <c r="GZL156" s="53"/>
      <c r="GZM156" s="54"/>
      <c r="GZN156" s="52"/>
      <c r="GZO156" s="53"/>
      <c r="GZP156" s="54"/>
      <c r="GZQ156" s="52"/>
      <c r="GZR156" s="53"/>
      <c r="GZS156" s="8"/>
      <c r="GZT156" s="45"/>
      <c r="GZU156" s="45"/>
      <c r="GZV156" s="46"/>
      <c r="GZW156" s="44"/>
      <c r="GZX156" s="7"/>
      <c r="GZY156" s="51"/>
      <c r="GZZ156" s="52"/>
      <c r="HAA156" s="53"/>
      <c r="HAB156" s="54"/>
      <c r="HAC156" s="52"/>
      <c r="HAD156" s="53"/>
      <c r="HAE156" s="54"/>
      <c r="HAF156" s="52"/>
      <c r="HAG156" s="53"/>
      <c r="HAH156" s="8"/>
      <c r="HAI156" s="45"/>
      <c r="HAJ156" s="45"/>
      <c r="HAK156" s="46"/>
      <c r="HAL156" s="44"/>
      <c r="HAM156" s="7"/>
      <c r="HAN156" s="51"/>
      <c r="HAO156" s="52"/>
      <c r="HAP156" s="53"/>
      <c r="HAQ156" s="54"/>
      <c r="HAR156" s="52"/>
      <c r="HAS156" s="53"/>
      <c r="HAT156" s="54"/>
      <c r="HAU156" s="52"/>
      <c r="HAV156" s="53"/>
      <c r="HAW156" s="8"/>
      <c r="HAX156" s="45"/>
      <c r="HAY156" s="45"/>
      <c r="HAZ156" s="46"/>
      <c r="HBA156" s="44"/>
      <c r="HBB156" s="7"/>
      <c r="HBC156" s="51"/>
      <c r="HBD156" s="52"/>
      <c r="HBE156" s="53"/>
      <c r="HBF156" s="54"/>
      <c r="HBG156" s="52"/>
      <c r="HBH156" s="53"/>
      <c r="HBI156" s="54"/>
      <c r="HBJ156" s="52"/>
      <c r="HBK156" s="53"/>
      <c r="HBL156" s="8"/>
      <c r="HBM156" s="45"/>
      <c r="HBN156" s="45"/>
      <c r="HBO156" s="46"/>
      <c r="HBP156" s="44"/>
      <c r="HBQ156" s="7"/>
      <c r="HBR156" s="51"/>
      <c r="HBS156" s="52"/>
      <c r="HBT156" s="53"/>
      <c r="HBU156" s="54"/>
      <c r="HBV156" s="52"/>
      <c r="HBW156" s="53"/>
      <c r="HBX156" s="54"/>
      <c r="HBY156" s="52"/>
      <c r="HBZ156" s="53"/>
      <c r="HCA156" s="8"/>
      <c r="HCB156" s="45"/>
      <c r="HCC156" s="45"/>
      <c r="HCD156" s="46"/>
      <c r="HCE156" s="44"/>
      <c r="HCF156" s="7"/>
      <c r="HCG156" s="51"/>
      <c r="HCH156" s="52"/>
      <c r="HCI156" s="53"/>
      <c r="HCJ156" s="54"/>
      <c r="HCK156" s="52"/>
      <c r="HCL156" s="53"/>
      <c r="HCM156" s="54"/>
      <c r="HCN156" s="52"/>
      <c r="HCO156" s="53"/>
      <c r="HCP156" s="8"/>
      <c r="HCQ156" s="45"/>
      <c r="HCR156" s="45"/>
      <c r="HCS156" s="46"/>
      <c r="HCT156" s="44"/>
      <c r="HCU156" s="7"/>
      <c r="HCV156" s="51"/>
      <c r="HCW156" s="52"/>
      <c r="HCX156" s="53"/>
      <c r="HCY156" s="54"/>
      <c r="HCZ156" s="52"/>
      <c r="HDA156" s="53"/>
      <c r="HDB156" s="54"/>
      <c r="HDC156" s="52"/>
      <c r="HDD156" s="53"/>
      <c r="HDE156" s="8"/>
      <c r="HDF156" s="45"/>
      <c r="HDG156" s="45"/>
      <c r="HDH156" s="46"/>
      <c r="HDI156" s="44"/>
      <c r="HDJ156" s="7"/>
      <c r="HDK156" s="51"/>
      <c r="HDL156" s="52"/>
      <c r="HDM156" s="53"/>
      <c r="HDN156" s="54"/>
      <c r="HDO156" s="52"/>
      <c r="HDP156" s="53"/>
      <c r="HDQ156" s="54"/>
      <c r="HDR156" s="52"/>
      <c r="HDS156" s="53"/>
      <c r="HDT156" s="8"/>
      <c r="HDU156" s="45"/>
      <c r="HDV156" s="45"/>
      <c r="HDW156" s="46"/>
      <c r="HDX156" s="44"/>
      <c r="HDY156" s="7"/>
      <c r="HDZ156" s="51"/>
      <c r="HEA156" s="52"/>
      <c r="HEB156" s="53"/>
      <c r="HEC156" s="54"/>
      <c r="HED156" s="52"/>
      <c r="HEE156" s="53"/>
      <c r="HEF156" s="54"/>
      <c r="HEG156" s="52"/>
      <c r="HEH156" s="53"/>
      <c r="HEI156" s="8"/>
      <c r="HEJ156" s="45"/>
      <c r="HEK156" s="45"/>
      <c r="HEL156" s="46"/>
      <c r="HEM156" s="44"/>
      <c r="HEN156" s="7"/>
      <c r="HEO156" s="51"/>
      <c r="HEP156" s="52"/>
      <c r="HEQ156" s="53"/>
      <c r="HER156" s="54"/>
      <c r="HES156" s="52"/>
      <c r="HET156" s="53"/>
      <c r="HEU156" s="54"/>
      <c r="HEV156" s="52"/>
      <c r="HEW156" s="53"/>
      <c r="HEX156" s="8"/>
      <c r="HEY156" s="45"/>
      <c r="HEZ156" s="45"/>
      <c r="HFA156" s="46"/>
      <c r="HFB156" s="44"/>
      <c r="HFC156" s="7"/>
      <c r="HFD156" s="51"/>
      <c r="HFE156" s="52"/>
      <c r="HFF156" s="53"/>
      <c r="HFG156" s="54"/>
      <c r="HFH156" s="52"/>
      <c r="HFI156" s="53"/>
      <c r="HFJ156" s="54"/>
      <c r="HFK156" s="52"/>
      <c r="HFL156" s="53"/>
      <c r="HFM156" s="8"/>
      <c r="HFN156" s="45"/>
      <c r="HFO156" s="45"/>
      <c r="HFP156" s="46"/>
      <c r="HFQ156" s="44"/>
      <c r="HFR156" s="7"/>
      <c r="HFS156" s="51"/>
      <c r="HFT156" s="52"/>
      <c r="HFU156" s="53"/>
      <c r="HFV156" s="54"/>
      <c r="HFW156" s="52"/>
      <c r="HFX156" s="53"/>
      <c r="HFY156" s="54"/>
      <c r="HFZ156" s="52"/>
      <c r="HGA156" s="53"/>
      <c r="HGB156" s="8"/>
      <c r="HGC156" s="45"/>
      <c r="HGD156" s="45"/>
      <c r="HGE156" s="46"/>
      <c r="HGF156" s="44"/>
      <c r="HGG156" s="7"/>
      <c r="HGH156" s="51"/>
      <c r="HGI156" s="52"/>
      <c r="HGJ156" s="53"/>
      <c r="HGK156" s="54"/>
      <c r="HGL156" s="52"/>
      <c r="HGM156" s="53"/>
      <c r="HGN156" s="54"/>
      <c r="HGO156" s="52"/>
      <c r="HGP156" s="53"/>
      <c r="HGQ156" s="8"/>
      <c r="HGR156" s="45"/>
      <c r="HGS156" s="45"/>
      <c r="HGT156" s="46"/>
      <c r="HGU156" s="44"/>
      <c r="HGV156" s="7"/>
      <c r="HGW156" s="51"/>
      <c r="HGX156" s="52"/>
      <c r="HGY156" s="53"/>
      <c r="HGZ156" s="54"/>
      <c r="HHA156" s="52"/>
      <c r="HHB156" s="53"/>
      <c r="HHC156" s="54"/>
      <c r="HHD156" s="52"/>
      <c r="HHE156" s="53"/>
      <c r="HHF156" s="8"/>
      <c r="HHG156" s="45"/>
      <c r="HHH156" s="45"/>
      <c r="HHI156" s="46"/>
      <c r="HHJ156" s="44"/>
      <c r="HHK156" s="7"/>
      <c r="HHL156" s="51"/>
      <c r="HHM156" s="52"/>
      <c r="HHN156" s="53"/>
      <c r="HHO156" s="54"/>
      <c r="HHP156" s="52"/>
      <c r="HHQ156" s="53"/>
      <c r="HHR156" s="54"/>
      <c r="HHS156" s="52"/>
      <c r="HHT156" s="53"/>
      <c r="HHU156" s="8"/>
      <c r="HHV156" s="45"/>
      <c r="HHW156" s="45"/>
      <c r="HHX156" s="46"/>
      <c r="HHY156" s="44"/>
      <c r="HHZ156" s="7"/>
      <c r="HIA156" s="51"/>
      <c r="HIB156" s="52"/>
      <c r="HIC156" s="53"/>
      <c r="HID156" s="54"/>
      <c r="HIE156" s="52"/>
      <c r="HIF156" s="53"/>
      <c r="HIG156" s="54"/>
      <c r="HIH156" s="52"/>
      <c r="HII156" s="53"/>
      <c r="HIJ156" s="8"/>
      <c r="HIK156" s="45"/>
      <c r="HIL156" s="45"/>
      <c r="HIM156" s="46"/>
      <c r="HIN156" s="44"/>
      <c r="HIO156" s="7"/>
      <c r="HIP156" s="51"/>
      <c r="HIQ156" s="52"/>
      <c r="HIR156" s="53"/>
      <c r="HIS156" s="54"/>
      <c r="HIT156" s="52"/>
      <c r="HIU156" s="53"/>
      <c r="HIV156" s="54"/>
      <c r="HIW156" s="52"/>
      <c r="HIX156" s="53"/>
      <c r="HIY156" s="8"/>
      <c r="HIZ156" s="45"/>
      <c r="HJA156" s="45"/>
      <c r="HJB156" s="46"/>
      <c r="HJC156" s="44"/>
      <c r="HJD156" s="7"/>
      <c r="HJE156" s="51"/>
      <c r="HJF156" s="52"/>
      <c r="HJG156" s="53"/>
      <c r="HJH156" s="54"/>
      <c r="HJI156" s="52"/>
      <c r="HJJ156" s="53"/>
      <c r="HJK156" s="54"/>
      <c r="HJL156" s="52"/>
      <c r="HJM156" s="53"/>
      <c r="HJN156" s="8"/>
      <c r="HJO156" s="45"/>
      <c r="HJP156" s="45"/>
      <c r="HJQ156" s="46"/>
      <c r="HJR156" s="44"/>
      <c r="HJS156" s="7"/>
      <c r="HJT156" s="51"/>
      <c r="HJU156" s="52"/>
      <c r="HJV156" s="53"/>
      <c r="HJW156" s="54"/>
      <c r="HJX156" s="52"/>
      <c r="HJY156" s="53"/>
      <c r="HJZ156" s="54"/>
      <c r="HKA156" s="52"/>
      <c r="HKB156" s="53"/>
      <c r="HKC156" s="8"/>
      <c r="HKD156" s="45"/>
      <c r="HKE156" s="45"/>
      <c r="HKF156" s="46"/>
      <c r="HKG156" s="44"/>
      <c r="HKH156" s="7"/>
      <c r="HKI156" s="51"/>
      <c r="HKJ156" s="52"/>
      <c r="HKK156" s="53"/>
      <c r="HKL156" s="54"/>
      <c r="HKM156" s="52"/>
      <c r="HKN156" s="53"/>
      <c r="HKO156" s="54"/>
      <c r="HKP156" s="52"/>
      <c r="HKQ156" s="53"/>
      <c r="HKR156" s="8"/>
      <c r="HKS156" s="45"/>
      <c r="HKT156" s="45"/>
      <c r="HKU156" s="46"/>
      <c r="HKV156" s="44"/>
      <c r="HKW156" s="7"/>
      <c r="HKX156" s="51"/>
      <c r="HKY156" s="52"/>
      <c r="HKZ156" s="53"/>
      <c r="HLA156" s="54"/>
      <c r="HLB156" s="52"/>
      <c r="HLC156" s="53"/>
      <c r="HLD156" s="54"/>
      <c r="HLE156" s="52"/>
      <c r="HLF156" s="53"/>
      <c r="HLG156" s="8"/>
      <c r="HLH156" s="45"/>
      <c r="HLI156" s="45"/>
      <c r="HLJ156" s="46"/>
      <c r="HLK156" s="44"/>
      <c r="HLL156" s="7"/>
      <c r="HLM156" s="51"/>
      <c r="HLN156" s="52"/>
      <c r="HLO156" s="53"/>
      <c r="HLP156" s="54"/>
      <c r="HLQ156" s="52"/>
      <c r="HLR156" s="53"/>
      <c r="HLS156" s="54"/>
      <c r="HLT156" s="52"/>
      <c r="HLU156" s="53"/>
      <c r="HLV156" s="8"/>
      <c r="HLW156" s="45"/>
      <c r="HLX156" s="45"/>
      <c r="HLY156" s="46"/>
      <c r="HLZ156" s="44"/>
      <c r="HMA156" s="7"/>
      <c r="HMB156" s="51"/>
      <c r="HMC156" s="52"/>
      <c r="HMD156" s="53"/>
      <c r="HME156" s="54"/>
      <c r="HMF156" s="52"/>
      <c r="HMG156" s="53"/>
      <c r="HMH156" s="54"/>
      <c r="HMI156" s="52"/>
      <c r="HMJ156" s="53"/>
      <c r="HMK156" s="8"/>
      <c r="HML156" s="45"/>
      <c r="HMM156" s="45"/>
      <c r="HMN156" s="46"/>
      <c r="HMO156" s="44"/>
      <c r="HMP156" s="7"/>
      <c r="HMQ156" s="51"/>
      <c r="HMR156" s="52"/>
      <c r="HMS156" s="53"/>
      <c r="HMT156" s="54"/>
      <c r="HMU156" s="52"/>
      <c r="HMV156" s="53"/>
      <c r="HMW156" s="54"/>
      <c r="HMX156" s="52"/>
      <c r="HMY156" s="53"/>
      <c r="HMZ156" s="8"/>
      <c r="HNA156" s="45"/>
      <c r="HNB156" s="45"/>
      <c r="HNC156" s="46"/>
      <c r="HND156" s="44"/>
      <c r="HNE156" s="7"/>
      <c r="HNF156" s="51"/>
      <c r="HNG156" s="52"/>
      <c r="HNH156" s="53"/>
      <c r="HNI156" s="54"/>
      <c r="HNJ156" s="52"/>
      <c r="HNK156" s="53"/>
      <c r="HNL156" s="54"/>
      <c r="HNM156" s="52"/>
      <c r="HNN156" s="53"/>
      <c r="HNO156" s="8"/>
      <c r="HNP156" s="45"/>
      <c r="HNQ156" s="45"/>
      <c r="HNR156" s="46"/>
      <c r="HNS156" s="44"/>
      <c r="HNT156" s="7"/>
      <c r="HNU156" s="51"/>
      <c r="HNV156" s="52"/>
      <c r="HNW156" s="53"/>
      <c r="HNX156" s="54"/>
      <c r="HNY156" s="52"/>
      <c r="HNZ156" s="53"/>
      <c r="HOA156" s="54"/>
      <c r="HOB156" s="52"/>
      <c r="HOC156" s="53"/>
      <c r="HOD156" s="8"/>
      <c r="HOE156" s="45"/>
      <c r="HOF156" s="45"/>
      <c r="HOG156" s="46"/>
      <c r="HOH156" s="44"/>
      <c r="HOI156" s="7"/>
      <c r="HOJ156" s="51"/>
      <c r="HOK156" s="52"/>
      <c r="HOL156" s="53"/>
      <c r="HOM156" s="54"/>
      <c r="HON156" s="52"/>
      <c r="HOO156" s="53"/>
      <c r="HOP156" s="54"/>
      <c r="HOQ156" s="52"/>
      <c r="HOR156" s="53"/>
      <c r="HOS156" s="8"/>
      <c r="HOT156" s="45"/>
      <c r="HOU156" s="45"/>
      <c r="HOV156" s="46"/>
      <c r="HOW156" s="44"/>
      <c r="HOX156" s="7"/>
      <c r="HOY156" s="51"/>
      <c r="HOZ156" s="52"/>
      <c r="HPA156" s="53"/>
      <c r="HPB156" s="54"/>
      <c r="HPC156" s="52"/>
      <c r="HPD156" s="53"/>
      <c r="HPE156" s="54"/>
      <c r="HPF156" s="52"/>
      <c r="HPG156" s="53"/>
      <c r="HPH156" s="8"/>
      <c r="HPI156" s="45"/>
      <c r="HPJ156" s="45"/>
      <c r="HPK156" s="46"/>
      <c r="HPL156" s="44"/>
      <c r="HPM156" s="7"/>
      <c r="HPN156" s="51"/>
      <c r="HPO156" s="52"/>
      <c r="HPP156" s="53"/>
      <c r="HPQ156" s="54"/>
      <c r="HPR156" s="52"/>
      <c r="HPS156" s="53"/>
      <c r="HPT156" s="54"/>
      <c r="HPU156" s="52"/>
      <c r="HPV156" s="53"/>
      <c r="HPW156" s="8"/>
      <c r="HPX156" s="45"/>
      <c r="HPY156" s="45"/>
      <c r="HPZ156" s="46"/>
      <c r="HQA156" s="44"/>
      <c r="HQB156" s="7"/>
      <c r="HQC156" s="51"/>
      <c r="HQD156" s="52"/>
      <c r="HQE156" s="53"/>
      <c r="HQF156" s="54"/>
      <c r="HQG156" s="52"/>
      <c r="HQH156" s="53"/>
      <c r="HQI156" s="54"/>
      <c r="HQJ156" s="52"/>
      <c r="HQK156" s="53"/>
      <c r="HQL156" s="8"/>
      <c r="HQM156" s="45"/>
      <c r="HQN156" s="45"/>
      <c r="HQO156" s="46"/>
      <c r="HQP156" s="44"/>
      <c r="HQQ156" s="7"/>
      <c r="HQR156" s="51"/>
      <c r="HQS156" s="52"/>
      <c r="HQT156" s="53"/>
      <c r="HQU156" s="54"/>
      <c r="HQV156" s="52"/>
      <c r="HQW156" s="53"/>
      <c r="HQX156" s="54"/>
      <c r="HQY156" s="52"/>
      <c r="HQZ156" s="53"/>
      <c r="HRA156" s="8"/>
      <c r="HRB156" s="45"/>
      <c r="HRC156" s="45"/>
      <c r="HRD156" s="46"/>
      <c r="HRE156" s="44"/>
      <c r="HRF156" s="7"/>
      <c r="HRG156" s="51"/>
      <c r="HRH156" s="52"/>
      <c r="HRI156" s="53"/>
      <c r="HRJ156" s="54"/>
      <c r="HRK156" s="52"/>
      <c r="HRL156" s="53"/>
      <c r="HRM156" s="54"/>
      <c r="HRN156" s="52"/>
      <c r="HRO156" s="53"/>
      <c r="HRP156" s="8"/>
      <c r="HRQ156" s="45"/>
      <c r="HRR156" s="45"/>
      <c r="HRS156" s="46"/>
      <c r="HRT156" s="44"/>
      <c r="HRU156" s="7"/>
      <c r="HRV156" s="51"/>
      <c r="HRW156" s="52"/>
      <c r="HRX156" s="53"/>
      <c r="HRY156" s="54"/>
      <c r="HRZ156" s="52"/>
      <c r="HSA156" s="53"/>
      <c r="HSB156" s="54"/>
      <c r="HSC156" s="52"/>
      <c r="HSD156" s="53"/>
      <c r="HSE156" s="8"/>
      <c r="HSF156" s="45"/>
      <c r="HSG156" s="45"/>
      <c r="HSH156" s="46"/>
      <c r="HSI156" s="44"/>
      <c r="HSJ156" s="7"/>
      <c r="HSK156" s="51"/>
      <c r="HSL156" s="52"/>
      <c r="HSM156" s="53"/>
      <c r="HSN156" s="54"/>
      <c r="HSO156" s="52"/>
      <c r="HSP156" s="53"/>
      <c r="HSQ156" s="54"/>
      <c r="HSR156" s="52"/>
      <c r="HSS156" s="53"/>
      <c r="HST156" s="8"/>
      <c r="HSU156" s="45"/>
      <c r="HSV156" s="45"/>
      <c r="HSW156" s="46"/>
      <c r="HSX156" s="44"/>
      <c r="HSY156" s="7"/>
      <c r="HSZ156" s="51"/>
      <c r="HTA156" s="52"/>
      <c r="HTB156" s="53"/>
      <c r="HTC156" s="54"/>
      <c r="HTD156" s="52"/>
      <c r="HTE156" s="53"/>
      <c r="HTF156" s="54"/>
      <c r="HTG156" s="52"/>
      <c r="HTH156" s="53"/>
      <c r="HTI156" s="8"/>
      <c r="HTJ156" s="45"/>
      <c r="HTK156" s="45"/>
      <c r="HTL156" s="46"/>
      <c r="HTM156" s="44"/>
      <c r="HTN156" s="7"/>
      <c r="HTO156" s="51"/>
      <c r="HTP156" s="52"/>
      <c r="HTQ156" s="53"/>
      <c r="HTR156" s="54"/>
      <c r="HTS156" s="52"/>
      <c r="HTT156" s="53"/>
      <c r="HTU156" s="54"/>
      <c r="HTV156" s="52"/>
      <c r="HTW156" s="53"/>
      <c r="HTX156" s="8"/>
      <c r="HTY156" s="45"/>
      <c r="HTZ156" s="45"/>
      <c r="HUA156" s="46"/>
      <c r="HUB156" s="44"/>
      <c r="HUC156" s="7"/>
      <c r="HUD156" s="51"/>
      <c r="HUE156" s="52"/>
      <c r="HUF156" s="53"/>
      <c r="HUG156" s="54"/>
      <c r="HUH156" s="52"/>
      <c r="HUI156" s="53"/>
      <c r="HUJ156" s="54"/>
      <c r="HUK156" s="52"/>
      <c r="HUL156" s="53"/>
      <c r="HUM156" s="8"/>
      <c r="HUN156" s="45"/>
      <c r="HUO156" s="45"/>
      <c r="HUP156" s="46"/>
      <c r="HUQ156" s="44"/>
      <c r="HUR156" s="7"/>
      <c r="HUS156" s="51"/>
      <c r="HUT156" s="52"/>
      <c r="HUU156" s="53"/>
      <c r="HUV156" s="54"/>
      <c r="HUW156" s="52"/>
      <c r="HUX156" s="53"/>
      <c r="HUY156" s="54"/>
      <c r="HUZ156" s="52"/>
      <c r="HVA156" s="53"/>
      <c r="HVB156" s="8"/>
      <c r="HVC156" s="45"/>
      <c r="HVD156" s="45"/>
      <c r="HVE156" s="46"/>
      <c r="HVF156" s="44"/>
      <c r="HVG156" s="7"/>
      <c r="HVH156" s="51"/>
      <c r="HVI156" s="52"/>
      <c r="HVJ156" s="53"/>
      <c r="HVK156" s="54"/>
      <c r="HVL156" s="52"/>
      <c r="HVM156" s="53"/>
      <c r="HVN156" s="54"/>
      <c r="HVO156" s="52"/>
      <c r="HVP156" s="53"/>
      <c r="HVQ156" s="8"/>
      <c r="HVR156" s="45"/>
      <c r="HVS156" s="45"/>
      <c r="HVT156" s="46"/>
      <c r="HVU156" s="44"/>
      <c r="HVV156" s="7"/>
      <c r="HVW156" s="51"/>
      <c r="HVX156" s="52"/>
      <c r="HVY156" s="53"/>
      <c r="HVZ156" s="54"/>
      <c r="HWA156" s="52"/>
      <c r="HWB156" s="53"/>
      <c r="HWC156" s="54"/>
      <c r="HWD156" s="52"/>
      <c r="HWE156" s="53"/>
      <c r="HWF156" s="8"/>
      <c r="HWG156" s="45"/>
      <c r="HWH156" s="45"/>
      <c r="HWI156" s="46"/>
      <c r="HWJ156" s="44"/>
      <c r="HWK156" s="7"/>
      <c r="HWL156" s="51"/>
      <c r="HWM156" s="52"/>
      <c r="HWN156" s="53"/>
      <c r="HWO156" s="54"/>
      <c r="HWP156" s="52"/>
      <c r="HWQ156" s="53"/>
      <c r="HWR156" s="54"/>
      <c r="HWS156" s="52"/>
      <c r="HWT156" s="53"/>
      <c r="HWU156" s="8"/>
      <c r="HWV156" s="45"/>
      <c r="HWW156" s="45"/>
      <c r="HWX156" s="46"/>
      <c r="HWY156" s="44"/>
      <c r="HWZ156" s="7"/>
      <c r="HXA156" s="51"/>
      <c r="HXB156" s="52"/>
      <c r="HXC156" s="53"/>
      <c r="HXD156" s="54"/>
      <c r="HXE156" s="52"/>
      <c r="HXF156" s="53"/>
      <c r="HXG156" s="54"/>
      <c r="HXH156" s="52"/>
      <c r="HXI156" s="53"/>
      <c r="HXJ156" s="8"/>
      <c r="HXK156" s="45"/>
      <c r="HXL156" s="45"/>
      <c r="HXM156" s="46"/>
      <c r="HXN156" s="44"/>
      <c r="HXO156" s="7"/>
      <c r="HXP156" s="51"/>
      <c r="HXQ156" s="52"/>
      <c r="HXR156" s="53"/>
      <c r="HXS156" s="54"/>
      <c r="HXT156" s="52"/>
      <c r="HXU156" s="53"/>
      <c r="HXV156" s="54"/>
      <c r="HXW156" s="52"/>
      <c r="HXX156" s="53"/>
      <c r="HXY156" s="8"/>
      <c r="HXZ156" s="45"/>
      <c r="HYA156" s="45"/>
      <c r="HYB156" s="46"/>
      <c r="HYC156" s="44"/>
      <c r="HYD156" s="7"/>
      <c r="HYE156" s="51"/>
      <c r="HYF156" s="52"/>
      <c r="HYG156" s="53"/>
      <c r="HYH156" s="54"/>
      <c r="HYI156" s="52"/>
      <c r="HYJ156" s="53"/>
      <c r="HYK156" s="54"/>
      <c r="HYL156" s="52"/>
      <c r="HYM156" s="53"/>
      <c r="HYN156" s="8"/>
      <c r="HYO156" s="45"/>
      <c r="HYP156" s="45"/>
      <c r="HYQ156" s="46"/>
      <c r="HYR156" s="44"/>
      <c r="HYS156" s="7"/>
      <c r="HYT156" s="51"/>
      <c r="HYU156" s="52"/>
      <c r="HYV156" s="53"/>
      <c r="HYW156" s="54"/>
      <c r="HYX156" s="52"/>
      <c r="HYY156" s="53"/>
      <c r="HYZ156" s="54"/>
      <c r="HZA156" s="52"/>
      <c r="HZB156" s="53"/>
      <c r="HZC156" s="8"/>
      <c r="HZD156" s="45"/>
      <c r="HZE156" s="45"/>
      <c r="HZF156" s="46"/>
      <c r="HZG156" s="44"/>
      <c r="HZH156" s="7"/>
      <c r="HZI156" s="51"/>
      <c r="HZJ156" s="52"/>
      <c r="HZK156" s="53"/>
      <c r="HZL156" s="54"/>
      <c r="HZM156" s="52"/>
      <c r="HZN156" s="53"/>
      <c r="HZO156" s="54"/>
      <c r="HZP156" s="52"/>
      <c r="HZQ156" s="53"/>
      <c r="HZR156" s="8"/>
      <c r="HZS156" s="45"/>
      <c r="HZT156" s="45"/>
      <c r="HZU156" s="46"/>
      <c r="HZV156" s="44"/>
      <c r="HZW156" s="7"/>
      <c r="HZX156" s="51"/>
      <c r="HZY156" s="52"/>
      <c r="HZZ156" s="53"/>
      <c r="IAA156" s="54"/>
      <c r="IAB156" s="52"/>
      <c r="IAC156" s="53"/>
      <c r="IAD156" s="54"/>
      <c r="IAE156" s="52"/>
      <c r="IAF156" s="53"/>
      <c r="IAG156" s="8"/>
      <c r="IAH156" s="45"/>
      <c r="IAI156" s="45"/>
      <c r="IAJ156" s="46"/>
      <c r="IAK156" s="44"/>
      <c r="IAL156" s="7"/>
      <c r="IAM156" s="51"/>
      <c r="IAN156" s="52"/>
      <c r="IAO156" s="53"/>
      <c r="IAP156" s="54"/>
      <c r="IAQ156" s="52"/>
      <c r="IAR156" s="53"/>
      <c r="IAS156" s="54"/>
      <c r="IAT156" s="52"/>
      <c r="IAU156" s="53"/>
      <c r="IAV156" s="8"/>
      <c r="IAW156" s="45"/>
      <c r="IAX156" s="45"/>
      <c r="IAY156" s="46"/>
      <c r="IAZ156" s="44"/>
      <c r="IBA156" s="7"/>
      <c r="IBB156" s="51"/>
      <c r="IBC156" s="52"/>
      <c r="IBD156" s="53"/>
      <c r="IBE156" s="54"/>
      <c r="IBF156" s="52"/>
      <c r="IBG156" s="53"/>
      <c r="IBH156" s="54"/>
      <c r="IBI156" s="52"/>
      <c r="IBJ156" s="53"/>
      <c r="IBK156" s="8"/>
      <c r="IBL156" s="45"/>
      <c r="IBM156" s="45"/>
      <c r="IBN156" s="46"/>
      <c r="IBO156" s="44"/>
      <c r="IBP156" s="7"/>
      <c r="IBQ156" s="51"/>
      <c r="IBR156" s="52"/>
      <c r="IBS156" s="53"/>
      <c r="IBT156" s="54"/>
      <c r="IBU156" s="52"/>
      <c r="IBV156" s="53"/>
      <c r="IBW156" s="54"/>
      <c r="IBX156" s="52"/>
      <c r="IBY156" s="53"/>
      <c r="IBZ156" s="8"/>
      <c r="ICA156" s="45"/>
      <c r="ICB156" s="45"/>
      <c r="ICC156" s="46"/>
      <c r="ICD156" s="44"/>
      <c r="ICE156" s="7"/>
      <c r="ICF156" s="51"/>
      <c r="ICG156" s="52"/>
      <c r="ICH156" s="53"/>
      <c r="ICI156" s="54"/>
      <c r="ICJ156" s="52"/>
      <c r="ICK156" s="53"/>
      <c r="ICL156" s="54"/>
      <c r="ICM156" s="52"/>
      <c r="ICN156" s="53"/>
      <c r="ICO156" s="8"/>
      <c r="ICP156" s="45"/>
      <c r="ICQ156" s="45"/>
      <c r="ICR156" s="46"/>
      <c r="ICS156" s="44"/>
      <c r="ICT156" s="7"/>
      <c r="ICU156" s="51"/>
      <c r="ICV156" s="52"/>
      <c r="ICW156" s="53"/>
      <c r="ICX156" s="54"/>
      <c r="ICY156" s="52"/>
      <c r="ICZ156" s="53"/>
      <c r="IDA156" s="54"/>
      <c r="IDB156" s="52"/>
      <c r="IDC156" s="53"/>
      <c r="IDD156" s="8"/>
      <c r="IDE156" s="45"/>
      <c r="IDF156" s="45"/>
      <c r="IDG156" s="46"/>
      <c r="IDH156" s="44"/>
      <c r="IDI156" s="7"/>
      <c r="IDJ156" s="51"/>
      <c r="IDK156" s="52"/>
      <c r="IDL156" s="53"/>
      <c r="IDM156" s="54"/>
      <c r="IDN156" s="52"/>
      <c r="IDO156" s="53"/>
      <c r="IDP156" s="54"/>
      <c r="IDQ156" s="52"/>
      <c r="IDR156" s="53"/>
      <c r="IDS156" s="8"/>
      <c r="IDT156" s="45"/>
      <c r="IDU156" s="45"/>
      <c r="IDV156" s="46"/>
      <c r="IDW156" s="44"/>
      <c r="IDX156" s="7"/>
      <c r="IDY156" s="51"/>
      <c r="IDZ156" s="52"/>
      <c r="IEA156" s="53"/>
      <c r="IEB156" s="54"/>
      <c r="IEC156" s="52"/>
      <c r="IED156" s="53"/>
      <c r="IEE156" s="54"/>
      <c r="IEF156" s="52"/>
      <c r="IEG156" s="53"/>
      <c r="IEH156" s="8"/>
      <c r="IEI156" s="45"/>
      <c r="IEJ156" s="45"/>
      <c r="IEK156" s="46"/>
      <c r="IEL156" s="44"/>
      <c r="IEM156" s="7"/>
      <c r="IEN156" s="51"/>
      <c r="IEO156" s="52"/>
      <c r="IEP156" s="53"/>
      <c r="IEQ156" s="54"/>
      <c r="IER156" s="52"/>
      <c r="IES156" s="53"/>
      <c r="IET156" s="54"/>
      <c r="IEU156" s="52"/>
      <c r="IEV156" s="53"/>
      <c r="IEW156" s="8"/>
      <c r="IEX156" s="45"/>
      <c r="IEY156" s="45"/>
      <c r="IEZ156" s="46"/>
      <c r="IFA156" s="44"/>
      <c r="IFB156" s="7"/>
      <c r="IFC156" s="51"/>
      <c r="IFD156" s="52"/>
      <c r="IFE156" s="53"/>
      <c r="IFF156" s="54"/>
      <c r="IFG156" s="52"/>
      <c r="IFH156" s="53"/>
      <c r="IFI156" s="54"/>
      <c r="IFJ156" s="52"/>
      <c r="IFK156" s="53"/>
      <c r="IFL156" s="8"/>
      <c r="IFM156" s="45"/>
      <c r="IFN156" s="45"/>
      <c r="IFO156" s="46"/>
      <c r="IFP156" s="44"/>
      <c r="IFQ156" s="7"/>
      <c r="IFR156" s="51"/>
      <c r="IFS156" s="52"/>
      <c r="IFT156" s="53"/>
      <c r="IFU156" s="54"/>
      <c r="IFV156" s="52"/>
      <c r="IFW156" s="53"/>
      <c r="IFX156" s="54"/>
      <c r="IFY156" s="52"/>
      <c r="IFZ156" s="53"/>
      <c r="IGA156" s="8"/>
      <c r="IGB156" s="45"/>
      <c r="IGC156" s="45"/>
      <c r="IGD156" s="46"/>
      <c r="IGE156" s="44"/>
      <c r="IGF156" s="7"/>
      <c r="IGG156" s="51"/>
      <c r="IGH156" s="52"/>
      <c r="IGI156" s="53"/>
      <c r="IGJ156" s="54"/>
      <c r="IGK156" s="52"/>
      <c r="IGL156" s="53"/>
      <c r="IGM156" s="54"/>
      <c r="IGN156" s="52"/>
      <c r="IGO156" s="53"/>
      <c r="IGP156" s="8"/>
      <c r="IGQ156" s="45"/>
      <c r="IGR156" s="45"/>
      <c r="IGS156" s="46"/>
      <c r="IGT156" s="44"/>
      <c r="IGU156" s="7"/>
      <c r="IGV156" s="51"/>
      <c r="IGW156" s="52"/>
      <c r="IGX156" s="53"/>
      <c r="IGY156" s="54"/>
      <c r="IGZ156" s="52"/>
      <c r="IHA156" s="53"/>
      <c r="IHB156" s="54"/>
      <c r="IHC156" s="52"/>
      <c r="IHD156" s="53"/>
      <c r="IHE156" s="8"/>
      <c r="IHF156" s="45"/>
      <c r="IHG156" s="45"/>
      <c r="IHH156" s="46"/>
      <c r="IHI156" s="44"/>
      <c r="IHJ156" s="7"/>
      <c r="IHK156" s="51"/>
      <c r="IHL156" s="52"/>
      <c r="IHM156" s="53"/>
      <c r="IHN156" s="54"/>
      <c r="IHO156" s="52"/>
      <c r="IHP156" s="53"/>
      <c r="IHQ156" s="54"/>
      <c r="IHR156" s="52"/>
      <c r="IHS156" s="53"/>
      <c r="IHT156" s="8"/>
      <c r="IHU156" s="45"/>
      <c r="IHV156" s="45"/>
      <c r="IHW156" s="46"/>
      <c r="IHX156" s="44"/>
      <c r="IHY156" s="7"/>
      <c r="IHZ156" s="51"/>
      <c r="IIA156" s="52"/>
      <c r="IIB156" s="53"/>
      <c r="IIC156" s="54"/>
      <c r="IID156" s="52"/>
      <c r="IIE156" s="53"/>
      <c r="IIF156" s="54"/>
      <c r="IIG156" s="52"/>
      <c r="IIH156" s="53"/>
      <c r="III156" s="8"/>
      <c r="IIJ156" s="45"/>
      <c r="IIK156" s="45"/>
      <c r="IIL156" s="46"/>
      <c r="IIM156" s="44"/>
      <c r="IIN156" s="7"/>
      <c r="IIO156" s="51"/>
      <c r="IIP156" s="52"/>
      <c r="IIQ156" s="53"/>
      <c r="IIR156" s="54"/>
      <c r="IIS156" s="52"/>
      <c r="IIT156" s="53"/>
      <c r="IIU156" s="54"/>
      <c r="IIV156" s="52"/>
      <c r="IIW156" s="53"/>
      <c r="IIX156" s="8"/>
      <c r="IIY156" s="45"/>
      <c r="IIZ156" s="45"/>
      <c r="IJA156" s="46"/>
      <c r="IJB156" s="44"/>
      <c r="IJC156" s="7"/>
      <c r="IJD156" s="51"/>
      <c r="IJE156" s="52"/>
      <c r="IJF156" s="53"/>
      <c r="IJG156" s="54"/>
      <c r="IJH156" s="52"/>
      <c r="IJI156" s="53"/>
      <c r="IJJ156" s="54"/>
      <c r="IJK156" s="52"/>
      <c r="IJL156" s="53"/>
      <c r="IJM156" s="8"/>
      <c r="IJN156" s="45"/>
      <c r="IJO156" s="45"/>
      <c r="IJP156" s="46"/>
      <c r="IJQ156" s="44"/>
      <c r="IJR156" s="7"/>
      <c r="IJS156" s="51"/>
      <c r="IJT156" s="52"/>
      <c r="IJU156" s="53"/>
      <c r="IJV156" s="54"/>
      <c r="IJW156" s="52"/>
      <c r="IJX156" s="53"/>
      <c r="IJY156" s="54"/>
      <c r="IJZ156" s="52"/>
      <c r="IKA156" s="53"/>
      <c r="IKB156" s="8"/>
      <c r="IKC156" s="45"/>
      <c r="IKD156" s="45"/>
      <c r="IKE156" s="46"/>
      <c r="IKF156" s="44"/>
      <c r="IKG156" s="7"/>
      <c r="IKH156" s="51"/>
      <c r="IKI156" s="52"/>
      <c r="IKJ156" s="53"/>
      <c r="IKK156" s="54"/>
      <c r="IKL156" s="52"/>
      <c r="IKM156" s="53"/>
      <c r="IKN156" s="54"/>
      <c r="IKO156" s="52"/>
      <c r="IKP156" s="53"/>
      <c r="IKQ156" s="8"/>
      <c r="IKR156" s="45"/>
      <c r="IKS156" s="45"/>
      <c r="IKT156" s="46"/>
      <c r="IKU156" s="44"/>
      <c r="IKV156" s="7"/>
      <c r="IKW156" s="51"/>
      <c r="IKX156" s="52"/>
      <c r="IKY156" s="53"/>
      <c r="IKZ156" s="54"/>
      <c r="ILA156" s="52"/>
      <c r="ILB156" s="53"/>
      <c r="ILC156" s="54"/>
      <c r="ILD156" s="52"/>
      <c r="ILE156" s="53"/>
      <c r="ILF156" s="8"/>
      <c r="ILG156" s="45"/>
      <c r="ILH156" s="45"/>
      <c r="ILI156" s="46"/>
      <c r="ILJ156" s="44"/>
      <c r="ILK156" s="7"/>
      <c r="ILL156" s="51"/>
      <c r="ILM156" s="52"/>
      <c r="ILN156" s="53"/>
      <c r="ILO156" s="54"/>
      <c r="ILP156" s="52"/>
      <c r="ILQ156" s="53"/>
      <c r="ILR156" s="54"/>
      <c r="ILS156" s="52"/>
      <c r="ILT156" s="53"/>
      <c r="ILU156" s="8"/>
      <c r="ILV156" s="45"/>
      <c r="ILW156" s="45"/>
      <c r="ILX156" s="46"/>
      <c r="ILY156" s="44"/>
      <c r="ILZ156" s="7"/>
      <c r="IMA156" s="51"/>
      <c r="IMB156" s="52"/>
      <c r="IMC156" s="53"/>
      <c r="IMD156" s="54"/>
      <c r="IME156" s="52"/>
      <c r="IMF156" s="53"/>
      <c r="IMG156" s="54"/>
      <c r="IMH156" s="52"/>
      <c r="IMI156" s="53"/>
      <c r="IMJ156" s="8"/>
      <c r="IMK156" s="45"/>
      <c r="IML156" s="45"/>
      <c r="IMM156" s="46"/>
      <c r="IMN156" s="44"/>
      <c r="IMO156" s="7"/>
      <c r="IMP156" s="51"/>
      <c r="IMQ156" s="52"/>
      <c r="IMR156" s="53"/>
      <c r="IMS156" s="54"/>
      <c r="IMT156" s="52"/>
      <c r="IMU156" s="53"/>
      <c r="IMV156" s="54"/>
      <c r="IMW156" s="52"/>
      <c r="IMX156" s="53"/>
      <c r="IMY156" s="8"/>
      <c r="IMZ156" s="45"/>
      <c r="INA156" s="45"/>
      <c r="INB156" s="46"/>
      <c r="INC156" s="44"/>
      <c r="IND156" s="7"/>
      <c r="INE156" s="51"/>
      <c r="INF156" s="52"/>
      <c r="ING156" s="53"/>
      <c r="INH156" s="54"/>
      <c r="INI156" s="52"/>
      <c r="INJ156" s="53"/>
      <c r="INK156" s="54"/>
      <c r="INL156" s="52"/>
      <c r="INM156" s="53"/>
      <c r="INN156" s="8"/>
      <c r="INO156" s="45"/>
      <c r="INP156" s="45"/>
      <c r="INQ156" s="46"/>
      <c r="INR156" s="44"/>
      <c r="INS156" s="7"/>
      <c r="INT156" s="51"/>
      <c r="INU156" s="52"/>
      <c r="INV156" s="53"/>
      <c r="INW156" s="54"/>
      <c r="INX156" s="52"/>
      <c r="INY156" s="53"/>
      <c r="INZ156" s="54"/>
      <c r="IOA156" s="52"/>
      <c r="IOB156" s="53"/>
      <c r="IOC156" s="8"/>
      <c r="IOD156" s="45"/>
      <c r="IOE156" s="45"/>
      <c r="IOF156" s="46"/>
      <c r="IOG156" s="44"/>
      <c r="IOH156" s="7"/>
      <c r="IOI156" s="51"/>
      <c r="IOJ156" s="52"/>
      <c r="IOK156" s="53"/>
      <c r="IOL156" s="54"/>
      <c r="IOM156" s="52"/>
      <c r="ION156" s="53"/>
      <c r="IOO156" s="54"/>
      <c r="IOP156" s="52"/>
      <c r="IOQ156" s="53"/>
      <c r="IOR156" s="8"/>
      <c r="IOS156" s="45"/>
      <c r="IOT156" s="45"/>
      <c r="IOU156" s="46"/>
      <c r="IOV156" s="44"/>
      <c r="IOW156" s="7"/>
      <c r="IOX156" s="51"/>
      <c r="IOY156" s="52"/>
      <c r="IOZ156" s="53"/>
      <c r="IPA156" s="54"/>
      <c r="IPB156" s="52"/>
      <c r="IPC156" s="53"/>
      <c r="IPD156" s="54"/>
      <c r="IPE156" s="52"/>
      <c r="IPF156" s="53"/>
      <c r="IPG156" s="8"/>
      <c r="IPH156" s="45"/>
      <c r="IPI156" s="45"/>
      <c r="IPJ156" s="46"/>
      <c r="IPK156" s="44"/>
      <c r="IPL156" s="7"/>
      <c r="IPM156" s="51"/>
      <c r="IPN156" s="52"/>
      <c r="IPO156" s="53"/>
      <c r="IPP156" s="54"/>
      <c r="IPQ156" s="52"/>
      <c r="IPR156" s="53"/>
      <c r="IPS156" s="54"/>
      <c r="IPT156" s="52"/>
      <c r="IPU156" s="53"/>
      <c r="IPV156" s="8"/>
      <c r="IPW156" s="45"/>
      <c r="IPX156" s="45"/>
      <c r="IPY156" s="46"/>
      <c r="IPZ156" s="44"/>
      <c r="IQA156" s="7"/>
      <c r="IQB156" s="51"/>
      <c r="IQC156" s="52"/>
      <c r="IQD156" s="53"/>
      <c r="IQE156" s="54"/>
      <c r="IQF156" s="52"/>
      <c r="IQG156" s="53"/>
      <c r="IQH156" s="54"/>
      <c r="IQI156" s="52"/>
      <c r="IQJ156" s="53"/>
      <c r="IQK156" s="8"/>
      <c r="IQL156" s="45"/>
      <c r="IQM156" s="45"/>
      <c r="IQN156" s="46"/>
      <c r="IQO156" s="44"/>
      <c r="IQP156" s="7"/>
      <c r="IQQ156" s="51"/>
      <c r="IQR156" s="52"/>
      <c r="IQS156" s="53"/>
      <c r="IQT156" s="54"/>
      <c r="IQU156" s="52"/>
      <c r="IQV156" s="53"/>
      <c r="IQW156" s="54"/>
      <c r="IQX156" s="52"/>
      <c r="IQY156" s="53"/>
      <c r="IQZ156" s="8"/>
      <c r="IRA156" s="45"/>
      <c r="IRB156" s="45"/>
      <c r="IRC156" s="46"/>
      <c r="IRD156" s="44"/>
      <c r="IRE156" s="7"/>
      <c r="IRF156" s="51"/>
      <c r="IRG156" s="52"/>
      <c r="IRH156" s="53"/>
      <c r="IRI156" s="54"/>
      <c r="IRJ156" s="52"/>
      <c r="IRK156" s="53"/>
      <c r="IRL156" s="54"/>
      <c r="IRM156" s="52"/>
      <c r="IRN156" s="53"/>
      <c r="IRO156" s="8"/>
      <c r="IRP156" s="45"/>
      <c r="IRQ156" s="45"/>
      <c r="IRR156" s="46"/>
      <c r="IRS156" s="44"/>
      <c r="IRT156" s="7"/>
      <c r="IRU156" s="51"/>
      <c r="IRV156" s="52"/>
      <c r="IRW156" s="53"/>
      <c r="IRX156" s="54"/>
      <c r="IRY156" s="52"/>
      <c r="IRZ156" s="53"/>
      <c r="ISA156" s="54"/>
      <c r="ISB156" s="52"/>
      <c r="ISC156" s="53"/>
      <c r="ISD156" s="8"/>
      <c r="ISE156" s="45"/>
      <c r="ISF156" s="45"/>
      <c r="ISG156" s="46"/>
      <c r="ISH156" s="44"/>
      <c r="ISI156" s="7"/>
      <c r="ISJ156" s="51"/>
      <c r="ISK156" s="52"/>
      <c r="ISL156" s="53"/>
      <c r="ISM156" s="54"/>
      <c r="ISN156" s="52"/>
      <c r="ISO156" s="53"/>
      <c r="ISP156" s="54"/>
      <c r="ISQ156" s="52"/>
      <c r="ISR156" s="53"/>
      <c r="ISS156" s="8"/>
      <c r="IST156" s="45"/>
      <c r="ISU156" s="45"/>
      <c r="ISV156" s="46"/>
      <c r="ISW156" s="44"/>
      <c r="ISX156" s="7"/>
      <c r="ISY156" s="51"/>
      <c r="ISZ156" s="52"/>
      <c r="ITA156" s="53"/>
      <c r="ITB156" s="54"/>
      <c r="ITC156" s="52"/>
      <c r="ITD156" s="53"/>
      <c r="ITE156" s="54"/>
      <c r="ITF156" s="52"/>
      <c r="ITG156" s="53"/>
      <c r="ITH156" s="8"/>
      <c r="ITI156" s="45"/>
      <c r="ITJ156" s="45"/>
      <c r="ITK156" s="46"/>
      <c r="ITL156" s="44"/>
      <c r="ITM156" s="7"/>
      <c r="ITN156" s="51"/>
      <c r="ITO156" s="52"/>
      <c r="ITP156" s="53"/>
      <c r="ITQ156" s="54"/>
      <c r="ITR156" s="52"/>
      <c r="ITS156" s="53"/>
      <c r="ITT156" s="54"/>
      <c r="ITU156" s="52"/>
      <c r="ITV156" s="53"/>
      <c r="ITW156" s="8"/>
      <c r="ITX156" s="45"/>
      <c r="ITY156" s="45"/>
      <c r="ITZ156" s="46"/>
      <c r="IUA156" s="44"/>
      <c r="IUB156" s="7"/>
      <c r="IUC156" s="51"/>
      <c r="IUD156" s="52"/>
      <c r="IUE156" s="53"/>
      <c r="IUF156" s="54"/>
      <c r="IUG156" s="52"/>
      <c r="IUH156" s="53"/>
      <c r="IUI156" s="54"/>
      <c r="IUJ156" s="52"/>
      <c r="IUK156" s="53"/>
      <c r="IUL156" s="8"/>
      <c r="IUM156" s="45"/>
      <c r="IUN156" s="45"/>
      <c r="IUO156" s="46"/>
      <c r="IUP156" s="44"/>
      <c r="IUQ156" s="7"/>
      <c r="IUR156" s="51"/>
      <c r="IUS156" s="52"/>
      <c r="IUT156" s="53"/>
      <c r="IUU156" s="54"/>
      <c r="IUV156" s="52"/>
      <c r="IUW156" s="53"/>
      <c r="IUX156" s="54"/>
      <c r="IUY156" s="52"/>
      <c r="IUZ156" s="53"/>
      <c r="IVA156" s="8"/>
      <c r="IVB156" s="45"/>
      <c r="IVC156" s="45"/>
      <c r="IVD156" s="46"/>
      <c r="IVE156" s="44"/>
      <c r="IVF156" s="7"/>
      <c r="IVG156" s="51"/>
      <c r="IVH156" s="52"/>
      <c r="IVI156" s="53"/>
      <c r="IVJ156" s="54"/>
      <c r="IVK156" s="52"/>
      <c r="IVL156" s="53"/>
      <c r="IVM156" s="54"/>
      <c r="IVN156" s="52"/>
      <c r="IVO156" s="53"/>
      <c r="IVP156" s="8"/>
      <c r="IVQ156" s="45"/>
      <c r="IVR156" s="45"/>
      <c r="IVS156" s="46"/>
      <c r="IVT156" s="44"/>
      <c r="IVU156" s="7"/>
      <c r="IVV156" s="51"/>
      <c r="IVW156" s="52"/>
      <c r="IVX156" s="53"/>
      <c r="IVY156" s="54"/>
      <c r="IVZ156" s="52"/>
      <c r="IWA156" s="53"/>
      <c r="IWB156" s="54"/>
      <c r="IWC156" s="52"/>
      <c r="IWD156" s="53"/>
      <c r="IWE156" s="8"/>
      <c r="IWF156" s="45"/>
      <c r="IWG156" s="45"/>
      <c r="IWH156" s="46"/>
      <c r="IWI156" s="44"/>
      <c r="IWJ156" s="7"/>
      <c r="IWK156" s="51"/>
      <c r="IWL156" s="52"/>
      <c r="IWM156" s="53"/>
      <c r="IWN156" s="54"/>
      <c r="IWO156" s="52"/>
      <c r="IWP156" s="53"/>
      <c r="IWQ156" s="54"/>
      <c r="IWR156" s="52"/>
      <c r="IWS156" s="53"/>
      <c r="IWT156" s="8"/>
      <c r="IWU156" s="45"/>
      <c r="IWV156" s="45"/>
      <c r="IWW156" s="46"/>
      <c r="IWX156" s="44"/>
      <c r="IWY156" s="7"/>
      <c r="IWZ156" s="51"/>
      <c r="IXA156" s="52"/>
      <c r="IXB156" s="53"/>
      <c r="IXC156" s="54"/>
      <c r="IXD156" s="52"/>
      <c r="IXE156" s="53"/>
      <c r="IXF156" s="54"/>
      <c r="IXG156" s="52"/>
      <c r="IXH156" s="53"/>
      <c r="IXI156" s="8"/>
      <c r="IXJ156" s="45"/>
      <c r="IXK156" s="45"/>
      <c r="IXL156" s="46"/>
      <c r="IXM156" s="44"/>
      <c r="IXN156" s="7"/>
      <c r="IXO156" s="51"/>
      <c r="IXP156" s="52"/>
      <c r="IXQ156" s="53"/>
      <c r="IXR156" s="54"/>
      <c r="IXS156" s="52"/>
      <c r="IXT156" s="53"/>
      <c r="IXU156" s="54"/>
      <c r="IXV156" s="52"/>
      <c r="IXW156" s="53"/>
      <c r="IXX156" s="8"/>
      <c r="IXY156" s="45"/>
      <c r="IXZ156" s="45"/>
      <c r="IYA156" s="46"/>
      <c r="IYB156" s="44"/>
      <c r="IYC156" s="7"/>
      <c r="IYD156" s="51"/>
      <c r="IYE156" s="52"/>
      <c r="IYF156" s="53"/>
      <c r="IYG156" s="54"/>
      <c r="IYH156" s="52"/>
      <c r="IYI156" s="53"/>
      <c r="IYJ156" s="54"/>
      <c r="IYK156" s="52"/>
      <c r="IYL156" s="53"/>
      <c r="IYM156" s="8"/>
      <c r="IYN156" s="45"/>
      <c r="IYO156" s="45"/>
      <c r="IYP156" s="46"/>
      <c r="IYQ156" s="44"/>
      <c r="IYR156" s="7"/>
      <c r="IYS156" s="51"/>
      <c r="IYT156" s="52"/>
      <c r="IYU156" s="53"/>
      <c r="IYV156" s="54"/>
      <c r="IYW156" s="52"/>
      <c r="IYX156" s="53"/>
      <c r="IYY156" s="54"/>
      <c r="IYZ156" s="52"/>
      <c r="IZA156" s="53"/>
      <c r="IZB156" s="8"/>
      <c r="IZC156" s="45"/>
      <c r="IZD156" s="45"/>
      <c r="IZE156" s="46"/>
      <c r="IZF156" s="44"/>
      <c r="IZG156" s="7"/>
      <c r="IZH156" s="51"/>
      <c r="IZI156" s="52"/>
      <c r="IZJ156" s="53"/>
      <c r="IZK156" s="54"/>
      <c r="IZL156" s="52"/>
      <c r="IZM156" s="53"/>
      <c r="IZN156" s="54"/>
      <c r="IZO156" s="52"/>
      <c r="IZP156" s="53"/>
      <c r="IZQ156" s="8"/>
      <c r="IZR156" s="45"/>
      <c r="IZS156" s="45"/>
      <c r="IZT156" s="46"/>
      <c r="IZU156" s="44"/>
      <c r="IZV156" s="7"/>
      <c r="IZW156" s="51"/>
      <c r="IZX156" s="52"/>
      <c r="IZY156" s="53"/>
      <c r="IZZ156" s="54"/>
      <c r="JAA156" s="52"/>
      <c r="JAB156" s="53"/>
      <c r="JAC156" s="54"/>
      <c r="JAD156" s="52"/>
      <c r="JAE156" s="53"/>
      <c r="JAF156" s="8"/>
      <c r="JAG156" s="45"/>
      <c r="JAH156" s="45"/>
      <c r="JAI156" s="46"/>
      <c r="JAJ156" s="44"/>
      <c r="JAK156" s="7"/>
      <c r="JAL156" s="51"/>
      <c r="JAM156" s="52"/>
      <c r="JAN156" s="53"/>
      <c r="JAO156" s="54"/>
      <c r="JAP156" s="52"/>
      <c r="JAQ156" s="53"/>
      <c r="JAR156" s="54"/>
      <c r="JAS156" s="52"/>
      <c r="JAT156" s="53"/>
      <c r="JAU156" s="8"/>
      <c r="JAV156" s="45"/>
      <c r="JAW156" s="45"/>
      <c r="JAX156" s="46"/>
      <c r="JAY156" s="44"/>
      <c r="JAZ156" s="7"/>
      <c r="JBA156" s="51"/>
      <c r="JBB156" s="52"/>
      <c r="JBC156" s="53"/>
      <c r="JBD156" s="54"/>
      <c r="JBE156" s="52"/>
      <c r="JBF156" s="53"/>
      <c r="JBG156" s="54"/>
      <c r="JBH156" s="52"/>
      <c r="JBI156" s="53"/>
      <c r="JBJ156" s="8"/>
      <c r="JBK156" s="45"/>
      <c r="JBL156" s="45"/>
      <c r="JBM156" s="46"/>
      <c r="JBN156" s="44"/>
      <c r="JBO156" s="7"/>
      <c r="JBP156" s="51"/>
      <c r="JBQ156" s="52"/>
      <c r="JBR156" s="53"/>
      <c r="JBS156" s="54"/>
      <c r="JBT156" s="52"/>
      <c r="JBU156" s="53"/>
      <c r="JBV156" s="54"/>
      <c r="JBW156" s="52"/>
      <c r="JBX156" s="53"/>
      <c r="JBY156" s="8"/>
      <c r="JBZ156" s="45"/>
      <c r="JCA156" s="45"/>
      <c r="JCB156" s="46"/>
      <c r="JCC156" s="44"/>
      <c r="JCD156" s="7"/>
      <c r="JCE156" s="51"/>
      <c r="JCF156" s="52"/>
      <c r="JCG156" s="53"/>
      <c r="JCH156" s="54"/>
      <c r="JCI156" s="52"/>
      <c r="JCJ156" s="53"/>
      <c r="JCK156" s="54"/>
      <c r="JCL156" s="52"/>
      <c r="JCM156" s="53"/>
      <c r="JCN156" s="8"/>
      <c r="JCO156" s="45"/>
      <c r="JCP156" s="45"/>
      <c r="JCQ156" s="46"/>
      <c r="JCR156" s="44"/>
      <c r="JCS156" s="7"/>
      <c r="JCT156" s="51"/>
      <c r="JCU156" s="52"/>
      <c r="JCV156" s="53"/>
      <c r="JCW156" s="54"/>
      <c r="JCX156" s="52"/>
      <c r="JCY156" s="53"/>
      <c r="JCZ156" s="54"/>
      <c r="JDA156" s="52"/>
      <c r="JDB156" s="53"/>
      <c r="JDC156" s="8"/>
      <c r="JDD156" s="45"/>
      <c r="JDE156" s="45"/>
      <c r="JDF156" s="46"/>
      <c r="JDG156" s="44"/>
      <c r="JDH156" s="7"/>
      <c r="JDI156" s="51"/>
      <c r="JDJ156" s="52"/>
      <c r="JDK156" s="53"/>
      <c r="JDL156" s="54"/>
      <c r="JDM156" s="52"/>
      <c r="JDN156" s="53"/>
      <c r="JDO156" s="54"/>
      <c r="JDP156" s="52"/>
      <c r="JDQ156" s="53"/>
      <c r="JDR156" s="8"/>
      <c r="JDS156" s="45"/>
      <c r="JDT156" s="45"/>
      <c r="JDU156" s="46"/>
      <c r="JDV156" s="44"/>
      <c r="JDW156" s="7"/>
      <c r="JDX156" s="51"/>
      <c r="JDY156" s="52"/>
      <c r="JDZ156" s="53"/>
      <c r="JEA156" s="54"/>
      <c r="JEB156" s="52"/>
      <c r="JEC156" s="53"/>
      <c r="JED156" s="54"/>
      <c r="JEE156" s="52"/>
      <c r="JEF156" s="53"/>
      <c r="JEG156" s="8"/>
      <c r="JEH156" s="45"/>
      <c r="JEI156" s="45"/>
      <c r="JEJ156" s="46"/>
      <c r="JEK156" s="44"/>
      <c r="JEL156" s="7"/>
      <c r="JEM156" s="51"/>
      <c r="JEN156" s="52"/>
      <c r="JEO156" s="53"/>
      <c r="JEP156" s="54"/>
      <c r="JEQ156" s="52"/>
      <c r="JER156" s="53"/>
      <c r="JES156" s="54"/>
      <c r="JET156" s="52"/>
      <c r="JEU156" s="53"/>
      <c r="JEV156" s="8"/>
      <c r="JEW156" s="45"/>
      <c r="JEX156" s="45"/>
      <c r="JEY156" s="46"/>
      <c r="JEZ156" s="44"/>
      <c r="JFA156" s="7"/>
      <c r="JFB156" s="51"/>
      <c r="JFC156" s="52"/>
      <c r="JFD156" s="53"/>
      <c r="JFE156" s="54"/>
      <c r="JFF156" s="52"/>
      <c r="JFG156" s="53"/>
      <c r="JFH156" s="54"/>
      <c r="JFI156" s="52"/>
      <c r="JFJ156" s="53"/>
      <c r="JFK156" s="8"/>
      <c r="JFL156" s="45"/>
      <c r="JFM156" s="45"/>
      <c r="JFN156" s="46"/>
      <c r="JFO156" s="44"/>
      <c r="JFP156" s="7"/>
      <c r="JFQ156" s="51"/>
      <c r="JFR156" s="52"/>
      <c r="JFS156" s="53"/>
      <c r="JFT156" s="54"/>
      <c r="JFU156" s="52"/>
      <c r="JFV156" s="53"/>
      <c r="JFW156" s="54"/>
      <c r="JFX156" s="52"/>
      <c r="JFY156" s="53"/>
      <c r="JFZ156" s="8"/>
      <c r="JGA156" s="45"/>
      <c r="JGB156" s="45"/>
      <c r="JGC156" s="46"/>
      <c r="JGD156" s="44"/>
      <c r="JGE156" s="7"/>
      <c r="JGF156" s="51"/>
      <c r="JGG156" s="52"/>
      <c r="JGH156" s="53"/>
      <c r="JGI156" s="54"/>
      <c r="JGJ156" s="52"/>
      <c r="JGK156" s="53"/>
      <c r="JGL156" s="54"/>
      <c r="JGM156" s="52"/>
      <c r="JGN156" s="53"/>
      <c r="JGO156" s="8"/>
      <c r="JGP156" s="45"/>
      <c r="JGQ156" s="45"/>
      <c r="JGR156" s="46"/>
      <c r="JGS156" s="44"/>
      <c r="JGT156" s="7"/>
      <c r="JGU156" s="51"/>
      <c r="JGV156" s="52"/>
      <c r="JGW156" s="53"/>
      <c r="JGX156" s="54"/>
      <c r="JGY156" s="52"/>
      <c r="JGZ156" s="53"/>
      <c r="JHA156" s="54"/>
      <c r="JHB156" s="52"/>
      <c r="JHC156" s="53"/>
      <c r="JHD156" s="8"/>
      <c r="JHE156" s="45"/>
      <c r="JHF156" s="45"/>
      <c r="JHG156" s="46"/>
      <c r="JHH156" s="44"/>
      <c r="JHI156" s="7"/>
      <c r="JHJ156" s="51"/>
      <c r="JHK156" s="52"/>
      <c r="JHL156" s="53"/>
      <c r="JHM156" s="54"/>
      <c r="JHN156" s="52"/>
      <c r="JHO156" s="53"/>
      <c r="JHP156" s="54"/>
      <c r="JHQ156" s="52"/>
      <c r="JHR156" s="53"/>
      <c r="JHS156" s="8"/>
      <c r="JHT156" s="45"/>
      <c r="JHU156" s="45"/>
      <c r="JHV156" s="46"/>
      <c r="JHW156" s="44"/>
      <c r="JHX156" s="7"/>
      <c r="JHY156" s="51"/>
      <c r="JHZ156" s="52"/>
      <c r="JIA156" s="53"/>
      <c r="JIB156" s="54"/>
      <c r="JIC156" s="52"/>
      <c r="JID156" s="53"/>
      <c r="JIE156" s="54"/>
      <c r="JIF156" s="52"/>
      <c r="JIG156" s="53"/>
      <c r="JIH156" s="8"/>
      <c r="JII156" s="45"/>
      <c r="JIJ156" s="45"/>
      <c r="JIK156" s="46"/>
      <c r="JIL156" s="44"/>
      <c r="JIM156" s="7"/>
      <c r="JIN156" s="51"/>
      <c r="JIO156" s="52"/>
      <c r="JIP156" s="53"/>
      <c r="JIQ156" s="54"/>
      <c r="JIR156" s="52"/>
      <c r="JIS156" s="53"/>
      <c r="JIT156" s="54"/>
      <c r="JIU156" s="52"/>
      <c r="JIV156" s="53"/>
      <c r="JIW156" s="8"/>
      <c r="JIX156" s="45"/>
      <c r="JIY156" s="45"/>
      <c r="JIZ156" s="46"/>
      <c r="JJA156" s="44"/>
      <c r="JJB156" s="7"/>
      <c r="JJC156" s="51"/>
      <c r="JJD156" s="52"/>
      <c r="JJE156" s="53"/>
      <c r="JJF156" s="54"/>
      <c r="JJG156" s="52"/>
      <c r="JJH156" s="53"/>
      <c r="JJI156" s="54"/>
      <c r="JJJ156" s="52"/>
      <c r="JJK156" s="53"/>
      <c r="JJL156" s="8"/>
      <c r="JJM156" s="45"/>
      <c r="JJN156" s="45"/>
      <c r="JJO156" s="46"/>
      <c r="JJP156" s="44"/>
      <c r="JJQ156" s="7"/>
      <c r="JJR156" s="51"/>
      <c r="JJS156" s="52"/>
      <c r="JJT156" s="53"/>
      <c r="JJU156" s="54"/>
      <c r="JJV156" s="52"/>
      <c r="JJW156" s="53"/>
      <c r="JJX156" s="54"/>
      <c r="JJY156" s="52"/>
      <c r="JJZ156" s="53"/>
      <c r="JKA156" s="8"/>
      <c r="JKB156" s="45"/>
      <c r="JKC156" s="45"/>
      <c r="JKD156" s="46"/>
      <c r="JKE156" s="44"/>
      <c r="JKF156" s="7"/>
      <c r="JKG156" s="51"/>
      <c r="JKH156" s="52"/>
      <c r="JKI156" s="53"/>
      <c r="JKJ156" s="54"/>
      <c r="JKK156" s="52"/>
      <c r="JKL156" s="53"/>
      <c r="JKM156" s="54"/>
      <c r="JKN156" s="52"/>
      <c r="JKO156" s="53"/>
      <c r="JKP156" s="8"/>
      <c r="JKQ156" s="45"/>
      <c r="JKR156" s="45"/>
      <c r="JKS156" s="46"/>
      <c r="JKT156" s="44"/>
      <c r="JKU156" s="7"/>
      <c r="JKV156" s="51"/>
      <c r="JKW156" s="52"/>
      <c r="JKX156" s="53"/>
      <c r="JKY156" s="54"/>
      <c r="JKZ156" s="52"/>
      <c r="JLA156" s="53"/>
      <c r="JLB156" s="54"/>
      <c r="JLC156" s="52"/>
      <c r="JLD156" s="53"/>
      <c r="JLE156" s="8"/>
      <c r="JLF156" s="45"/>
      <c r="JLG156" s="45"/>
      <c r="JLH156" s="46"/>
      <c r="JLI156" s="44"/>
      <c r="JLJ156" s="7"/>
      <c r="JLK156" s="51"/>
      <c r="JLL156" s="52"/>
      <c r="JLM156" s="53"/>
      <c r="JLN156" s="54"/>
      <c r="JLO156" s="52"/>
      <c r="JLP156" s="53"/>
      <c r="JLQ156" s="54"/>
      <c r="JLR156" s="52"/>
      <c r="JLS156" s="53"/>
      <c r="JLT156" s="8"/>
      <c r="JLU156" s="45"/>
      <c r="JLV156" s="45"/>
      <c r="JLW156" s="46"/>
      <c r="JLX156" s="44"/>
      <c r="JLY156" s="7"/>
      <c r="JLZ156" s="51"/>
      <c r="JMA156" s="52"/>
      <c r="JMB156" s="53"/>
      <c r="JMC156" s="54"/>
      <c r="JMD156" s="52"/>
      <c r="JME156" s="53"/>
      <c r="JMF156" s="54"/>
      <c r="JMG156" s="52"/>
      <c r="JMH156" s="53"/>
      <c r="JMI156" s="8"/>
      <c r="JMJ156" s="45"/>
      <c r="JMK156" s="45"/>
      <c r="JML156" s="46"/>
      <c r="JMM156" s="44"/>
      <c r="JMN156" s="7"/>
      <c r="JMO156" s="51"/>
      <c r="JMP156" s="52"/>
      <c r="JMQ156" s="53"/>
      <c r="JMR156" s="54"/>
      <c r="JMS156" s="52"/>
      <c r="JMT156" s="53"/>
      <c r="JMU156" s="54"/>
      <c r="JMV156" s="52"/>
      <c r="JMW156" s="53"/>
      <c r="JMX156" s="8"/>
      <c r="JMY156" s="45"/>
      <c r="JMZ156" s="45"/>
      <c r="JNA156" s="46"/>
      <c r="JNB156" s="44"/>
      <c r="JNC156" s="7"/>
      <c r="JND156" s="51"/>
      <c r="JNE156" s="52"/>
      <c r="JNF156" s="53"/>
      <c r="JNG156" s="54"/>
      <c r="JNH156" s="52"/>
      <c r="JNI156" s="53"/>
      <c r="JNJ156" s="54"/>
      <c r="JNK156" s="52"/>
      <c r="JNL156" s="53"/>
      <c r="JNM156" s="8"/>
      <c r="JNN156" s="45"/>
      <c r="JNO156" s="45"/>
      <c r="JNP156" s="46"/>
      <c r="JNQ156" s="44"/>
      <c r="JNR156" s="7"/>
      <c r="JNS156" s="51"/>
      <c r="JNT156" s="52"/>
      <c r="JNU156" s="53"/>
      <c r="JNV156" s="54"/>
      <c r="JNW156" s="52"/>
      <c r="JNX156" s="53"/>
      <c r="JNY156" s="54"/>
      <c r="JNZ156" s="52"/>
      <c r="JOA156" s="53"/>
      <c r="JOB156" s="8"/>
      <c r="JOC156" s="45"/>
      <c r="JOD156" s="45"/>
      <c r="JOE156" s="46"/>
      <c r="JOF156" s="44"/>
      <c r="JOG156" s="7"/>
      <c r="JOH156" s="51"/>
      <c r="JOI156" s="52"/>
      <c r="JOJ156" s="53"/>
      <c r="JOK156" s="54"/>
      <c r="JOL156" s="52"/>
      <c r="JOM156" s="53"/>
      <c r="JON156" s="54"/>
      <c r="JOO156" s="52"/>
      <c r="JOP156" s="53"/>
      <c r="JOQ156" s="8"/>
      <c r="JOR156" s="45"/>
      <c r="JOS156" s="45"/>
      <c r="JOT156" s="46"/>
      <c r="JOU156" s="44"/>
      <c r="JOV156" s="7"/>
      <c r="JOW156" s="51"/>
      <c r="JOX156" s="52"/>
      <c r="JOY156" s="53"/>
      <c r="JOZ156" s="54"/>
      <c r="JPA156" s="52"/>
      <c r="JPB156" s="53"/>
      <c r="JPC156" s="54"/>
      <c r="JPD156" s="52"/>
      <c r="JPE156" s="53"/>
      <c r="JPF156" s="8"/>
      <c r="JPG156" s="45"/>
      <c r="JPH156" s="45"/>
      <c r="JPI156" s="46"/>
      <c r="JPJ156" s="44"/>
      <c r="JPK156" s="7"/>
      <c r="JPL156" s="51"/>
      <c r="JPM156" s="52"/>
      <c r="JPN156" s="53"/>
      <c r="JPO156" s="54"/>
      <c r="JPP156" s="52"/>
      <c r="JPQ156" s="53"/>
      <c r="JPR156" s="54"/>
      <c r="JPS156" s="52"/>
      <c r="JPT156" s="53"/>
      <c r="JPU156" s="8"/>
      <c r="JPV156" s="45"/>
      <c r="JPW156" s="45"/>
      <c r="JPX156" s="46"/>
      <c r="JPY156" s="44"/>
      <c r="JPZ156" s="7"/>
      <c r="JQA156" s="51"/>
      <c r="JQB156" s="52"/>
      <c r="JQC156" s="53"/>
      <c r="JQD156" s="54"/>
      <c r="JQE156" s="52"/>
      <c r="JQF156" s="53"/>
      <c r="JQG156" s="54"/>
      <c r="JQH156" s="52"/>
      <c r="JQI156" s="53"/>
      <c r="JQJ156" s="8"/>
      <c r="JQK156" s="45"/>
      <c r="JQL156" s="45"/>
      <c r="JQM156" s="46"/>
      <c r="JQN156" s="44"/>
      <c r="JQO156" s="7"/>
      <c r="JQP156" s="51"/>
      <c r="JQQ156" s="52"/>
      <c r="JQR156" s="53"/>
      <c r="JQS156" s="54"/>
      <c r="JQT156" s="52"/>
      <c r="JQU156" s="53"/>
      <c r="JQV156" s="54"/>
      <c r="JQW156" s="52"/>
      <c r="JQX156" s="53"/>
      <c r="JQY156" s="8"/>
      <c r="JQZ156" s="45"/>
      <c r="JRA156" s="45"/>
      <c r="JRB156" s="46"/>
      <c r="JRC156" s="44"/>
      <c r="JRD156" s="7"/>
      <c r="JRE156" s="51"/>
      <c r="JRF156" s="52"/>
      <c r="JRG156" s="53"/>
      <c r="JRH156" s="54"/>
      <c r="JRI156" s="52"/>
      <c r="JRJ156" s="53"/>
      <c r="JRK156" s="54"/>
      <c r="JRL156" s="52"/>
      <c r="JRM156" s="53"/>
      <c r="JRN156" s="8"/>
      <c r="JRO156" s="45"/>
      <c r="JRP156" s="45"/>
      <c r="JRQ156" s="46"/>
      <c r="JRR156" s="44"/>
      <c r="JRS156" s="7"/>
      <c r="JRT156" s="51"/>
      <c r="JRU156" s="52"/>
      <c r="JRV156" s="53"/>
      <c r="JRW156" s="54"/>
      <c r="JRX156" s="52"/>
      <c r="JRY156" s="53"/>
      <c r="JRZ156" s="54"/>
      <c r="JSA156" s="52"/>
      <c r="JSB156" s="53"/>
      <c r="JSC156" s="8"/>
      <c r="JSD156" s="45"/>
      <c r="JSE156" s="45"/>
      <c r="JSF156" s="46"/>
      <c r="JSG156" s="44"/>
      <c r="JSH156" s="7"/>
      <c r="JSI156" s="51"/>
      <c r="JSJ156" s="52"/>
      <c r="JSK156" s="53"/>
      <c r="JSL156" s="54"/>
      <c r="JSM156" s="52"/>
      <c r="JSN156" s="53"/>
      <c r="JSO156" s="54"/>
      <c r="JSP156" s="52"/>
      <c r="JSQ156" s="53"/>
      <c r="JSR156" s="8"/>
      <c r="JSS156" s="45"/>
      <c r="JST156" s="45"/>
      <c r="JSU156" s="46"/>
      <c r="JSV156" s="44"/>
      <c r="JSW156" s="7"/>
      <c r="JSX156" s="51"/>
      <c r="JSY156" s="52"/>
      <c r="JSZ156" s="53"/>
      <c r="JTA156" s="54"/>
      <c r="JTB156" s="52"/>
      <c r="JTC156" s="53"/>
      <c r="JTD156" s="54"/>
      <c r="JTE156" s="52"/>
      <c r="JTF156" s="53"/>
      <c r="JTG156" s="8"/>
      <c r="JTH156" s="45"/>
      <c r="JTI156" s="45"/>
      <c r="JTJ156" s="46"/>
      <c r="JTK156" s="44"/>
      <c r="JTL156" s="7"/>
      <c r="JTM156" s="51"/>
      <c r="JTN156" s="52"/>
      <c r="JTO156" s="53"/>
      <c r="JTP156" s="54"/>
      <c r="JTQ156" s="52"/>
      <c r="JTR156" s="53"/>
      <c r="JTS156" s="54"/>
      <c r="JTT156" s="52"/>
      <c r="JTU156" s="53"/>
      <c r="JTV156" s="8"/>
      <c r="JTW156" s="45"/>
      <c r="JTX156" s="45"/>
      <c r="JTY156" s="46"/>
      <c r="JTZ156" s="44"/>
      <c r="JUA156" s="7"/>
      <c r="JUB156" s="51"/>
      <c r="JUC156" s="52"/>
      <c r="JUD156" s="53"/>
      <c r="JUE156" s="54"/>
      <c r="JUF156" s="52"/>
      <c r="JUG156" s="53"/>
      <c r="JUH156" s="54"/>
      <c r="JUI156" s="52"/>
      <c r="JUJ156" s="53"/>
      <c r="JUK156" s="8"/>
      <c r="JUL156" s="45"/>
      <c r="JUM156" s="45"/>
      <c r="JUN156" s="46"/>
      <c r="JUO156" s="44"/>
      <c r="JUP156" s="7"/>
      <c r="JUQ156" s="51"/>
      <c r="JUR156" s="52"/>
      <c r="JUS156" s="53"/>
      <c r="JUT156" s="54"/>
      <c r="JUU156" s="52"/>
      <c r="JUV156" s="53"/>
      <c r="JUW156" s="54"/>
      <c r="JUX156" s="52"/>
      <c r="JUY156" s="53"/>
      <c r="JUZ156" s="8"/>
      <c r="JVA156" s="45"/>
      <c r="JVB156" s="45"/>
      <c r="JVC156" s="46"/>
      <c r="JVD156" s="44"/>
      <c r="JVE156" s="7"/>
      <c r="JVF156" s="51"/>
      <c r="JVG156" s="52"/>
      <c r="JVH156" s="53"/>
      <c r="JVI156" s="54"/>
      <c r="JVJ156" s="52"/>
      <c r="JVK156" s="53"/>
      <c r="JVL156" s="54"/>
      <c r="JVM156" s="52"/>
      <c r="JVN156" s="53"/>
      <c r="JVO156" s="8"/>
      <c r="JVP156" s="45"/>
      <c r="JVQ156" s="45"/>
      <c r="JVR156" s="46"/>
      <c r="JVS156" s="44"/>
      <c r="JVT156" s="7"/>
      <c r="JVU156" s="51"/>
      <c r="JVV156" s="52"/>
      <c r="JVW156" s="53"/>
      <c r="JVX156" s="54"/>
      <c r="JVY156" s="52"/>
      <c r="JVZ156" s="53"/>
      <c r="JWA156" s="54"/>
      <c r="JWB156" s="52"/>
      <c r="JWC156" s="53"/>
      <c r="JWD156" s="8"/>
      <c r="JWE156" s="45"/>
      <c r="JWF156" s="45"/>
      <c r="JWG156" s="46"/>
      <c r="JWH156" s="44"/>
      <c r="JWI156" s="7"/>
      <c r="JWJ156" s="51"/>
      <c r="JWK156" s="52"/>
      <c r="JWL156" s="53"/>
      <c r="JWM156" s="54"/>
      <c r="JWN156" s="52"/>
      <c r="JWO156" s="53"/>
      <c r="JWP156" s="54"/>
      <c r="JWQ156" s="52"/>
      <c r="JWR156" s="53"/>
      <c r="JWS156" s="8"/>
      <c r="JWT156" s="45"/>
      <c r="JWU156" s="45"/>
      <c r="JWV156" s="46"/>
      <c r="JWW156" s="44"/>
      <c r="JWX156" s="7"/>
      <c r="JWY156" s="51"/>
      <c r="JWZ156" s="52"/>
      <c r="JXA156" s="53"/>
      <c r="JXB156" s="54"/>
      <c r="JXC156" s="52"/>
      <c r="JXD156" s="53"/>
      <c r="JXE156" s="54"/>
      <c r="JXF156" s="52"/>
      <c r="JXG156" s="53"/>
      <c r="JXH156" s="8"/>
      <c r="JXI156" s="45"/>
      <c r="JXJ156" s="45"/>
      <c r="JXK156" s="46"/>
      <c r="JXL156" s="44"/>
      <c r="JXM156" s="7"/>
      <c r="JXN156" s="51"/>
      <c r="JXO156" s="52"/>
      <c r="JXP156" s="53"/>
      <c r="JXQ156" s="54"/>
      <c r="JXR156" s="52"/>
      <c r="JXS156" s="53"/>
      <c r="JXT156" s="54"/>
      <c r="JXU156" s="52"/>
      <c r="JXV156" s="53"/>
      <c r="JXW156" s="8"/>
      <c r="JXX156" s="45"/>
      <c r="JXY156" s="45"/>
      <c r="JXZ156" s="46"/>
      <c r="JYA156" s="44"/>
      <c r="JYB156" s="7"/>
      <c r="JYC156" s="51"/>
      <c r="JYD156" s="52"/>
      <c r="JYE156" s="53"/>
      <c r="JYF156" s="54"/>
      <c r="JYG156" s="52"/>
      <c r="JYH156" s="53"/>
      <c r="JYI156" s="54"/>
      <c r="JYJ156" s="52"/>
      <c r="JYK156" s="53"/>
      <c r="JYL156" s="8"/>
      <c r="JYM156" s="45"/>
      <c r="JYN156" s="45"/>
      <c r="JYO156" s="46"/>
      <c r="JYP156" s="44"/>
      <c r="JYQ156" s="7"/>
      <c r="JYR156" s="51"/>
      <c r="JYS156" s="52"/>
      <c r="JYT156" s="53"/>
      <c r="JYU156" s="54"/>
      <c r="JYV156" s="52"/>
      <c r="JYW156" s="53"/>
      <c r="JYX156" s="54"/>
      <c r="JYY156" s="52"/>
      <c r="JYZ156" s="53"/>
      <c r="JZA156" s="8"/>
      <c r="JZB156" s="45"/>
      <c r="JZC156" s="45"/>
      <c r="JZD156" s="46"/>
      <c r="JZE156" s="44"/>
      <c r="JZF156" s="7"/>
      <c r="JZG156" s="51"/>
      <c r="JZH156" s="52"/>
      <c r="JZI156" s="53"/>
      <c r="JZJ156" s="54"/>
      <c r="JZK156" s="52"/>
      <c r="JZL156" s="53"/>
      <c r="JZM156" s="54"/>
      <c r="JZN156" s="52"/>
      <c r="JZO156" s="53"/>
      <c r="JZP156" s="8"/>
      <c r="JZQ156" s="45"/>
      <c r="JZR156" s="45"/>
      <c r="JZS156" s="46"/>
      <c r="JZT156" s="44"/>
      <c r="JZU156" s="7"/>
      <c r="JZV156" s="51"/>
      <c r="JZW156" s="52"/>
      <c r="JZX156" s="53"/>
      <c r="JZY156" s="54"/>
      <c r="JZZ156" s="52"/>
      <c r="KAA156" s="53"/>
      <c r="KAB156" s="54"/>
      <c r="KAC156" s="52"/>
      <c r="KAD156" s="53"/>
      <c r="KAE156" s="8"/>
      <c r="KAF156" s="45"/>
      <c r="KAG156" s="45"/>
      <c r="KAH156" s="46"/>
      <c r="KAI156" s="44"/>
      <c r="KAJ156" s="7"/>
      <c r="KAK156" s="51"/>
      <c r="KAL156" s="52"/>
      <c r="KAM156" s="53"/>
      <c r="KAN156" s="54"/>
      <c r="KAO156" s="52"/>
      <c r="KAP156" s="53"/>
      <c r="KAQ156" s="54"/>
      <c r="KAR156" s="52"/>
      <c r="KAS156" s="53"/>
      <c r="KAT156" s="8"/>
      <c r="KAU156" s="45"/>
      <c r="KAV156" s="45"/>
      <c r="KAW156" s="46"/>
      <c r="KAX156" s="44"/>
      <c r="KAY156" s="7"/>
      <c r="KAZ156" s="51"/>
      <c r="KBA156" s="52"/>
      <c r="KBB156" s="53"/>
      <c r="KBC156" s="54"/>
      <c r="KBD156" s="52"/>
      <c r="KBE156" s="53"/>
      <c r="KBF156" s="54"/>
      <c r="KBG156" s="52"/>
      <c r="KBH156" s="53"/>
      <c r="KBI156" s="8"/>
      <c r="KBJ156" s="45"/>
      <c r="KBK156" s="45"/>
      <c r="KBL156" s="46"/>
      <c r="KBM156" s="44"/>
      <c r="KBN156" s="7"/>
      <c r="KBO156" s="51"/>
      <c r="KBP156" s="52"/>
      <c r="KBQ156" s="53"/>
      <c r="KBR156" s="54"/>
      <c r="KBS156" s="52"/>
      <c r="KBT156" s="53"/>
      <c r="KBU156" s="54"/>
      <c r="KBV156" s="52"/>
      <c r="KBW156" s="53"/>
      <c r="KBX156" s="8"/>
      <c r="KBY156" s="45"/>
      <c r="KBZ156" s="45"/>
      <c r="KCA156" s="46"/>
      <c r="KCB156" s="44"/>
      <c r="KCC156" s="7"/>
      <c r="KCD156" s="51"/>
      <c r="KCE156" s="52"/>
      <c r="KCF156" s="53"/>
      <c r="KCG156" s="54"/>
      <c r="KCH156" s="52"/>
      <c r="KCI156" s="53"/>
      <c r="KCJ156" s="54"/>
      <c r="KCK156" s="52"/>
      <c r="KCL156" s="53"/>
      <c r="KCM156" s="8"/>
      <c r="KCN156" s="45"/>
      <c r="KCO156" s="45"/>
      <c r="KCP156" s="46"/>
      <c r="KCQ156" s="44"/>
      <c r="KCR156" s="7"/>
      <c r="KCS156" s="51"/>
      <c r="KCT156" s="52"/>
      <c r="KCU156" s="53"/>
      <c r="KCV156" s="54"/>
      <c r="KCW156" s="52"/>
      <c r="KCX156" s="53"/>
      <c r="KCY156" s="54"/>
      <c r="KCZ156" s="52"/>
      <c r="KDA156" s="53"/>
      <c r="KDB156" s="8"/>
      <c r="KDC156" s="45"/>
      <c r="KDD156" s="45"/>
      <c r="KDE156" s="46"/>
      <c r="KDF156" s="44"/>
      <c r="KDG156" s="7"/>
      <c r="KDH156" s="51"/>
      <c r="KDI156" s="52"/>
      <c r="KDJ156" s="53"/>
      <c r="KDK156" s="54"/>
      <c r="KDL156" s="52"/>
      <c r="KDM156" s="53"/>
      <c r="KDN156" s="54"/>
      <c r="KDO156" s="52"/>
      <c r="KDP156" s="53"/>
      <c r="KDQ156" s="8"/>
      <c r="KDR156" s="45"/>
      <c r="KDS156" s="45"/>
      <c r="KDT156" s="46"/>
      <c r="KDU156" s="44"/>
      <c r="KDV156" s="7"/>
      <c r="KDW156" s="51"/>
      <c r="KDX156" s="52"/>
      <c r="KDY156" s="53"/>
      <c r="KDZ156" s="54"/>
      <c r="KEA156" s="52"/>
      <c r="KEB156" s="53"/>
      <c r="KEC156" s="54"/>
      <c r="KED156" s="52"/>
      <c r="KEE156" s="53"/>
      <c r="KEF156" s="8"/>
      <c r="KEG156" s="45"/>
      <c r="KEH156" s="45"/>
      <c r="KEI156" s="46"/>
      <c r="KEJ156" s="44"/>
      <c r="KEK156" s="7"/>
      <c r="KEL156" s="51"/>
      <c r="KEM156" s="52"/>
      <c r="KEN156" s="53"/>
      <c r="KEO156" s="54"/>
      <c r="KEP156" s="52"/>
      <c r="KEQ156" s="53"/>
      <c r="KER156" s="54"/>
      <c r="KES156" s="52"/>
      <c r="KET156" s="53"/>
      <c r="KEU156" s="8"/>
      <c r="KEV156" s="45"/>
      <c r="KEW156" s="45"/>
      <c r="KEX156" s="46"/>
      <c r="KEY156" s="44"/>
      <c r="KEZ156" s="7"/>
      <c r="KFA156" s="51"/>
      <c r="KFB156" s="52"/>
      <c r="KFC156" s="53"/>
      <c r="KFD156" s="54"/>
      <c r="KFE156" s="52"/>
      <c r="KFF156" s="53"/>
      <c r="KFG156" s="54"/>
      <c r="KFH156" s="52"/>
      <c r="KFI156" s="53"/>
      <c r="KFJ156" s="8"/>
      <c r="KFK156" s="45"/>
      <c r="KFL156" s="45"/>
      <c r="KFM156" s="46"/>
      <c r="KFN156" s="44"/>
      <c r="KFO156" s="7"/>
      <c r="KFP156" s="51"/>
      <c r="KFQ156" s="52"/>
      <c r="KFR156" s="53"/>
      <c r="KFS156" s="54"/>
      <c r="KFT156" s="52"/>
      <c r="KFU156" s="53"/>
      <c r="KFV156" s="54"/>
      <c r="KFW156" s="52"/>
      <c r="KFX156" s="53"/>
      <c r="KFY156" s="8"/>
      <c r="KFZ156" s="45"/>
      <c r="KGA156" s="45"/>
      <c r="KGB156" s="46"/>
      <c r="KGC156" s="44"/>
      <c r="KGD156" s="7"/>
      <c r="KGE156" s="51"/>
      <c r="KGF156" s="52"/>
      <c r="KGG156" s="53"/>
      <c r="KGH156" s="54"/>
      <c r="KGI156" s="52"/>
      <c r="KGJ156" s="53"/>
      <c r="KGK156" s="54"/>
      <c r="KGL156" s="52"/>
      <c r="KGM156" s="53"/>
      <c r="KGN156" s="8"/>
      <c r="KGO156" s="45"/>
      <c r="KGP156" s="45"/>
      <c r="KGQ156" s="46"/>
      <c r="KGR156" s="44"/>
      <c r="KGS156" s="7"/>
      <c r="KGT156" s="51"/>
      <c r="KGU156" s="52"/>
      <c r="KGV156" s="53"/>
      <c r="KGW156" s="54"/>
      <c r="KGX156" s="52"/>
      <c r="KGY156" s="53"/>
      <c r="KGZ156" s="54"/>
      <c r="KHA156" s="52"/>
      <c r="KHB156" s="53"/>
      <c r="KHC156" s="8"/>
      <c r="KHD156" s="45"/>
      <c r="KHE156" s="45"/>
      <c r="KHF156" s="46"/>
      <c r="KHG156" s="44"/>
      <c r="KHH156" s="7"/>
      <c r="KHI156" s="51"/>
      <c r="KHJ156" s="52"/>
      <c r="KHK156" s="53"/>
      <c r="KHL156" s="54"/>
      <c r="KHM156" s="52"/>
      <c r="KHN156" s="53"/>
      <c r="KHO156" s="54"/>
      <c r="KHP156" s="52"/>
      <c r="KHQ156" s="53"/>
      <c r="KHR156" s="8"/>
      <c r="KHS156" s="45"/>
      <c r="KHT156" s="45"/>
      <c r="KHU156" s="46"/>
      <c r="KHV156" s="44"/>
      <c r="KHW156" s="7"/>
      <c r="KHX156" s="51"/>
      <c r="KHY156" s="52"/>
      <c r="KHZ156" s="53"/>
      <c r="KIA156" s="54"/>
      <c r="KIB156" s="52"/>
      <c r="KIC156" s="53"/>
      <c r="KID156" s="54"/>
      <c r="KIE156" s="52"/>
      <c r="KIF156" s="53"/>
      <c r="KIG156" s="8"/>
      <c r="KIH156" s="45"/>
      <c r="KII156" s="45"/>
      <c r="KIJ156" s="46"/>
      <c r="KIK156" s="44"/>
      <c r="KIL156" s="7"/>
      <c r="KIM156" s="51"/>
      <c r="KIN156" s="52"/>
      <c r="KIO156" s="53"/>
      <c r="KIP156" s="54"/>
      <c r="KIQ156" s="52"/>
      <c r="KIR156" s="53"/>
      <c r="KIS156" s="54"/>
      <c r="KIT156" s="52"/>
      <c r="KIU156" s="53"/>
      <c r="KIV156" s="8"/>
      <c r="KIW156" s="45"/>
      <c r="KIX156" s="45"/>
      <c r="KIY156" s="46"/>
      <c r="KIZ156" s="44"/>
      <c r="KJA156" s="7"/>
      <c r="KJB156" s="51"/>
      <c r="KJC156" s="52"/>
      <c r="KJD156" s="53"/>
      <c r="KJE156" s="54"/>
      <c r="KJF156" s="52"/>
      <c r="KJG156" s="53"/>
      <c r="KJH156" s="54"/>
      <c r="KJI156" s="52"/>
      <c r="KJJ156" s="53"/>
      <c r="KJK156" s="8"/>
      <c r="KJL156" s="45"/>
      <c r="KJM156" s="45"/>
      <c r="KJN156" s="46"/>
      <c r="KJO156" s="44"/>
      <c r="KJP156" s="7"/>
      <c r="KJQ156" s="51"/>
      <c r="KJR156" s="52"/>
      <c r="KJS156" s="53"/>
      <c r="KJT156" s="54"/>
      <c r="KJU156" s="52"/>
      <c r="KJV156" s="53"/>
      <c r="KJW156" s="54"/>
      <c r="KJX156" s="52"/>
      <c r="KJY156" s="53"/>
      <c r="KJZ156" s="8"/>
      <c r="KKA156" s="45"/>
      <c r="KKB156" s="45"/>
      <c r="KKC156" s="46"/>
      <c r="KKD156" s="44"/>
      <c r="KKE156" s="7"/>
      <c r="KKF156" s="51"/>
      <c r="KKG156" s="52"/>
      <c r="KKH156" s="53"/>
      <c r="KKI156" s="54"/>
      <c r="KKJ156" s="52"/>
      <c r="KKK156" s="53"/>
      <c r="KKL156" s="54"/>
      <c r="KKM156" s="52"/>
      <c r="KKN156" s="53"/>
      <c r="KKO156" s="8"/>
      <c r="KKP156" s="45"/>
      <c r="KKQ156" s="45"/>
      <c r="KKR156" s="46"/>
      <c r="KKS156" s="44"/>
      <c r="KKT156" s="7"/>
      <c r="KKU156" s="51"/>
      <c r="KKV156" s="52"/>
      <c r="KKW156" s="53"/>
      <c r="KKX156" s="54"/>
      <c r="KKY156" s="52"/>
      <c r="KKZ156" s="53"/>
      <c r="KLA156" s="54"/>
      <c r="KLB156" s="52"/>
      <c r="KLC156" s="53"/>
      <c r="KLD156" s="8"/>
      <c r="KLE156" s="45"/>
      <c r="KLF156" s="45"/>
      <c r="KLG156" s="46"/>
      <c r="KLH156" s="44"/>
      <c r="KLI156" s="7"/>
      <c r="KLJ156" s="51"/>
      <c r="KLK156" s="52"/>
      <c r="KLL156" s="53"/>
      <c r="KLM156" s="54"/>
      <c r="KLN156" s="52"/>
      <c r="KLO156" s="53"/>
      <c r="KLP156" s="54"/>
      <c r="KLQ156" s="52"/>
      <c r="KLR156" s="53"/>
      <c r="KLS156" s="8"/>
      <c r="KLT156" s="45"/>
      <c r="KLU156" s="45"/>
      <c r="KLV156" s="46"/>
      <c r="KLW156" s="44"/>
      <c r="KLX156" s="7"/>
      <c r="KLY156" s="51"/>
      <c r="KLZ156" s="52"/>
      <c r="KMA156" s="53"/>
      <c r="KMB156" s="54"/>
      <c r="KMC156" s="52"/>
      <c r="KMD156" s="53"/>
      <c r="KME156" s="54"/>
      <c r="KMF156" s="52"/>
      <c r="KMG156" s="53"/>
      <c r="KMH156" s="8"/>
      <c r="KMI156" s="45"/>
      <c r="KMJ156" s="45"/>
      <c r="KMK156" s="46"/>
      <c r="KML156" s="44"/>
      <c r="KMM156" s="7"/>
      <c r="KMN156" s="51"/>
      <c r="KMO156" s="52"/>
      <c r="KMP156" s="53"/>
      <c r="KMQ156" s="54"/>
      <c r="KMR156" s="52"/>
      <c r="KMS156" s="53"/>
      <c r="KMT156" s="54"/>
      <c r="KMU156" s="52"/>
      <c r="KMV156" s="53"/>
      <c r="KMW156" s="8"/>
      <c r="KMX156" s="45"/>
      <c r="KMY156" s="45"/>
      <c r="KMZ156" s="46"/>
      <c r="KNA156" s="44"/>
      <c r="KNB156" s="7"/>
      <c r="KNC156" s="51"/>
      <c r="KND156" s="52"/>
      <c r="KNE156" s="53"/>
      <c r="KNF156" s="54"/>
      <c r="KNG156" s="52"/>
      <c r="KNH156" s="53"/>
      <c r="KNI156" s="54"/>
      <c r="KNJ156" s="52"/>
      <c r="KNK156" s="53"/>
      <c r="KNL156" s="8"/>
      <c r="KNM156" s="45"/>
      <c r="KNN156" s="45"/>
      <c r="KNO156" s="46"/>
      <c r="KNP156" s="44"/>
      <c r="KNQ156" s="7"/>
      <c r="KNR156" s="51"/>
      <c r="KNS156" s="52"/>
      <c r="KNT156" s="53"/>
      <c r="KNU156" s="54"/>
      <c r="KNV156" s="52"/>
      <c r="KNW156" s="53"/>
      <c r="KNX156" s="54"/>
      <c r="KNY156" s="52"/>
      <c r="KNZ156" s="53"/>
      <c r="KOA156" s="8"/>
      <c r="KOB156" s="45"/>
      <c r="KOC156" s="45"/>
      <c r="KOD156" s="46"/>
      <c r="KOE156" s="44"/>
      <c r="KOF156" s="7"/>
      <c r="KOG156" s="51"/>
      <c r="KOH156" s="52"/>
      <c r="KOI156" s="53"/>
      <c r="KOJ156" s="54"/>
      <c r="KOK156" s="52"/>
      <c r="KOL156" s="53"/>
      <c r="KOM156" s="54"/>
      <c r="KON156" s="52"/>
      <c r="KOO156" s="53"/>
      <c r="KOP156" s="8"/>
      <c r="KOQ156" s="45"/>
      <c r="KOR156" s="45"/>
      <c r="KOS156" s="46"/>
      <c r="KOT156" s="44"/>
      <c r="KOU156" s="7"/>
      <c r="KOV156" s="51"/>
      <c r="KOW156" s="52"/>
      <c r="KOX156" s="53"/>
      <c r="KOY156" s="54"/>
      <c r="KOZ156" s="52"/>
      <c r="KPA156" s="53"/>
      <c r="KPB156" s="54"/>
      <c r="KPC156" s="52"/>
      <c r="KPD156" s="53"/>
      <c r="KPE156" s="8"/>
      <c r="KPF156" s="45"/>
      <c r="KPG156" s="45"/>
      <c r="KPH156" s="46"/>
      <c r="KPI156" s="44"/>
      <c r="KPJ156" s="7"/>
      <c r="KPK156" s="51"/>
      <c r="KPL156" s="52"/>
      <c r="KPM156" s="53"/>
      <c r="KPN156" s="54"/>
      <c r="KPO156" s="52"/>
      <c r="KPP156" s="53"/>
      <c r="KPQ156" s="54"/>
      <c r="KPR156" s="52"/>
      <c r="KPS156" s="53"/>
      <c r="KPT156" s="8"/>
      <c r="KPU156" s="45"/>
      <c r="KPV156" s="45"/>
      <c r="KPW156" s="46"/>
      <c r="KPX156" s="44"/>
      <c r="KPY156" s="7"/>
      <c r="KPZ156" s="51"/>
      <c r="KQA156" s="52"/>
      <c r="KQB156" s="53"/>
      <c r="KQC156" s="54"/>
      <c r="KQD156" s="52"/>
      <c r="KQE156" s="53"/>
      <c r="KQF156" s="54"/>
      <c r="KQG156" s="52"/>
      <c r="KQH156" s="53"/>
      <c r="KQI156" s="8"/>
      <c r="KQJ156" s="45"/>
      <c r="KQK156" s="45"/>
      <c r="KQL156" s="46"/>
      <c r="KQM156" s="44"/>
      <c r="KQN156" s="7"/>
      <c r="KQO156" s="51"/>
      <c r="KQP156" s="52"/>
      <c r="KQQ156" s="53"/>
      <c r="KQR156" s="54"/>
      <c r="KQS156" s="52"/>
      <c r="KQT156" s="53"/>
      <c r="KQU156" s="54"/>
      <c r="KQV156" s="52"/>
      <c r="KQW156" s="53"/>
      <c r="KQX156" s="8"/>
      <c r="KQY156" s="45"/>
      <c r="KQZ156" s="45"/>
      <c r="KRA156" s="46"/>
      <c r="KRB156" s="44"/>
      <c r="KRC156" s="7"/>
      <c r="KRD156" s="51"/>
      <c r="KRE156" s="52"/>
      <c r="KRF156" s="53"/>
      <c r="KRG156" s="54"/>
      <c r="KRH156" s="52"/>
      <c r="KRI156" s="53"/>
      <c r="KRJ156" s="54"/>
      <c r="KRK156" s="52"/>
      <c r="KRL156" s="53"/>
      <c r="KRM156" s="8"/>
      <c r="KRN156" s="45"/>
      <c r="KRO156" s="45"/>
      <c r="KRP156" s="46"/>
      <c r="KRQ156" s="44"/>
      <c r="KRR156" s="7"/>
      <c r="KRS156" s="51"/>
      <c r="KRT156" s="52"/>
      <c r="KRU156" s="53"/>
      <c r="KRV156" s="54"/>
      <c r="KRW156" s="52"/>
      <c r="KRX156" s="53"/>
      <c r="KRY156" s="54"/>
      <c r="KRZ156" s="52"/>
      <c r="KSA156" s="53"/>
      <c r="KSB156" s="8"/>
      <c r="KSC156" s="45"/>
      <c r="KSD156" s="45"/>
      <c r="KSE156" s="46"/>
      <c r="KSF156" s="44"/>
      <c r="KSG156" s="7"/>
      <c r="KSH156" s="51"/>
      <c r="KSI156" s="52"/>
      <c r="KSJ156" s="53"/>
      <c r="KSK156" s="54"/>
      <c r="KSL156" s="52"/>
      <c r="KSM156" s="53"/>
      <c r="KSN156" s="54"/>
      <c r="KSO156" s="52"/>
      <c r="KSP156" s="53"/>
      <c r="KSQ156" s="8"/>
      <c r="KSR156" s="45"/>
      <c r="KSS156" s="45"/>
      <c r="KST156" s="46"/>
      <c r="KSU156" s="44"/>
      <c r="KSV156" s="7"/>
      <c r="KSW156" s="51"/>
      <c r="KSX156" s="52"/>
      <c r="KSY156" s="53"/>
      <c r="KSZ156" s="54"/>
      <c r="KTA156" s="52"/>
      <c r="KTB156" s="53"/>
      <c r="KTC156" s="54"/>
      <c r="KTD156" s="52"/>
      <c r="KTE156" s="53"/>
      <c r="KTF156" s="8"/>
      <c r="KTG156" s="45"/>
      <c r="KTH156" s="45"/>
      <c r="KTI156" s="46"/>
      <c r="KTJ156" s="44"/>
      <c r="KTK156" s="7"/>
      <c r="KTL156" s="51"/>
      <c r="KTM156" s="52"/>
      <c r="KTN156" s="53"/>
      <c r="KTO156" s="54"/>
      <c r="KTP156" s="52"/>
      <c r="KTQ156" s="53"/>
      <c r="KTR156" s="54"/>
      <c r="KTS156" s="52"/>
      <c r="KTT156" s="53"/>
      <c r="KTU156" s="8"/>
      <c r="KTV156" s="45"/>
      <c r="KTW156" s="45"/>
      <c r="KTX156" s="46"/>
      <c r="KTY156" s="44"/>
      <c r="KTZ156" s="7"/>
      <c r="KUA156" s="51"/>
      <c r="KUB156" s="52"/>
      <c r="KUC156" s="53"/>
      <c r="KUD156" s="54"/>
      <c r="KUE156" s="52"/>
      <c r="KUF156" s="53"/>
      <c r="KUG156" s="54"/>
      <c r="KUH156" s="52"/>
      <c r="KUI156" s="53"/>
      <c r="KUJ156" s="8"/>
      <c r="KUK156" s="45"/>
      <c r="KUL156" s="45"/>
      <c r="KUM156" s="46"/>
      <c r="KUN156" s="44"/>
      <c r="KUO156" s="7"/>
      <c r="KUP156" s="51"/>
      <c r="KUQ156" s="52"/>
      <c r="KUR156" s="53"/>
      <c r="KUS156" s="54"/>
      <c r="KUT156" s="52"/>
      <c r="KUU156" s="53"/>
      <c r="KUV156" s="54"/>
      <c r="KUW156" s="52"/>
      <c r="KUX156" s="53"/>
      <c r="KUY156" s="8"/>
      <c r="KUZ156" s="45"/>
      <c r="KVA156" s="45"/>
      <c r="KVB156" s="46"/>
      <c r="KVC156" s="44"/>
      <c r="KVD156" s="7"/>
      <c r="KVE156" s="51"/>
      <c r="KVF156" s="52"/>
      <c r="KVG156" s="53"/>
      <c r="KVH156" s="54"/>
      <c r="KVI156" s="52"/>
      <c r="KVJ156" s="53"/>
      <c r="KVK156" s="54"/>
      <c r="KVL156" s="52"/>
      <c r="KVM156" s="53"/>
      <c r="KVN156" s="8"/>
      <c r="KVO156" s="45"/>
      <c r="KVP156" s="45"/>
      <c r="KVQ156" s="46"/>
      <c r="KVR156" s="44"/>
      <c r="KVS156" s="7"/>
      <c r="KVT156" s="51"/>
      <c r="KVU156" s="52"/>
      <c r="KVV156" s="53"/>
      <c r="KVW156" s="54"/>
      <c r="KVX156" s="52"/>
      <c r="KVY156" s="53"/>
      <c r="KVZ156" s="54"/>
      <c r="KWA156" s="52"/>
      <c r="KWB156" s="53"/>
      <c r="KWC156" s="8"/>
      <c r="KWD156" s="45"/>
      <c r="KWE156" s="45"/>
      <c r="KWF156" s="46"/>
      <c r="KWG156" s="44"/>
      <c r="KWH156" s="7"/>
      <c r="KWI156" s="51"/>
      <c r="KWJ156" s="52"/>
      <c r="KWK156" s="53"/>
      <c r="KWL156" s="54"/>
      <c r="KWM156" s="52"/>
      <c r="KWN156" s="53"/>
      <c r="KWO156" s="54"/>
      <c r="KWP156" s="52"/>
      <c r="KWQ156" s="53"/>
      <c r="KWR156" s="8"/>
      <c r="KWS156" s="45"/>
      <c r="KWT156" s="45"/>
      <c r="KWU156" s="46"/>
      <c r="KWV156" s="44"/>
      <c r="KWW156" s="7"/>
      <c r="KWX156" s="51"/>
      <c r="KWY156" s="52"/>
      <c r="KWZ156" s="53"/>
      <c r="KXA156" s="54"/>
      <c r="KXB156" s="52"/>
      <c r="KXC156" s="53"/>
      <c r="KXD156" s="54"/>
      <c r="KXE156" s="52"/>
      <c r="KXF156" s="53"/>
      <c r="KXG156" s="8"/>
      <c r="KXH156" s="45"/>
      <c r="KXI156" s="45"/>
      <c r="KXJ156" s="46"/>
      <c r="KXK156" s="44"/>
      <c r="KXL156" s="7"/>
      <c r="KXM156" s="51"/>
      <c r="KXN156" s="52"/>
      <c r="KXO156" s="53"/>
      <c r="KXP156" s="54"/>
      <c r="KXQ156" s="52"/>
      <c r="KXR156" s="53"/>
      <c r="KXS156" s="54"/>
      <c r="KXT156" s="52"/>
      <c r="KXU156" s="53"/>
      <c r="KXV156" s="8"/>
      <c r="KXW156" s="45"/>
      <c r="KXX156" s="45"/>
      <c r="KXY156" s="46"/>
      <c r="KXZ156" s="44"/>
      <c r="KYA156" s="7"/>
      <c r="KYB156" s="51"/>
      <c r="KYC156" s="52"/>
      <c r="KYD156" s="53"/>
      <c r="KYE156" s="54"/>
      <c r="KYF156" s="52"/>
      <c r="KYG156" s="53"/>
      <c r="KYH156" s="54"/>
      <c r="KYI156" s="52"/>
      <c r="KYJ156" s="53"/>
      <c r="KYK156" s="8"/>
      <c r="KYL156" s="45"/>
      <c r="KYM156" s="45"/>
      <c r="KYN156" s="46"/>
      <c r="KYO156" s="44"/>
      <c r="KYP156" s="7"/>
      <c r="KYQ156" s="51"/>
      <c r="KYR156" s="52"/>
      <c r="KYS156" s="53"/>
      <c r="KYT156" s="54"/>
      <c r="KYU156" s="52"/>
      <c r="KYV156" s="53"/>
      <c r="KYW156" s="54"/>
      <c r="KYX156" s="52"/>
      <c r="KYY156" s="53"/>
      <c r="KYZ156" s="8"/>
      <c r="KZA156" s="45"/>
      <c r="KZB156" s="45"/>
      <c r="KZC156" s="46"/>
      <c r="KZD156" s="44"/>
      <c r="KZE156" s="7"/>
      <c r="KZF156" s="51"/>
      <c r="KZG156" s="52"/>
      <c r="KZH156" s="53"/>
      <c r="KZI156" s="54"/>
      <c r="KZJ156" s="52"/>
      <c r="KZK156" s="53"/>
      <c r="KZL156" s="54"/>
      <c r="KZM156" s="52"/>
      <c r="KZN156" s="53"/>
      <c r="KZO156" s="8"/>
      <c r="KZP156" s="45"/>
      <c r="KZQ156" s="45"/>
      <c r="KZR156" s="46"/>
      <c r="KZS156" s="44"/>
      <c r="KZT156" s="7"/>
      <c r="KZU156" s="51"/>
      <c r="KZV156" s="52"/>
      <c r="KZW156" s="53"/>
      <c r="KZX156" s="54"/>
      <c r="KZY156" s="52"/>
      <c r="KZZ156" s="53"/>
      <c r="LAA156" s="54"/>
      <c r="LAB156" s="52"/>
      <c r="LAC156" s="53"/>
      <c r="LAD156" s="8"/>
      <c r="LAE156" s="45"/>
      <c r="LAF156" s="45"/>
      <c r="LAG156" s="46"/>
      <c r="LAH156" s="44"/>
      <c r="LAI156" s="7"/>
      <c r="LAJ156" s="51"/>
      <c r="LAK156" s="52"/>
      <c r="LAL156" s="53"/>
      <c r="LAM156" s="54"/>
      <c r="LAN156" s="52"/>
      <c r="LAO156" s="53"/>
      <c r="LAP156" s="54"/>
      <c r="LAQ156" s="52"/>
      <c r="LAR156" s="53"/>
      <c r="LAS156" s="8"/>
      <c r="LAT156" s="45"/>
      <c r="LAU156" s="45"/>
      <c r="LAV156" s="46"/>
      <c r="LAW156" s="44"/>
      <c r="LAX156" s="7"/>
      <c r="LAY156" s="51"/>
      <c r="LAZ156" s="52"/>
      <c r="LBA156" s="53"/>
      <c r="LBB156" s="54"/>
      <c r="LBC156" s="52"/>
      <c r="LBD156" s="53"/>
      <c r="LBE156" s="54"/>
      <c r="LBF156" s="52"/>
      <c r="LBG156" s="53"/>
      <c r="LBH156" s="8"/>
      <c r="LBI156" s="45"/>
      <c r="LBJ156" s="45"/>
      <c r="LBK156" s="46"/>
      <c r="LBL156" s="44"/>
      <c r="LBM156" s="7"/>
      <c r="LBN156" s="51"/>
      <c r="LBO156" s="52"/>
      <c r="LBP156" s="53"/>
      <c r="LBQ156" s="54"/>
      <c r="LBR156" s="52"/>
      <c r="LBS156" s="53"/>
      <c r="LBT156" s="54"/>
      <c r="LBU156" s="52"/>
      <c r="LBV156" s="53"/>
      <c r="LBW156" s="8"/>
      <c r="LBX156" s="45"/>
      <c r="LBY156" s="45"/>
      <c r="LBZ156" s="46"/>
      <c r="LCA156" s="44"/>
      <c r="LCB156" s="7"/>
      <c r="LCC156" s="51"/>
      <c r="LCD156" s="52"/>
      <c r="LCE156" s="53"/>
      <c r="LCF156" s="54"/>
      <c r="LCG156" s="52"/>
      <c r="LCH156" s="53"/>
      <c r="LCI156" s="54"/>
      <c r="LCJ156" s="52"/>
      <c r="LCK156" s="53"/>
      <c r="LCL156" s="8"/>
      <c r="LCM156" s="45"/>
      <c r="LCN156" s="45"/>
      <c r="LCO156" s="46"/>
      <c r="LCP156" s="44"/>
      <c r="LCQ156" s="7"/>
      <c r="LCR156" s="51"/>
      <c r="LCS156" s="52"/>
      <c r="LCT156" s="53"/>
      <c r="LCU156" s="54"/>
      <c r="LCV156" s="52"/>
      <c r="LCW156" s="53"/>
      <c r="LCX156" s="54"/>
      <c r="LCY156" s="52"/>
      <c r="LCZ156" s="53"/>
      <c r="LDA156" s="8"/>
      <c r="LDB156" s="45"/>
      <c r="LDC156" s="45"/>
      <c r="LDD156" s="46"/>
      <c r="LDE156" s="44"/>
      <c r="LDF156" s="7"/>
      <c r="LDG156" s="51"/>
      <c r="LDH156" s="52"/>
      <c r="LDI156" s="53"/>
      <c r="LDJ156" s="54"/>
      <c r="LDK156" s="52"/>
      <c r="LDL156" s="53"/>
      <c r="LDM156" s="54"/>
      <c r="LDN156" s="52"/>
      <c r="LDO156" s="53"/>
      <c r="LDP156" s="8"/>
      <c r="LDQ156" s="45"/>
      <c r="LDR156" s="45"/>
      <c r="LDS156" s="46"/>
      <c r="LDT156" s="44"/>
      <c r="LDU156" s="7"/>
      <c r="LDV156" s="51"/>
      <c r="LDW156" s="52"/>
      <c r="LDX156" s="53"/>
      <c r="LDY156" s="54"/>
      <c r="LDZ156" s="52"/>
      <c r="LEA156" s="53"/>
      <c r="LEB156" s="54"/>
      <c r="LEC156" s="52"/>
      <c r="LED156" s="53"/>
      <c r="LEE156" s="8"/>
      <c r="LEF156" s="45"/>
      <c r="LEG156" s="45"/>
      <c r="LEH156" s="46"/>
      <c r="LEI156" s="44"/>
      <c r="LEJ156" s="7"/>
      <c r="LEK156" s="51"/>
      <c r="LEL156" s="52"/>
      <c r="LEM156" s="53"/>
      <c r="LEN156" s="54"/>
      <c r="LEO156" s="52"/>
      <c r="LEP156" s="53"/>
      <c r="LEQ156" s="54"/>
      <c r="LER156" s="52"/>
      <c r="LES156" s="53"/>
      <c r="LET156" s="8"/>
      <c r="LEU156" s="45"/>
      <c r="LEV156" s="45"/>
      <c r="LEW156" s="46"/>
      <c r="LEX156" s="44"/>
      <c r="LEY156" s="7"/>
      <c r="LEZ156" s="51"/>
      <c r="LFA156" s="52"/>
      <c r="LFB156" s="53"/>
      <c r="LFC156" s="54"/>
      <c r="LFD156" s="52"/>
      <c r="LFE156" s="53"/>
      <c r="LFF156" s="54"/>
      <c r="LFG156" s="52"/>
      <c r="LFH156" s="53"/>
      <c r="LFI156" s="8"/>
      <c r="LFJ156" s="45"/>
      <c r="LFK156" s="45"/>
      <c r="LFL156" s="46"/>
      <c r="LFM156" s="44"/>
      <c r="LFN156" s="7"/>
      <c r="LFO156" s="51"/>
      <c r="LFP156" s="52"/>
      <c r="LFQ156" s="53"/>
      <c r="LFR156" s="54"/>
      <c r="LFS156" s="52"/>
      <c r="LFT156" s="53"/>
      <c r="LFU156" s="54"/>
      <c r="LFV156" s="52"/>
      <c r="LFW156" s="53"/>
      <c r="LFX156" s="8"/>
      <c r="LFY156" s="45"/>
      <c r="LFZ156" s="45"/>
      <c r="LGA156" s="46"/>
      <c r="LGB156" s="44"/>
      <c r="LGC156" s="7"/>
      <c r="LGD156" s="51"/>
      <c r="LGE156" s="52"/>
      <c r="LGF156" s="53"/>
      <c r="LGG156" s="54"/>
      <c r="LGH156" s="52"/>
      <c r="LGI156" s="53"/>
      <c r="LGJ156" s="54"/>
      <c r="LGK156" s="52"/>
      <c r="LGL156" s="53"/>
      <c r="LGM156" s="8"/>
      <c r="LGN156" s="45"/>
      <c r="LGO156" s="45"/>
      <c r="LGP156" s="46"/>
      <c r="LGQ156" s="44"/>
      <c r="LGR156" s="7"/>
      <c r="LGS156" s="51"/>
      <c r="LGT156" s="52"/>
      <c r="LGU156" s="53"/>
      <c r="LGV156" s="54"/>
      <c r="LGW156" s="52"/>
      <c r="LGX156" s="53"/>
      <c r="LGY156" s="54"/>
      <c r="LGZ156" s="52"/>
      <c r="LHA156" s="53"/>
      <c r="LHB156" s="8"/>
      <c r="LHC156" s="45"/>
      <c r="LHD156" s="45"/>
      <c r="LHE156" s="46"/>
      <c r="LHF156" s="44"/>
      <c r="LHG156" s="7"/>
      <c r="LHH156" s="51"/>
      <c r="LHI156" s="52"/>
      <c r="LHJ156" s="53"/>
      <c r="LHK156" s="54"/>
      <c r="LHL156" s="52"/>
      <c r="LHM156" s="53"/>
      <c r="LHN156" s="54"/>
      <c r="LHO156" s="52"/>
      <c r="LHP156" s="53"/>
      <c r="LHQ156" s="8"/>
      <c r="LHR156" s="45"/>
      <c r="LHS156" s="45"/>
      <c r="LHT156" s="46"/>
      <c r="LHU156" s="44"/>
      <c r="LHV156" s="7"/>
      <c r="LHW156" s="51"/>
      <c r="LHX156" s="52"/>
      <c r="LHY156" s="53"/>
      <c r="LHZ156" s="54"/>
      <c r="LIA156" s="52"/>
      <c r="LIB156" s="53"/>
      <c r="LIC156" s="54"/>
      <c r="LID156" s="52"/>
      <c r="LIE156" s="53"/>
      <c r="LIF156" s="8"/>
      <c r="LIG156" s="45"/>
      <c r="LIH156" s="45"/>
      <c r="LII156" s="46"/>
      <c r="LIJ156" s="44"/>
      <c r="LIK156" s="7"/>
      <c r="LIL156" s="51"/>
      <c r="LIM156" s="52"/>
      <c r="LIN156" s="53"/>
      <c r="LIO156" s="54"/>
      <c r="LIP156" s="52"/>
      <c r="LIQ156" s="53"/>
      <c r="LIR156" s="54"/>
      <c r="LIS156" s="52"/>
      <c r="LIT156" s="53"/>
      <c r="LIU156" s="8"/>
      <c r="LIV156" s="45"/>
      <c r="LIW156" s="45"/>
      <c r="LIX156" s="46"/>
      <c r="LIY156" s="44"/>
      <c r="LIZ156" s="7"/>
      <c r="LJA156" s="51"/>
      <c r="LJB156" s="52"/>
      <c r="LJC156" s="53"/>
      <c r="LJD156" s="54"/>
      <c r="LJE156" s="52"/>
      <c r="LJF156" s="53"/>
      <c r="LJG156" s="54"/>
      <c r="LJH156" s="52"/>
      <c r="LJI156" s="53"/>
      <c r="LJJ156" s="8"/>
      <c r="LJK156" s="45"/>
      <c r="LJL156" s="45"/>
      <c r="LJM156" s="46"/>
      <c r="LJN156" s="44"/>
      <c r="LJO156" s="7"/>
      <c r="LJP156" s="51"/>
      <c r="LJQ156" s="52"/>
      <c r="LJR156" s="53"/>
      <c r="LJS156" s="54"/>
      <c r="LJT156" s="52"/>
      <c r="LJU156" s="53"/>
      <c r="LJV156" s="54"/>
      <c r="LJW156" s="52"/>
      <c r="LJX156" s="53"/>
      <c r="LJY156" s="8"/>
      <c r="LJZ156" s="45"/>
      <c r="LKA156" s="45"/>
      <c r="LKB156" s="46"/>
      <c r="LKC156" s="44"/>
      <c r="LKD156" s="7"/>
      <c r="LKE156" s="51"/>
      <c r="LKF156" s="52"/>
      <c r="LKG156" s="53"/>
      <c r="LKH156" s="54"/>
      <c r="LKI156" s="52"/>
      <c r="LKJ156" s="53"/>
      <c r="LKK156" s="54"/>
      <c r="LKL156" s="52"/>
      <c r="LKM156" s="53"/>
      <c r="LKN156" s="8"/>
      <c r="LKO156" s="45"/>
      <c r="LKP156" s="45"/>
      <c r="LKQ156" s="46"/>
      <c r="LKR156" s="44"/>
      <c r="LKS156" s="7"/>
      <c r="LKT156" s="51"/>
      <c r="LKU156" s="52"/>
      <c r="LKV156" s="53"/>
      <c r="LKW156" s="54"/>
      <c r="LKX156" s="52"/>
      <c r="LKY156" s="53"/>
      <c r="LKZ156" s="54"/>
      <c r="LLA156" s="52"/>
      <c r="LLB156" s="53"/>
      <c r="LLC156" s="8"/>
      <c r="LLD156" s="45"/>
      <c r="LLE156" s="45"/>
      <c r="LLF156" s="46"/>
      <c r="LLG156" s="44"/>
      <c r="LLH156" s="7"/>
      <c r="LLI156" s="51"/>
      <c r="LLJ156" s="52"/>
      <c r="LLK156" s="53"/>
      <c r="LLL156" s="54"/>
      <c r="LLM156" s="52"/>
      <c r="LLN156" s="53"/>
      <c r="LLO156" s="54"/>
      <c r="LLP156" s="52"/>
      <c r="LLQ156" s="53"/>
      <c r="LLR156" s="8"/>
      <c r="LLS156" s="45"/>
      <c r="LLT156" s="45"/>
      <c r="LLU156" s="46"/>
      <c r="LLV156" s="44"/>
      <c r="LLW156" s="7"/>
      <c r="LLX156" s="51"/>
      <c r="LLY156" s="52"/>
      <c r="LLZ156" s="53"/>
      <c r="LMA156" s="54"/>
      <c r="LMB156" s="52"/>
      <c r="LMC156" s="53"/>
      <c r="LMD156" s="54"/>
      <c r="LME156" s="52"/>
      <c r="LMF156" s="53"/>
      <c r="LMG156" s="8"/>
      <c r="LMH156" s="45"/>
      <c r="LMI156" s="45"/>
      <c r="LMJ156" s="46"/>
      <c r="LMK156" s="44"/>
      <c r="LML156" s="7"/>
      <c r="LMM156" s="51"/>
      <c r="LMN156" s="52"/>
      <c r="LMO156" s="53"/>
      <c r="LMP156" s="54"/>
      <c r="LMQ156" s="52"/>
      <c r="LMR156" s="53"/>
      <c r="LMS156" s="54"/>
      <c r="LMT156" s="52"/>
      <c r="LMU156" s="53"/>
      <c r="LMV156" s="8"/>
      <c r="LMW156" s="45"/>
      <c r="LMX156" s="45"/>
      <c r="LMY156" s="46"/>
      <c r="LMZ156" s="44"/>
      <c r="LNA156" s="7"/>
      <c r="LNB156" s="51"/>
      <c r="LNC156" s="52"/>
      <c r="LND156" s="53"/>
      <c r="LNE156" s="54"/>
      <c r="LNF156" s="52"/>
      <c r="LNG156" s="53"/>
      <c r="LNH156" s="54"/>
      <c r="LNI156" s="52"/>
      <c r="LNJ156" s="53"/>
      <c r="LNK156" s="8"/>
      <c r="LNL156" s="45"/>
      <c r="LNM156" s="45"/>
      <c r="LNN156" s="46"/>
      <c r="LNO156" s="44"/>
      <c r="LNP156" s="7"/>
      <c r="LNQ156" s="51"/>
      <c r="LNR156" s="52"/>
      <c r="LNS156" s="53"/>
      <c r="LNT156" s="54"/>
      <c r="LNU156" s="52"/>
      <c r="LNV156" s="53"/>
      <c r="LNW156" s="54"/>
      <c r="LNX156" s="52"/>
      <c r="LNY156" s="53"/>
      <c r="LNZ156" s="8"/>
      <c r="LOA156" s="45"/>
      <c r="LOB156" s="45"/>
      <c r="LOC156" s="46"/>
      <c r="LOD156" s="44"/>
      <c r="LOE156" s="7"/>
      <c r="LOF156" s="51"/>
      <c r="LOG156" s="52"/>
      <c r="LOH156" s="53"/>
      <c r="LOI156" s="54"/>
      <c r="LOJ156" s="52"/>
      <c r="LOK156" s="53"/>
      <c r="LOL156" s="54"/>
      <c r="LOM156" s="52"/>
      <c r="LON156" s="53"/>
      <c r="LOO156" s="8"/>
      <c r="LOP156" s="45"/>
      <c r="LOQ156" s="45"/>
      <c r="LOR156" s="46"/>
      <c r="LOS156" s="44"/>
      <c r="LOT156" s="7"/>
      <c r="LOU156" s="51"/>
      <c r="LOV156" s="52"/>
      <c r="LOW156" s="53"/>
      <c r="LOX156" s="54"/>
      <c r="LOY156" s="52"/>
      <c r="LOZ156" s="53"/>
      <c r="LPA156" s="54"/>
      <c r="LPB156" s="52"/>
      <c r="LPC156" s="53"/>
      <c r="LPD156" s="8"/>
      <c r="LPE156" s="45"/>
      <c r="LPF156" s="45"/>
      <c r="LPG156" s="46"/>
      <c r="LPH156" s="44"/>
      <c r="LPI156" s="7"/>
      <c r="LPJ156" s="51"/>
      <c r="LPK156" s="52"/>
      <c r="LPL156" s="53"/>
      <c r="LPM156" s="54"/>
      <c r="LPN156" s="52"/>
      <c r="LPO156" s="53"/>
      <c r="LPP156" s="54"/>
      <c r="LPQ156" s="52"/>
      <c r="LPR156" s="53"/>
      <c r="LPS156" s="8"/>
      <c r="LPT156" s="45"/>
      <c r="LPU156" s="45"/>
      <c r="LPV156" s="46"/>
      <c r="LPW156" s="44"/>
      <c r="LPX156" s="7"/>
      <c r="LPY156" s="51"/>
      <c r="LPZ156" s="52"/>
      <c r="LQA156" s="53"/>
      <c r="LQB156" s="54"/>
      <c r="LQC156" s="52"/>
      <c r="LQD156" s="53"/>
      <c r="LQE156" s="54"/>
      <c r="LQF156" s="52"/>
      <c r="LQG156" s="53"/>
      <c r="LQH156" s="8"/>
      <c r="LQI156" s="45"/>
      <c r="LQJ156" s="45"/>
      <c r="LQK156" s="46"/>
      <c r="LQL156" s="44"/>
      <c r="LQM156" s="7"/>
      <c r="LQN156" s="51"/>
      <c r="LQO156" s="52"/>
      <c r="LQP156" s="53"/>
      <c r="LQQ156" s="54"/>
      <c r="LQR156" s="52"/>
      <c r="LQS156" s="53"/>
      <c r="LQT156" s="54"/>
      <c r="LQU156" s="52"/>
      <c r="LQV156" s="53"/>
      <c r="LQW156" s="8"/>
      <c r="LQX156" s="45"/>
      <c r="LQY156" s="45"/>
      <c r="LQZ156" s="46"/>
      <c r="LRA156" s="44"/>
      <c r="LRB156" s="7"/>
      <c r="LRC156" s="51"/>
      <c r="LRD156" s="52"/>
      <c r="LRE156" s="53"/>
      <c r="LRF156" s="54"/>
      <c r="LRG156" s="52"/>
      <c r="LRH156" s="53"/>
      <c r="LRI156" s="54"/>
      <c r="LRJ156" s="52"/>
      <c r="LRK156" s="53"/>
      <c r="LRL156" s="8"/>
      <c r="LRM156" s="45"/>
      <c r="LRN156" s="45"/>
      <c r="LRO156" s="46"/>
      <c r="LRP156" s="44"/>
      <c r="LRQ156" s="7"/>
      <c r="LRR156" s="51"/>
      <c r="LRS156" s="52"/>
      <c r="LRT156" s="53"/>
      <c r="LRU156" s="54"/>
      <c r="LRV156" s="52"/>
      <c r="LRW156" s="53"/>
      <c r="LRX156" s="54"/>
      <c r="LRY156" s="52"/>
      <c r="LRZ156" s="53"/>
      <c r="LSA156" s="8"/>
      <c r="LSB156" s="45"/>
      <c r="LSC156" s="45"/>
      <c r="LSD156" s="46"/>
      <c r="LSE156" s="44"/>
      <c r="LSF156" s="7"/>
      <c r="LSG156" s="51"/>
      <c r="LSH156" s="52"/>
      <c r="LSI156" s="53"/>
      <c r="LSJ156" s="54"/>
      <c r="LSK156" s="52"/>
      <c r="LSL156" s="53"/>
      <c r="LSM156" s="54"/>
      <c r="LSN156" s="52"/>
      <c r="LSO156" s="53"/>
      <c r="LSP156" s="8"/>
      <c r="LSQ156" s="45"/>
      <c r="LSR156" s="45"/>
      <c r="LSS156" s="46"/>
      <c r="LST156" s="44"/>
      <c r="LSU156" s="7"/>
      <c r="LSV156" s="51"/>
      <c r="LSW156" s="52"/>
      <c r="LSX156" s="53"/>
      <c r="LSY156" s="54"/>
      <c r="LSZ156" s="52"/>
      <c r="LTA156" s="53"/>
      <c r="LTB156" s="54"/>
      <c r="LTC156" s="52"/>
      <c r="LTD156" s="53"/>
      <c r="LTE156" s="8"/>
      <c r="LTF156" s="45"/>
      <c r="LTG156" s="45"/>
      <c r="LTH156" s="46"/>
      <c r="LTI156" s="44"/>
      <c r="LTJ156" s="7"/>
      <c r="LTK156" s="51"/>
      <c r="LTL156" s="52"/>
      <c r="LTM156" s="53"/>
      <c r="LTN156" s="54"/>
      <c r="LTO156" s="52"/>
      <c r="LTP156" s="53"/>
      <c r="LTQ156" s="54"/>
      <c r="LTR156" s="52"/>
      <c r="LTS156" s="53"/>
      <c r="LTT156" s="8"/>
      <c r="LTU156" s="45"/>
      <c r="LTV156" s="45"/>
      <c r="LTW156" s="46"/>
      <c r="LTX156" s="44"/>
      <c r="LTY156" s="7"/>
      <c r="LTZ156" s="51"/>
      <c r="LUA156" s="52"/>
      <c r="LUB156" s="53"/>
      <c r="LUC156" s="54"/>
      <c r="LUD156" s="52"/>
      <c r="LUE156" s="53"/>
      <c r="LUF156" s="54"/>
      <c r="LUG156" s="52"/>
      <c r="LUH156" s="53"/>
      <c r="LUI156" s="8"/>
      <c r="LUJ156" s="45"/>
      <c r="LUK156" s="45"/>
      <c r="LUL156" s="46"/>
      <c r="LUM156" s="44"/>
      <c r="LUN156" s="7"/>
      <c r="LUO156" s="51"/>
      <c r="LUP156" s="52"/>
      <c r="LUQ156" s="53"/>
      <c r="LUR156" s="54"/>
      <c r="LUS156" s="52"/>
      <c r="LUT156" s="53"/>
      <c r="LUU156" s="54"/>
      <c r="LUV156" s="52"/>
      <c r="LUW156" s="53"/>
      <c r="LUX156" s="8"/>
      <c r="LUY156" s="45"/>
      <c r="LUZ156" s="45"/>
      <c r="LVA156" s="46"/>
      <c r="LVB156" s="44"/>
      <c r="LVC156" s="7"/>
      <c r="LVD156" s="51"/>
      <c r="LVE156" s="52"/>
      <c r="LVF156" s="53"/>
      <c r="LVG156" s="54"/>
      <c r="LVH156" s="52"/>
      <c r="LVI156" s="53"/>
      <c r="LVJ156" s="54"/>
      <c r="LVK156" s="52"/>
      <c r="LVL156" s="53"/>
      <c r="LVM156" s="8"/>
      <c r="LVN156" s="45"/>
      <c r="LVO156" s="45"/>
      <c r="LVP156" s="46"/>
      <c r="LVQ156" s="44"/>
      <c r="LVR156" s="7"/>
      <c r="LVS156" s="51"/>
      <c r="LVT156" s="52"/>
      <c r="LVU156" s="53"/>
      <c r="LVV156" s="54"/>
      <c r="LVW156" s="52"/>
      <c r="LVX156" s="53"/>
      <c r="LVY156" s="54"/>
      <c r="LVZ156" s="52"/>
      <c r="LWA156" s="53"/>
      <c r="LWB156" s="8"/>
      <c r="LWC156" s="45"/>
      <c r="LWD156" s="45"/>
      <c r="LWE156" s="46"/>
      <c r="LWF156" s="44"/>
      <c r="LWG156" s="7"/>
      <c r="LWH156" s="51"/>
      <c r="LWI156" s="52"/>
      <c r="LWJ156" s="53"/>
      <c r="LWK156" s="54"/>
      <c r="LWL156" s="52"/>
      <c r="LWM156" s="53"/>
      <c r="LWN156" s="54"/>
      <c r="LWO156" s="52"/>
      <c r="LWP156" s="53"/>
      <c r="LWQ156" s="8"/>
      <c r="LWR156" s="45"/>
      <c r="LWS156" s="45"/>
      <c r="LWT156" s="46"/>
      <c r="LWU156" s="44"/>
      <c r="LWV156" s="7"/>
      <c r="LWW156" s="51"/>
      <c r="LWX156" s="52"/>
      <c r="LWY156" s="53"/>
      <c r="LWZ156" s="54"/>
      <c r="LXA156" s="52"/>
      <c r="LXB156" s="53"/>
      <c r="LXC156" s="54"/>
      <c r="LXD156" s="52"/>
      <c r="LXE156" s="53"/>
      <c r="LXF156" s="8"/>
      <c r="LXG156" s="45"/>
      <c r="LXH156" s="45"/>
      <c r="LXI156" s="46"/>
      <c r="LXJ156" s="44"/>
      <c r="LXK156" s="7"/>
      <c r="LXL156" s="51"/>
      <c r="LXM156" s="52"/>
      <c r="LXN156" s="53"/>
      <c r="LXO156" s="54"/>
      <c r="LXP156" s="52"/>
      <c r="LXQ156" s="53"/>
      <c r="LXR156" s="54"/>
      <c r="LXS156" s="52"/>
      <c r="LXT156" s="53"/>
      <c r="LXU156" s="8"/>
      <c r="LXV156" s="45"/>
      <c r="LXW156" s="45"/>
      <c r="LXX156" s="46"/>
      <c r="LXY156" s="44"/>
      <c r="LXZ156" s="7"/>
      <c r="LYA156" s="51"/>
      <c r="LYB156" s="52"/>
      <c r="LYC156" s="53"/>
      <c r="LYD156" s="54"/>
      <c r="LYE156" s="52"/>
      <c r="LYF156" s="53"/>
      <c r="LYG156" s="54"/>
      <c r="LYH156" s="52"/>
      <c r="LYI156" s="53"/>
      <c r="LYJ156" s="8"/>
      <c r="LYK156" s="45"/>
      <c r="LYL156" s="45"/>
      <c r="LYM156" s="46"/>
      <c r="LYN156" s="44"/>
      <c r="LYO156" s="7"/>
      <c r="LYP156" s="51"/>
      <c r="LYQ156" s="52"/>
      <c r="LYR156" s="53"/>
      <c r="LYS156" s="54"/>
      <c r="LYT156" s="52"/>
      <c r="LYU156" s="53"/>
      <c r="LYV156" s="54"/>
      <c r="LYW156" s="52"/>
      <c r="LYX156" s="53"/>
      <c r="LYY156" s="8"/>
      <c r="LYZ156" s="45"/>
      <c r="LZA156" s="45"/>
      <c r="LZB156" s="46"/>
      <c r="LZC156" s="44"/>
      <c r="LZD156" s="7"/>
      <c r="LZE156" s="51"/>
      <c r="LZF156" s="52"/>
      <c r="LZG156" s="53"/>
      <c r="LZH156" s="54"/>
      <c r="LZI156" s="52"/>
      <c r="LZJ156" s="53"/>
      <c r="LZK156" s="54"/>
      <c r="LZL156" s="52"/>
      <c r="LZM156" s="53"/>
      <c r="LZN156" s="8"/>
      <c r="LZO156" s="45"/>
      <c r="LZP156" s="45"/>
      <c r="LZQ156" s="46"/>
      <c r="LZR156" s="44"/>
      <c r="LZS156" s="7"/>
      <c r="LZT156" s="51"/>
      <c r="LZU156" s="52"/>
      <c r="LZV156" s="53"/>
      <c r="LZW156" s="54"/>
      <c r="LZX156" s="52"/>
      <c r="LZY156" s="53"/>
      <c r="LZZ156" s="54"/>
      <c r="MAA156" s="52"/>
      <c r="MAB156" s="53"/>
      <c r="MAC156" s="8"/>
      <c r="MAD156" s="45"/>
      <c r="MAE156" s="45"/>
      <c r="MAF156" s="46"/>
      <c r="MAG156" s="44"/>
      <c r="MAH156" s="7"/>
      <c r="MAI156" s="51"/>
      <c r="MAJ156" s="52"/>
      <c r="MAK156" s="53"/>
      <c r="MAL156" s="54"/>
      <c r="MAM156" s="52"/>
      <c r="MAN156" s="53"/>
      <c r="MAO156" s="54"/>
      <c r="MAP156" s="52"/>
      <c r="MAQ156" s="53"/>
      <c r="MAR156" s="8"/>
      <c r="MAS156" s="45"/>
      <c r="MAT156" s="45"/>
      <c r="MAU156" s="46"/>
      <c r="MAV156" s="44"/>
      <c r="MAW156" s="7"/>
      <c r="MAX156" s="51"/>
      <c r="MAY156" s="52"/>
      <c r="MAZ156" s="53"/>
      <c r="MBA156" s="54"/>
      <c r="MBB156" s="52"/>
      <c r="MBC156" s="53"/>
      <c r="MBD156" s="54"/>
      <c r="MBE156" s="52"/>
      <c r="MBF156" s="53"/>
      <c r="MBG156" s="8"/>
      <c r="MBH156" s="45"/>
      <c r="MBI156" s="45"/>
      <c r="MBJ156" s="46"/>
      <c r="MBK156" s="44"/>
      <c r="MBL156" s="7"/>
      <c r="MBM156" s="51"/>
      <c r="MBN156" s="52"/>
      <c r="MBO156" s="53"/>
      <c r="MBP156" s="54"/>
      <c r="MBQ156" s="52"/>
      <c r="MBR156" s="53"/>
      <c r="MBS156" s="54"/>
      <c r="MBT156" s="52"/>
      <c r="MBU156" s="53"/>
      <c r="MBV156" s="8"/>
      <c r="MBW156" s="45"/>
      <c r="MBX156" s="45"/>
      <c r="MBY156" s="46"/>
      <c r="MBZ156" s="44"/>
      <c r="MCA156" s="7"/>
      <c r="MCB156" s="51"/>
      <c r="MCC156" s="52"/>
      <c r="MCD156" s="53"/>
      <c r="MCE156" s="54"/>
      <c r="MCF156" s="52"/>
      <c r="MCG156" s="53"/>
      <c r="MCH156" s="54"/>
      <c r="MCI156" s="52"/>
      <c r="MCJ156" s="53"/>
      <c r="MCK156" s="8"/>
      <c r="MCL156" s="45"/>
      <c r="MCM156" s="45"/>
      <c r="MCN156" s="46"/>
      <c r="MCO156" s="44"/>
      <c r="MCP156" s="7"/>
      <c r="MCQ156" s="51"/>
      <c r="MCR156" s="52"/>
      <c r="MCS156" s="53"/>
      <c r="MCT156" s="54"/>
      <c r="MCU156" s="52"/>
      <c r="MCV156" s="53"/>
      <c r="MCW156" s="54"/>
      <c r="MCX156" s="52"/>
      <c r="MCY156" s="53"/>
      <c r="MCZ156" s="8"/>
      <c r="MDA156" s="45"/>
      <c r="MDB156" s="45"/>
      <c r="MDC156" s="46"/>
      <c r="MDD156" s="44"/>
      <c r="MDE156" s="7"/>
      <c r="MDF156" s="51"/>
      <c r="MDG156" s="52"/>
      <c r="MDH156" s="53"/>
      <c r="MDI156" s="54"/>
      <c r="MDJ156" s="52"/>
      <c r="MDK156" s="53"/>
      <c r="MDL156" s="54"/>
      <c r="MDM156" s="52"/>
      <c r="MDN156" s="53"/>
      <c r="MDO156" s="8"/>
      <c r="MDP156" s="45"/>
      <c r="MDQ156" s="45"/>
      <c r="MDR156" s="46"/>
      <c r="MDS156" s="44"/>
      <c r="MDT156" s="7"/>
      <c r="MDU156" s="51"/>
      <c r="MDV156" s="52"/>
      <c r="MDW156" s="53"/>
      <c r="MDX156" s="54"/>
      <c r="MDY156" s="52"/>
      <c r="MDZ156" s="53"/>
      <c r="MEA156" s="54"/>
      <c r="MEB156" s="52"/>
      <c r="MEC156" s="53"/>
      <c r="MED156" s="8"/>
      <c r="MEE156" s="45"/>
      <c r="MEF156" s="45"/>
      <c r="MEG156" s="46"/>
      <c r="MEH156" s="44"/>
      <c r="MEI156" s="7"/>
      <c r="MEJ156" s="51"/>
      <c r="MEK156" s="52"/>
      <c r="MEL156" s="53"/>
      <c r="MEM156" s="54"/>
      <c r="MEN156" s="52"/>
      <c r="MEO156" s="53"/>
      <c r="MEP156" s="54"/>
      <c r="MEQ156" s="52"/>
      <c r="MER156" s="53"/>
      <c r="MES156" s="8"/>
      <c r="MET156" s="45"/>
      <c r="MEU156" s="45"/>
      <c r="MEV156" s="46"/>
      <c r="MEW156" s="44"/>
      <c r="MEX156" s="7"/>
      <c r="MEY156" s="51"/>
      <c r="MEZ156" s="52"/>
      <c r="MFA156" s="53"/>
      <c r="MFB156" s="54"/>
      <c r="MFC156" s="52"/>
      <c r="MFD156" s="53"/>
      <c r="MFE156" s="54"/>
      <c r="MFF156" s="52"/>
      <c r="MFG156" s="53"/>
      <c r="MFH156" s="8"/>
      <c r="MFI156" s="45"/>
      <c r="MFJ156" s="45"/>
      <c r="MFK156" s="46"/>
      <c r="MFL156" s="44"/>
      <c r="MFM156" s="7"/>
      <c r="MFN156" s="51"/>
      <c r="MFO156" s="52"/>
      <c r="MFP156" s="53"/>
      <c r="MFQ156" s="54"/>
      <c r="MFR156" s="52"/>
      <c r="MFS156" s="53"/>
      <c r="MFT156" s="54"/>
      <c r="MFU156" s="52"/>
      <c r="MFV156" s="53"/>
      <c r="MFW156" s="8"/>
      <c r="MFX156" s="45"/>
      <c r="MFY156" s="45"/>
      <c r="MFZ156" s="46"/>
      <c r="MGA156" s="44"/>
      <c r="MGB156" s="7"/>
      <c r="MGC156" s="51"/>
      <c r="MGD156" s="52"/>
      <c r="MGE156" s="53"/>
      <c r="MGF156" s="54"/>
      <c r="MGG156" s="52"/>
      <c r="MGH156" s="53"/>
      <c r="MGI156" s="54"/>
      <c r="MGJ156" s="52"/>
      <c r="MGK156" s="53"/>
      <c r="MGL156" s="8"/>
      <c r="MGM156" s="45"/>
      <c r="MGN156" s="45"/>
      <c r="MGO156" s="46"/>
      <c r="MGP156" s="44"/>
      <c r="MGQ156" s="7"/>
      <c r="MGR156" s="51"/>
      <c r="MGS156" s="52"/>
      <c r="MGT156" s="53"/>
      <c r="MGU156" s="54"/>
      <c r="MGV156" s="52"/>
      <c r="MGW156" s="53"/>
      <c r="MGX156" s="54"/>
      <c r="MGY156" s="52"/>
      <c r="MGZ156" s="53"/>
      <c r="MHA156" s="8"/>
      <c r="MHB156" s="45"/>
      <c r="MHC156" s="45"/>
      <c r="MHD156" s="46"/>
      <c r="MHE156" s="44"/>
      <c r="MHF156" s="7"/>
      <c r="MHG156" s="51"/>
      <c r="MHH156" s="52"/>
      <c r="MHI156" s="53"/>
      <c r="MHJ156" s="54"/>
      <c r="MHK156" s="52"/>
      <c r="MHL156" s="53"/>
      <c r="MHM156" s="54"/>
      <c r="MHN156" s="52"/>
      <c r="MHO156" s="53"/>
      <c r="MHP156" s="8"/>
      <c r="MHQ156" s="45"/>
      <c r="MHR156" s="45"/>
      <c r="MHS156" s="46"/>
      <c r="MHT156" s="44"/>
      <c r="MHU156" s="7"/>
      <c r="MHV156" s="51"/>
      <c r="MHW156" s="52"/>
      <c r="MHX156" s="53"/>
      <c r="MHY156" s="54"/>
      <c r="MHZ156" s="52"/>
      <c r="MIA156" s="53"/>
      <c r="MIB156" s="54"/>
      <c r="MIC156" s="52"/>
      <c r="MID156" s="53"/>
      <c r="MIE156" s="8"/>
      <c r="MIF156" s="45"/>
      <c r="MIG156" s="45"/>
      <c r="MIH156" s="46"/>
      <c r="MII156" s="44"/>
      <c r="MIJ156" s="7"/>
      <c r="MIK156" s="51"/>
      <c r="MIL156" s="52"/>
      <c r="MIM156" s="53"/>
      <c r="MIN156" s="54"/>
      <c r="MIO156" s="52"/>
      <c r="MIP156" s="53"/>
      <c r="MIQ156" s="54"/>
      <c r="MIR156" s="52"/>
      <c r="MIS156" s="53"/>
      <c r="MIT156" s="8"/>
      <c r="MIU156" s="45"/>
      <c r="MIV156" s="45"/>
      <c r="MIW156" s="46"/>
      <c r="MIX156" s="44"/>
      <c r="MIY156" s="7"/>
      <c r="MIZ156" s="51"/>
      <c r="MJA156" s="52"/>
      <c r="MJB156" s="53"/>
      <c r="MJC156" s="54"/>
      <c r="MJD156" s="52"/>
      <c r="MJE156" s="53"/>
      <c r="MJF156" s="54"/>
      <c r="MJG156" s="52"/>
      <c r="MJH156" s="53"/>
      <c r="MJI156" s="8"/>
      <c r="MJJ156" s="45"/>
      <c r="MJK156" s="45"/>
      <c r="MJL156" s="46"/>
      <c r="MJM156" s="44"/>
      <c r="MJN156" s="7"/>
      <c r="MJO156" s="51"/>
      <c r="MJP156" s="52"/>
      <c r="MJQ156" s="53"/>
      <c r="MJR156" s="54"/>
      <c r="MJS156" s="52"/>
      <c r="MJT156" s="53"/>
      <c r="MJU156" s="54"/>
      <c r="MJV156" s="52"/>
      <c r="MJW156" s="53"/>
      <c r="MJX156" s="8"/>
      <c r="MJY156" s="45"/>
      <c r="MJZ156" s="45"/>
      <c r="MKA156" s="46"/>
      <c r="MKB156" s="44"/>
      <c r="MKC156" s="7"/>
      <c r="MKD156" s="51"/>
      <c r="MKE156" s="52"/>
      <c r="MKF156" s="53"/>
    </row>
    <row r="157" spans="1:9080">
      <c r="A157" s="44"/>
      <c r="B157" s="7"/>
      <c r="C157" s="51"/>
      <c r="D157" s="52"/>
      <c r="E157" s="53"/>
      <c r="F157" s="54"/>
      <c r="G157" s="52"/>
      <c r="H157" s="53"/>
      <c r="I157" s="54"/>
      <c r="J157" s="52"/>
      <c r="K157" s="53"/>
      <c r="L157" s="8"/>
      <c r="M157" s="45"/>
      <c r="N157" s="45"/>
      <c r="O157" s="46"/>
      <c r="NB157" s="54"/>
      <c r="NC157" s="52"/>
      <c r="ND157" s="53"/>
      <c r="NE157" s="54"/>
      <c r="NF157" s="52"/>
      <c r="NG157" s="53"/>
      <c r="NH157" s="8"/>
      <c r="NI157" s="45"/>
      <c r="NJ157" s="45"/>
      <c r="NK157" s="46"/>
      <c r="NL157" s="44"/>
      <c r="NM157" s="7"/>
      <c r="NN157" s="51"/>
      <c r="NO157" s="52"/>
      <c r="NP157" s="53"/>
      <c r="NQ157" s="54"/>
      <c r="NR157" s="52"/>
      <c r="NS157" s="53"/>
      <c r="NT157" s="54"/>
      <c r="NU157" s="52"/>
      <c r="NV157" s="53"/>
      <c r="NW157" s="8"/>
      <c r="NX157" s="45"/>
      <c r="NY157" s="45"/>
      <c r="NZ157" s="46"/>
      <c r="OA157" s="44"/>
      <c r="OB157" s="7"/>
      <c r="OC157" s="51"/>
      <c r="OD157" s="52"/>
      <c r="OE157" s="53"/>
      <c r="OF157" s="54"/>
      <c r="OG157" s="52"/>
      <c r="OH157" s="53"/>
      <c r="OI157" s="54"/>
      <c r="OJ157" s="52"/>
      <c r="OK157" s="53"/>
      <c r="OL157" s="8"/>
      <c r="OM157" s="45"/>
      <c r="ON157" s="45"/>
      <c r="OO157" s="46"/>
      <c r="OP157" s="44"/>
      <c r="OQ157" s="7"/>
      <c r="OR157" s="51"/>
      <c r="OS157" s="52"/>
      <c r="OT157" s="53"/>
      <c r="OU157" s="54"/>
      <c r="OV157" s="52"/>
      <c r="OW157" s="53"/>
      <c r="OX157" s="54"/>
      <c r="OY157" s="52"/>
      <c r="OZ157" s="53"/>
      <c r="PA157" s="8"/>
      <c r="PB157" s="45"/>
      <c r="PC157" s="45"/>
      <c r="PD157" s="46"/>
      <c r="PE157" s="44"/>
      <c r="PF157" s="7"/>
      <c r="PG157" s="51"/>
      <c r="PH157" s="52"/>
      <c r="PI157" s="53"/>
      <c r="PJ157" s="54"/>
      <c r="PK157" s="52"/>
      <c r="PL157" s="53"/>
      <c r="PM157" s="54"/>
      <c r="PN157" s="52"/>
      <c r="PO157" s="53"/>
      <c r="PP157" s="8"/>
      <c r="PQ157" s="45"/>
      <c r="PR157" s="45"/>
      <c r="PS157" s="46"/>
      <c r="PT157" s="44"/>
      <c r="PU157" s="7"/>
      <c r="PV157" s="51"/>
      <c r="PW157" s="52"/>
      <c r="PX157" s="53"/>
      <c r="PY157" s="54"/>
      <c r="PZ157" s="52"/>
      <c r="QA157" s="53"/>
      <c r="QB157" s="54"/>
      <c r="QC157" s="52"/>
      <c r="QD157" s="53"/>
      <c r="QE157" s="8"/>
      <c r="QF157" s="45"/>
      <c r="QG157" s="45"/>
      <c r="QH157" s="46"/>
      <c r="QI157" s="44"/>
      <c r="QJ157" s="7"/>
      <c r="QK157" s="51"/>
      <c r="QL157" s="52"/>
      <c r="QM157" s="53"/>
      <c r="QN157" s="54"/>
      <c r="QO157" s="52"/>
      <c r="QP157" s="53"/>
      <c r="QQ157" s="54"/>
      <c r="QR157" s="52"/>
      <c r="QS157" s="53"/>
      <c r="QT157" s="8"/>
      <c r="QU157" s="45"/>
      <c r="QV157" s="45"/>
      <c r="QW157" s="46"/>
      <c r="QX157" s="44"/>
      <c r="QY157" s="7"/>
      <c r="QZ157" s="51"/>
      <c r="RA157" s="52"/>
      <c r="RB157" s="53"/>
      <c r="RC157" s="54"/>
      <c r="RD157" s="52"/>
      <c r="RE157" s="53"/>
      <c r="RF157" s="54"/>
      <c r="RG157" s="52"/>
      <c r="RH157" s="53"/>
      <c r="RI157" s="8"/>
      <c r="RJ157" s="45"/>
      <c r="RK157" s="45"/>
      <c r="RL157" s="46"/>
      <c r="RM157" s="44"/>
      <c r="RN157" s="7"/>
      <c r="RO157" s="51"/>
      <c r="RP157" s="52"/>
      <c r="RQ157" s="53"/>
      <c r="RR157" s="54"/>
      <c r="RS157" s="52"/>
      <c r="RT157" s="53"/>
      <c r="RU157" s="54"/>
      <c r="RV157" s="52"/>
      <c r="RW157" s="53"/>
      <c r="RX157" s="8"/>
      <c r="RY157" s="45"/>
      <c r="RZ157" s="45"/>
      <c r="SA157" s="46"/>
      <c r="SB157" s="44"/>
      <c r="SC157" s="7"/>
      <c r="SD157" s="51"/>
      <c r="SE157" s="52"/>
      <c r="SF157" s="53"/>
      <c r="SG157" s="54"/>
      <c r="SH157" s="52"/>
      <c r="SI157" s="53"/>
      <c r="SJ157" s="54"/>
      <c r="SK157" s="52"/>
      <c r="SL157" s="53"/>
      <c r="SM157" s="8"/>
      <c r="SN157" s="45"/>
      <c r="SO157" s="45"/>
      <c r="SP157" s="46"/>
      <c r="SQ157" s="44"/>
      <c r="SR157" s="7"/>
      <c r="SS157" s="51"/>
      <c r="ST157" s="52"/>
      <c r="SU157" s="53"/>
      <c r="SV157" s="54"/>
      <c r="SW157" s="52"/>
      <c r="SX157" s="53"/>
      <c r="SY157" s="54"/>
      <c r="SZ157" s="52"/>
      <c r="TA157" s="53"/>
      <c r="TB157" s="8"/>
      <c r="TC157" s="45"/>
      <c r="TD157" s="45"/>
      <c r="TE157" s="46"/>
      <c r="TF157" s="44"/>
      <c r="TG157" s="7"/>
      <c r="TH157" s="51"/>
      <c r="TI157" s="52"/>
      <c r="TJ157" s="53"/>
      <c r="TK157" s="54"/>
      <c r="TL157" s="52"/>
      <c r="TM157" s="53"/>
      <c r="TN157" s="54"/>
      <c r="TO157" s="52"/>
      <c r="TP157" s="53"/>
      <c r="TQ157" s="8"/>
      <c r="TR157" s="45"/>
      <c r="TS157" s="45"/>
      <c r="TT157" s="46"/>
      <c r="TU157" s="44"/>
      <c r="TV157" s="7"/>
      <c r="TW157" s="51"/>
      <c r="TX157" s="52"/>
      <c r="TY157" s="53"/>
      <c r="TZ157" s="54"/>
      <c r="UA157" s="52"/>
      <c r="UB157" s="53"/>
      <c r="UC157" s="54"/>
      <c r="UD157" s="52"/>
      <c r="UE157" s="53"/>
      <c r="UF157" s="8"/>
      <c r="UG157" s="45"/>
      <c r="UH157" s="45"/>
      <c r="UI157" s="46"/>
      <c r="UJ157" s="44"/>
      <c r="UK157" s="7"/>
      <c r="UL157" s="51"/>
      <c r="UM157" s="52"/>
      <c r="UN157" s="53"/>
      <c r="UO157" s="54"/>
      <c r="UP157" s="52"/>
      <c r="UQ157" s="53"/>
      <c r="UR157" s="54"/>
      <c r="US157" s="52"/>
      <c r="UT157" s="53"/>
      <c r="UU157" s="8"/>
      <c r="UV157" s="45"/>
      <c r="UW157" s="45"/>
      <c r="UX157" s="46"/>
      <c r="UY157" s="44"/>
      <c r="UZ157" s="7"/>
      <c r="VA157" s="51"/>
      <c r="VB157" s="52"/>
      <c r="VC157" s="53"/>
      <c r="VD157" s="54"/>
      <c r="VE157" s="52"/>
      <c r="VF157" s="53"/>
      <c r="VG157" s="54"/>
      <c r="VH157" s="52"/>
      <c r="VI157" s="53"/>
      <c r="VJ157" s="8"/>
      <c r="VK157" s="45"/>
      <c r="VL157" s="45"/>
      <c r="VM157" s="46"/>
      <c r="VN157" s="44"/>
      <c r="VO157" s="7"/>
      <c r="VP157" s="51"/>
      <c r="VQ157" s="52"/>
      <c r="VR157" s="53"/>
      <c r="VS157" s="54"/>
      <c r="VT157" s="52"/>
      <c r="VU157" s="53"/>
      <c r="VV157" s="54"/>
      <c r="VW157" s="52"/>
      <c r="VX157" s="53"/>
      <c r="VY157" s="8"/>
      <c r="VZ157" s="45"/>
      <c r="WA157" s="45"/>
      <c r="WB157" s="46"/>
      <c r="WC157" s="44"/>
      <c r="WD157" s="7"/>
      <c r="WE157" s="51"/>
      <c r="WF157" s="52"/>
      <c r="WG157" s="53"/>
      <c r="WH157" s="54"/>
      <c r="WI157" s="52"/>
      <c r="WJ157" s="53"/>
      <c r="WK157" s="54"/>
      <c r="WL157" s="52"/>
      <c r="WM157" s="53"/>
      <c r="WN157" s="8"/>
      <c r="WO157" s="45"/>
      <c r="WP157" s="45"/>
      <c r="WQ157" s="46"/>
      <c r="WR157" s="44"/>
      <c r="WS157" s="7"/>
      <c r="WT157" s="51"/>
      <c r="WU157" s="52"/>
      <c r="WV157" s="53"/>
      <c r="WW157" s="54"/>
      <c r="WX157" s="52"/>
      <c r="WY157" s="53"/>
      <c r="WZ157" s="54"/>
      <c r="XA157" s="52"/>
      <c r="XB157" s="53"/>
      <c r="XC157" s="8"/>
      <c r="XD157" s="45"/>
      <c r="XE157" s="45"/>
      <c r="XF157" s="46"/>
      <c r="XG157" s="44"/>
      <c r="XH157" s="7"/>
      <c r="XI157" s="51"/>
      <c r="XJ157" s="52"/>
      <c r="XK157" s="53"/>
      <c r="XL157" s="54"/>
      <c r="XM157" s="52"/>
      <c r="XN157" s="53"/>
      <c r="XO157" s="54"/>
      <c r="XP157" s="52"/>
      <c r="XQ157" s="53"/>
      <c r="XR157" s="8"/>
      <c r="XS157" s="45"/>
      <c r="XT157" s="45"/>
      <c r="XU157" s="46"/>
      <c r="XV157" s="44"/>
      <c r="XW157" s="7"/>
      <c r="XX157" s="51"/>
      <c r="XY157" s="52"/>
      <c r="XZ157" s="53"/>
      <c r="YA157" s="54"/>
      <c r="YB157" s="52"/>
      <c r="YC157" s="53"/>
      <c r="YD157" s="54"/>
      <c r="YE157" s="52"/>
      <c r="YF157" s="53"/>
      <c r="YG157" s="8"/>
      <c r="YH157" s="45"/>
      <c r="YI157" s="45"/>
      <c r="YJ157" s="46"/>
      <c r="YK157" s="44"/>
      <c r="YL157" s="7"/>
      <c r="YM157" s="51"/>
      <c r="YN157" s="52"/>
      <c r="YO157" s="53"/>
      <c r="YP157" s="54"/>
      <c r="YQ157" s="52"/>
      <c r="YR157" s="53"/>
      <c r="YS157" s="54"/>
      <c r="YT157" s="52"/>
      <c r="YU157" s="53"/>
      <c r="YV157" s="8"/>
      <c r="YW157" s="45"/>
      <c r="YX157" s="45"/>
      <c r="YY157" s="46"/>
      <c r="YZ157" s="44"/>
      <c r="ZA157" s="7"/>
      <c r="ZB157" s="51"/>
      <c r="ZC157" s="52"/>
      <c r="ZD157" s="53"/>
      <c r="ZE157" s="54"/>
      <c r="ZF157" s="52"/>
      <c r="ZG157" s="53"/>
      <c r="ZH157" s="54"/>
      <c r="ZI157" s="52"/>
      <c r="ZJ157" s="53"/>
      <c r="ZK157" s="8"/>
      <c r="ZL157" s="45"/>
      <c r="ZM157" s="45"/>
      <c r="ZN157" s="46"/>
      <c r="ZO157" s="44"/>
      <c r="ZP157" s="7"/>
      <c r="ZQ157" s="51"/>
      <c r="ZR157" s="52"/>
      <c r="ZS157" s="53"/>
      <c r="ZT157" s="54"/>
      <c r="ZU157" s="52"/>
      <c r="ZV157" s="53"/>
      <c r="ZW157" s="54"/>
      <c r="ZX157" s="52"/>
      <c r="ZY157" s="53"/>
      <c r="ZZ157" s="8"/>
      <c r="AAA157" s="45"/>
      <c r="AAB157" s="45"/>
      <c r="AAC157" s="46"/>
      <c r="AAD157" s="44"/>
      <c r="AAE157" s="7"/>
      <c r="AAF157" s="51"/>
      <c r="AAG157" s="52"/>
      <c r="AAH157" s="53"/>
      <c r="AAI157" s="54"/>
      <c r="AAJ157" s="52"/>
      <c r="AAK157" s="53"/>
      <c r="AAL157" s="54"/>
      <c r="AAM157" s="52"/>
      <c r="AAN157" s="53"/>
      <c r="AAO157" s="8"/>
      <c r="AAP157" s="45"/>
      <c r="AAQ157" s="45"/>
      <c r="AAR157" s="46"/>
      <c r="AAS157" s="44"/>
      <c r="AAT157" s="7"/>
      <c r="AAU157" s="51"/>
      <c r="AAV157" s="52"/>
      <c r="AAW157" s="53"/>
      <c r="AAX157" s="54"/>
      <c r="AAY157" s="52"/>
      <c r="AAZ157" s="53"/>
      <c r="ABA157" s="54"/>
      <c r="ABB157" s="52"/>
      <c r="ABC157" s="53"/>
      <c r="ABD157" s="8"/>
      <c r="ABE157" s="45"/>
      <c r="ABF157" s="45"/>
      <c r="ABG157" s="46"/>
      <c r="ABH157" s="44"/>
      <c r="ABI157" s="7"/>
      <c r="ABJ157" s="51"/>
      <c r="ABK157" s="52"/>
      <c r="ABL157" s="53"/>
      <c r="ABM157" s="54"/>
      <c r="ABN157" s="52"/>
      <c r="ABO157" s="53"/>
      <c r="ABP157" s="54"/>
      <c r="ABQ157" s="52"/>
      <c r="ABR157" s="53"/>
      <c r="ABS157" s="8"/>
      <c r="ABT157" s="45"/>
      <c r="ABU157" s="45"/>
      <c r="ABV157" s="46"/>
      <c r="ABW157" s="44"/>
      <c r="ABX157" s="7"/>
      <c r="ABY157" s="51"/>
      <c r="ABZ157" s="52"/>
      <c r="ACA157" s="53"/>
      <c r="ACB157" s="54"/>
      <c r="ACC157" s="52"/>
      <c r="ACD157" s="53"/>
      <c r="ACE157" s="54"/>
      <c r="ACF157" s="52"/>
      <c r="ACG157" s="53"/>
      <c r="ACH157" s="8"/>
      <c r="ACI157" s="45"/>
      <c r="ACJ157" s="45"/>
      <c r="ACK157" s="46"/>
      <c r="ACL157" s="44"/>
      <c r="ACM157" s="7"/>
      <c r="ACN157" s="51"/>
      <c r="ACO157" s="52"/>
      <c r="ACP157" s="53"/>
      <c r="ACQ157" s="54"/>
      <c r="ACR157" s="52"/>
      <c r="ACS157" s="53"/>
      <c r="ACT157" s="54"/>
      <c r="ACU157" s="52"/>
      <c r="ACV157" s="53"/>
      <c r="ACW157" s="8"/>
      <c r="ACX157" s="45"/>
      <c r="ACY157" s="45"/>
      <c r="ACZ157" s="46"/>
      <c r="ADA157" s="44"/>
      <c r="ADB157" s="7"/>
      <c r="ADC157" s="51"/>
      <c r="ADD157" s="52"/>
      <c r="ADE157" s="53"/>
      <c r="ADF157" s="54"/>
      <c r="ADG157" s="52"/>
      <c r="ADH157" s="53"/>
      <c r="ADI157" s="54"/>
      <c r="ADJ157" s="52"/>
      <c r="ADK157" s="53"/>
      <c r="ADL157" s="8"/>
      <c r="ADM157" s="45"/>
      <c r="ADN157" s="45"/>
      <c r="ADO157" s="46"/>
      <c r="ADP157" s="44"/>
      <c r="ADQ157" s="7"/>
      <c r="ADR157" s="51"/>
      <c r="ADS157" s="52"/>
      <c r="ADT157" s="53"/>
      <c r="ADU157" s="54"/>
      <c r="ADV157" s="52"/>
      <c r="ADW157" s="53"/>
      <c r="ADX157" s="54"/>
      <c r="ADY157" s="52"/>
      <c r="ADZ157" s="53"/>
      <c r="AEA157" s="8"/>
      <c r="AEB157" s="45"/>
      <c r="AEC157" s="45"/>
      <c r="AED157" s="46"/>
      <c r="AEE157" s="44"/>
      <c r="AEF157" s="7"/>
      <c r="AEG157" s="51"/>
      <c r="AEH157" s="52"/>
      <c r="AEI157" s="53"/>
      <c r="AEJ157" s="54"/>
      <c r="AEK157" s="52"/>
      <c r="AEL157" s="53"/>
      <c r="AEM157" s="54"/>
      <c r="AEN157" s="52"/>
      <c r="AEO157" s="53"/>
      <c r="AEP157" s="8"/>
      <c r="AEQ157" s="45"/>
      <c r="AER157" s="45"/>
      <c r="AES157" s="46"/>
      <c r="AET157" s="44"/>
      <c r="AEU157" s="7"/>
      <c r="AEV157" s="51"/>
      <c r="AEW157" s="52"/>
      <c r="AEX157" s="53"/>
      <c r="AEY157" s="54"/>
      <c r="AEZ157" s="52"/>
      <c r="AFA157" s="53"/>
      <c r="AFB157" s="54"/>
      <c r="AFC157" s="52"/>
      <c r="AFD157" s="53"/>
      <c r="AFE157" s="8"/>
      <c r="AFF157" s="45"/>
      <c r="AFG157" s="45"/>
      <c r="AFH157" s="46"/>
      <c r="AFI157" s="44"/>
      <c r="AFJ157" s="7"/>
      <c r="AFK157" s="51"/>
      <c r="AFL157" s="52"/>
      <c r="AFM157" s="53"/>
      <c r="AFN157" s="54"/>
      <c r="AFO157" s="52"/>
      <c r="AFP157" s="53"/>
      <c r="AFQ157" s="54"/>
      <c r="AFR157" s="52"/>
      <c r="AFS157" s="53"/>
      <c r="AFT157" s="8"/>
      <c r="AFU157" s="45"/>
      <c r="AFV157" s="45"/>
      <c r="AFW157" s="46"/>
      <c r="AFX157" s="44"/>
      <c r="AFY157" s="7"/>
      <c r="AFZ157" s="51"/>
      <c r="AGA157" s="52"/>
      <c r="AGB157" s="53"/>
      <c r="AGC157" s="54"/>
      <c r="AGD157" s="52"/>
      <c r="AGE157" s="53"/>
      <c r="AGF157" s="54"/>
      <c r="AGG157" s="52"/>
      <c r="AGH157" s="53"/>
      <c r="AGI157" s="8"/>
      <c r="AGJ157" s="45"/>
      <c r="AGK157" s="45"/>
      <c r="AGL157" s="46"/>
      <c r="AGM157" s="44"/>
      <c r="AGN157" s="7"/>
      <c r="AGO157" s="51"/>
      <c r="AGP157" s="52"/>
      <c r="AGQ157" s="53"/>
      <c r="AGR157" s="54"/>
      <c r="AGS157" s="52"/>
      <c r="AGT157" s="53"/>
      <c r="AGU157" s="54"/>
      <c r="AGV157" s="52"/>
      <c r="AGW157" s="53"/>
      <c r="AGX157" s="8"/>
      <c r="AGY157" s="45"/>
      <c r="AGZ157" s="45"/>
      <c r="AHA157" s="46"/>
      <c r="AHB157" s="44"/>
      <c r="AHC157" s="7"/>
      <c r="AHD157" s="51"/>
      <c r="AHE157" s="52"/>
      <c r="AHF157" s="53"/>
      <c r="AHG157" s="54"/>
      <c r="AHH157" s="52"/>
      <c r="AHI157" s="53"/>
      <c r="AHJ157" s="54"/>
      <c r="AHK157" s="52"/>
      <c r="AHL157" s="53"/>
      <c r="AHM157" s="8"/>
      <c r="AHN157" s="45"/>
      <c r="AHO157" s="45"/>
      <c r="AHP157" s="46"/>
      <c r="AHQ157" s="44"/>
      <c r="AHR157" s="7"/>
      <c r="AHS157" s="51"/>
      <c r="AHT157" s="52"/>
      <c r="AHU157" s="53"/>
      <c r="AHV157" s="54"/>
      <c r="AHW157" s="52"/>
      <c r="AHX157" s="53"/>
      <c r="AHY157" s="54"/>
      <c r="AHZ157" s="52"/>
      <c r="AIA157" s="53"/>
      <c r="AIB157" s="8"/>
      <c r="AIC157" s="45"/>
      <c r="AID157" s="45"/>
      <c r="AIE157" s="46"/>
      <c r="AIF157" s="44"/>
      <c r="AIG157" s="7"/>
      <c r="AIH157" s="51"/>
      <c r="AII157" s="52"/>
      <c r="AIJ157" s="53"/>
      <c r="AIK157" s="54"/>
      <c r="AIL157" s="52"/>
      <c r="AIM157" s="53"/>
      <c r="AIN157" s="54"/>
      <c r="AIO157" s="52"/>
      <c r="AIP157" s="53"/>
      <c r="AIQ157" s="8"/>
      <c r="AIR157" s="45"/>
      <c r="AIS157" s="45"/>
      <c r="AIT157" s="46"/>
      <c r="AIU157" s="44"/>
      <c r="AIV157" s="7"/>
      <c r="AIW157" s="51"/>
      <c r="AIX157" s="52"/>
      <c r="AIY157" s="53"/>
      <c r="AIZ157" s="54"/>
      <c r="AJA157" s="52"/>
      <c r="AJB157" s="53"/>
      <c r="AJC157" s="54"/>
      <c r="AJD157" s="52"/>
      <c r="AJE157" s="53"/>
      <c r="AJF157" s="8"/>
      <c r="AJG157" s="45"/>
      <c r="AJH157" s="45"/>
      <c r="AJI157" s="46"/>
      <c r="AJJ157" s="44"/>
      <c r="AJK157" s="7"/>
      <c r="AJL157" s="51"/>
      <c r="AJM157" s="52"/>
      <c r="AJN157" s="53"/>
      <c r="AJO157" s="54"/>
      <c r="AJP157" s="52"/>
      <c r="AJQ157" s="53"/>
      <c r="AJR157" s="54"/>
      <c r="AJS157" s="52"/>
      <c r="AJT157" s="53"/>
      <c r="AJU157" s="8"/>
      <c r="AJV157" s="45"/>
      <c r="AJW157" s="45"/>
      <c r="AJX157" s="46"/>
      <c r="AJY157" s="44"/>
      <c r="AJZ157" s="7"/>
      <c r="AKA157" s="51"/>
      <c r="AKB157" s="52"/>
      <c r="AKC157" s="53"/>
      <c r="AKD157" s="54"/>
      <c r="AKE157" s="52"/>
      <c r="AKF157" s="53"/>
      <c r="AKG157" s="54"/>
      <c r="AKH157" s="52"/>
      <c r="AKI157" s="53"/>
      <c r="AKJ157" s="8"/>
      <c r="AKK157" s="45"/>
      <c r="AKL157" s="45"/>
      <c r="AKM157" s="46"/>
      <c r="AKN157" s="44"/>
      <c r="AKO157" s="7"/>
      <c r="AKP157" s="51"/>
      <c r="AKQ157" s="52"/>
      <c r="AKR157" s="53"/>
      <c r="AKS157" s="54"/>
      <c r="AKT157" s="52"/>
      <c r="AKU157" s="53"/>
      <c r="AKV157" s="54"/>
      <c r="AKW157" s="52"/>
      <c r="AKX157" s="53"/>
      <c r="AKY157" s="8"/>
      <c r="AKZ157" s="45"/>
      <c r="ALA157" s="45"/>
      <c r="ALB157" s="46"/>
      <c r="ALC157" s="44"/>
      <c r="ALD157" s="7"/>
      <c r="ALE157" s="51"/>
      <c r="ALF157" s="52"/>
      <c r="ALG157" s="53"/>
      <c r="ALH157" s="54"/>
      <c r="ALI157" s="52"/>
      <c r="ALJ157" s="53"/>
      <c r="ALK157" s="54"/>
      <c r="ALL157" s="52"/>
      <c r="ALM157" s="53"/>
      <c r="ALN157" s="8"/>
      <c r="ALO157" s="45"/>
      <c r="ALP157" s="45"/>
      <c r="ALQ157" s="46"/>
      <c r="ALR157" s="44"/>
      <c r="ALS157" s="7"/>
      <c r="ALT157" s="51"/>
      <c r="ALU157" s="52"/>
      <c r="ALV157" s="53"/>
      <c r="ALW157" s="54"/>
      <c r="ALX157" s="52"/>
      <c r="ALY157" s="53"/>
      <c r="ALZ157" s="54"/>
      <c r="AMA157" s="52"/>
      <c r="AMB157" s="53"/>
      <c r="AMC157" s="8"/>
      <c r="AMD157" s="45"/>
      <c r="AME157" s="45"/>
      <c r="AMF157" s="46"/>
      <c r="AMG157" s="44"/>
      <c r="AMH157" s="7"/>
      <c r="AMI157" s="51"/>
      <c r="AMJ157" s="52"/>
      <c r="AMK157" s="53"/>
      <c r="AML157" s="54"/>
      <c r="AMM157" s="52"/>
      <c r="AMN157" s="53"/>
      <c r="AMO157" s="54"/>
      <c r="AMP157" s="52"/>
      <c r="AMQ157" s="53"/>
      <c r="AMR157" s="8"/>
      <c r="AMS157" s="45"/>
      <c r="AMT157" s="45"/>
      <c r="AMU157" s="46"/>
      <c r="AMV157" s="44"/>
      <c r="AMW157" s="7"/>
      <c r="AMX157" s="51"/>
      <c r="AMY157" s="52"/>
      <c r="AMZ157" s="53"/>
      <c r="ANA157" s="54"/>
      <c r="ANB157" s="52"/>
      <c r="ANC157" s="53"/>
      <c r="AND157" s="54"/>
      <c r="ANE157" s="52"/>
      <c r="ANF157" s="53"/>
      <c r="ANG157" s="8"/>
      <c r="ANH157" s="45"/>
      <c r="ANI157" s="45"/>
      <c r="ANJ157" s="46"/>
      <c r="ANK157" s="44"/>
      <c r="ANL157" s="7"/>
      <c r="ANM157" s="51"/>
      <c r="ANN157" s="52"/>
      <c r="ANO157" s="53"/>
      <c r="ANP157" s="54"/>
      <c r="ANQ157" s="52"/>
      <c r="ANR157" s="53"/>
      <c r="ANS157" s="54"/>
      <c r="ANT157" s="52"/>
      <c r="ANU157" s="53"/>
      <c r="ANV157" s="8"/>
      <c r="ANW157" s="45"/>
      <c r="ANX157" s="45"/>
      <c r="ANY157" s="46"/>
      <c r="ANZ157" s="44"/>
      <c r="AOA157" s="7"/>
      <c r="AOB157" s="51"/>
      <c r="AOC157" s="52"/>
      <c r="AOD157" s="53"/>
      <c r="AOE157" s="54"/>
      <c r="AOF157" s="52"/>
      <c r="AOG157" s="53"/>
      <c r="AOH157" s="54"/>
      <c r="AOI157" s="52"/>
      <c r="AOJ157" s="53"/>
      <c r="AOK157" s="8"/>
      <c r="AOL157" s="45"/>
      <c r="AOM157" s="45"/>
      <c r="AON157" s="46"/>
      <c r="AOO157" s="44"/>
      <c r="AOP157" s="7"/>
      <c r="AOQ157" s="51"/>
      <c r="AOR157" s="52"/>
      <c r="AOS157" s="53"/>
      <c r="AOT157" s="54"/>
      <c r="AOU157" s="52"/>
      <c r="AOV157" s="53"/>
      <c r="AOW157" s="54"/>
      <c r="AOX157" s="52"/>
      <c r="AOY157" s="53"/>
      <c r="AOZ157" s="8"/>
      <c r="APA157" s="45"/>
      <c r="APB157" s="45"/>
      <c r="APC157" s="46"/>
      <c r="APD157" s="44"/>
      <c r="APE157" s="7"/>
      <c r="APF157" s="51"/>
      <c r="APG157" s="52"/>
      <c r="APH157" s="53"/>
      <c r="API157" s="54"/>
      <c r="APJ157" s="52"/>
      <c r="APK157" s="53"/>
      <c r="APL157" s="54"/>
      <c r="APM157" s="52"/>
      <c r="APN157" s="53"/>
      <c r="APO157" s="8"/>
      <c r="APP157" s="45"/>
      <c r="APQ157" s="45"/>
      <c r="APR157" s="46"/>
      <c r="APS157" s="44"/>
      <c r="APT157" s="7"/>
      <c r="APU157" s="51"/>
      <c r="APV157" s="52"/>
      <c r="APW157" s="53"/>
      <c r="APX157" s="54"/>
      <c r="APY157" s="52"/>
      <c r="APZ157" s="53"/>
      <c r="AQA157" s="54"/>
      <c r="AQB157" s="52"/>
      <c r="AQC157" s="53"/>
      <c r="AQD157" s="8"/>
      <c r="AQE157" s="45"/>
      <c r="AQF157" s="45"/>
      <c r="AQG157" s="46"/>
      <c r="AQH157" s="44"/>
      <c r="AQI157" s="7"/>
      <c r="AQJ157" s="51"/>
      <c r="AQK157" s="52"/>
      <c r="AQL157" s="53"/>
      <c r="AQM157" s="54"/>
      <c r="AQN157" s="52"/>
      <c r="AQO157" s="53"/>
      <c r="AQP157" s="54"/>
      <c r="AQQ157" s="52"/>
      <c r="AQR157" s="53"/>
      <c r="AQS157" s="8"/>
      <c r="AQT157" s="45"/>
      <c r="AQU157" s="45"/>
      <c r="AQV157" s="46"/>
      <c r="AQW157" s="44"/>
      <c r="AQX157" s="7"/>
      <c r="AQY157" s="51"/>
      <c r="AQZ157" s="52"/>
      <c r="ARA157" s="53"/>
      <c r="ARB157" s="54"/>
      <c r="ARC157" s="52"/>
      <c r="ARD157" s="53"/>
      <c r="ARE157" s="54"/>
      <c r="ARF157" s="52"/>
      <c r="ARG157" s="53"/>
      <c r="ARH157" s="8"/>
      <c r="ARI157" s="45"/>
      <c r="ARJ157" s="45"/>
      <c r="ARK157" s="46"/>
      <c r="ARL157" s="44"/>
      <c r="ARM157" s="7"/>
      <c r="ARN157" s="51"/>
      <c r="ARO157" s="52"/>
      <c r="ARP157" s="53"/>
      <c r="ARQ157" s="54"/>
      <c r="ARR157" s="52"/>
      <c r="ARS157" s="53"/>
      <c r="ART157" s="54"/>
      <c r="ARU157" s="52"/>
      <c r="ARV157" s="53"/>
      <c r="ARW157" s="8"/>
      <c r="ARX157" s="45"/>
      <c r="ARY157" s="45"/>
      <c r="ARZ157" s="46"/>
      <c r="ASA157" s="44"/>
      <c r="ASB157" s="7"/>
      <c r="ASC157" s="51"/>
      <c r="ASD157" s="52"/>
      <c r="ASE157" s="53"/>
      <c r="ASF157" s="54"/>
      <c r="ASG157" s="52"/>
      <c r="ASH157" s="53"/>
      <c r="ASI157" s="54"/>
      <c r="ASJ157" s="52"/>
      <c r="ASK157" s="53"/>
      <c r="ASL157" s="8"/>
      <c r="ASM157" s="45"/>
      <c r="ASN157" s="45"/>
      <c r="ASO157" s="46"/>
      <c r="ASP157" s="44"/>
      <c r="ASQ157" s="7"/>
      <c r="ASR157" s="51"/>
      <c r="ASS157" s="52"/>
      <c r="AST157" s="53"/>
      <c r="ASU157" s="54"/>
      <c r="ASV157" s="52"/>
      <c r="ASW157" s="53"/>
      <c r="ASX157" s="54"/>
      <c r="ASY157" s="52"/>
      <c r="ASZ157" s="53"/>
      <c r="ATA157" s="8"/>
      <c r="ATB157" s="45"/>
      <c r="ATC157" s="45"/>
      <c r="ATD157" s="46"/>
      <c r="ATE157" s="44"/>
      <c r="ATF157" s="7"/>
      <c r="ATG157" s="51"/>
      <c r="ATH157" s="52"/>
      <c r="ATI157" s="53"/>
      <c r="ATJ157" s="54"/>
      <c r="ATK157" s="52"/>
      <c r="ATL157" s="53"/>
      <c r="ATM157" s="54"/>
      <c r="ATN157" s="52"/>
      <c r="ATO157" s="53"/>
      <c r="ATP157" s="8"/>
      <c r="ATQ157" s="45"/>
      <c r="ATR157" s="45"/>
      <c r="ATS157" s="46"/>
      <c r="ATT157" s="44"/>
      <c r="ATU157" s="7"/>
      <c r="ATV157" s="51"/>
      <c r="ATW157" s="52"/>
      <c r="ATX157" s="53"/>
      <c r="ATY157" s="54"/>
      <c r="ATZ157" s="52"/>
      <c r="AUA157" s="53"/>
      <c r="AUB157" s="54"/>
      <c r="AUC157" s="52"/>
      <c r="AUD157" s="53"/>
      <c r="AUE157" s="8"/>
      <c r="AUF157" s="45"/>
      <c r="AUG157" s="45"/>
      <c r="AUH157" s="46"/>
      <c r="AUI157" s="44"/>
      <c r="AUJ157" s="7"/>
      <c r="AUK157" s="51"/>
      <c r="AUL157" s="52"/>
      <c r="AUM157" s="53"/>
      <c r="AUN157" s="54"/>
      <c r="AUO157" s="52"/>
      <c r="AUP157" s="53"/>
      <c r="AUQ157" s="54"/>
      <c r="AUR157" s="52"/>
      <c r="AUS157" s="53"/>
      <c r="AUT157" s="8"/>
      <c r="AUU157" s="45"/>
      <c r="AUV157" s="45"/>
      <c r="AUW157" s="46"/>
      <c r="AUX157" s="44"/>
      <c r="AUY157" s="7"/>
      <c r="AUZ157" s="51"/>
      <c r="AVA157" s="52"/>
      <c r="AVB157" s="53"/>
      <c r="AVC157" s="54"/>
      <c r="AVD157" s="52"/>
      <c r="AVE157" s="53"/>
      <c r="AVF157" s="54"/>
      <c r="AVG157" s="52"/>
      <c r="AVH157" s="53"/>
      <c r="AVI157" s="8"/>
      <c r="AVJ157" s="45"/>
      <c r="AVK157" s="45"/>
      <c r="AVL157" s="46"/>
      <c r="AVM157" s="44"/>
      <c r="AVN157" s="7"/>
      <c r="AVO157" s="51"/>
      <c r="AVP157" s="52"/>
      <c r="AVQ157" s="53"/>
      <c r="AVR157" s="54"/>
      <c r="AVS157" s="52"/>
      <c r="AVT157" s="53"/>
      <c r="AVU157" s="54"/>
      <c r="AVV157" s="52"/>
      <c r="AVW157" s="53"/>
      <c r="AVX157" s="8"/>
      <c r="AVY157" s="45"/>
      <c r="AVZ157" s="45"/>
      <c r="AWA157" s="46"/>
      <c r="AWB157" s="44"/>
      <c r="AWC157" s="7"/>
      <c r="AWD157" s="51"/>
      <c r="AWE157" s="52"/>
      <c r="AWF157" s="53"/>
      <c r="AWG157" s="54"/>
      <c r="AWH157" s="52"/>
      <c r="AWI157" s="53"/>
      <c r="AWJ157" s="54"/>
      <c r="AWK157" s="52"/>
      <c r="AWL157" s="53"/>
      <c r="AWM157" s="8"/>
      <c r="AWN157" s="45"/>
      <c r="AWO157" s="45"/>
      <c r="AWP157" s="46"/>
      <c r="AWQ157" s="44"/>
      <c r="AWR157" s="7"/>
      <c r="AWS157" s="51"/>
      <c r="AWT157" s="52"/>
      <c r="AWU157" s="53"/>
      <c r="AWV157" s="54"/>
      <c r="AWW157" s="52"/>
      <c r="AWX157" s="53"/>
      <c r="AWY157" s="54"/>
      <c r="AWZ157" s="52"/>
      <c r="AXA157" s="53"/>
      <c r="AXB157" s="8"/>
      <c r="AXC157" s="45"/>
      <c r="AXD157" s="45"/>
      <c r="AXE157" s="46"/>
      <c r="AXF157" s="44"/>
      <c r="AXG157" s="7"/>
      <c r="AXH157" s="51"/>
      <c r="AXI157" s="52"/>
      <c r="AXJ157" s="53"/>
      <c r="AXK157" s="54"/>
      <c r="AXL157" s="52"/>
      <c r="AXM157" s="53"/>
      <c r="AXN157" s="54"/>
      <c r="AXO157" s="52"/>
      <c r="AXP157" s="53"/>
      <c r="AXQ157" s="8"/>
      <c r="AXR157" s="45"/>
      <c r="AXS157" s="45"/>
      <c r="AXT157" s="46"/>
      <c r="AXU157" s="44"/>
      <c r="AXV157" s="7"/>
      <c r="AXW157" s="51"/>
      <c r="AXX157" s="52"/>
      <c r="AXY157" s="53"/>
      <c r="AXZ157" s="54"/>
      <c r="AYA157" s="52"/>
      <c r="AYB157" s="53"/>
      <c r="AYC157" s="54"/>
      <c r="AYD157" s="52"/>
      <c r="AYE157" s="53"/>
      <c r="AYF157" s="8"/>
      <c r="AYG157" s="45"/>
      <c r="AYH157" s="45"/>
      <c r="AYI157" s="46"/>
      <c r="AYJ157" s="44"/>
      <c r="AYK157" s="7"/>
      <c r="AYL157" s="51"/>
      <c r="AYM157" s="52"/>
      <c r="AYN157" s="53"/>
      <c r="AYO157" s="54"/>
      <c r="AYP157" s="52"/>
      <c r="AYQ157" s="53"/>
      <c r="AYR157" s="54"/>
      <c r="AYS157" s="52"/>
      <c r="AYT157" s="53"/>
      <c r="AYU157" s="8"/>
      <c r="AYV157" s="45"/>
      <c r="AYW157" s="45"/>
      <c r="AYX157" s="46"/>
      <c r="AYY157" s="44"/>
      <c r="AYZ157" s="7"/>
      <c r="AZA157" s="51"/>
      <c r="AZB157" s="52"/>
      <c r="AZC157" s="53"/>
      <c r="AZD157" s="54"/>
      <c r="AZE157" s="52"/>
      <c r="AZF157" s="53"/>
      <c r="AZG157" s="54"/>
      <c r="AZH157" s="52"/>
      <c r="AZI157" s="53"/>
      <c r="AZJ157" s="8"/>
      <c r="AZK157" s="45"/>
      <c r="AZL157" s="45"/>
      <c r="AZM157" s="46"/>
      <c r="AZN157" s="44"/>
      <c r="AZO157" s="7"/>
      <c r="AZP157" s="51"/>
      <c r="AZQ157" s="52"/>
      <c r="AZR157" s="53"/>
      <c r="AZS157" s="54"/>
      <c r="AZT157" s="52"/>
      <c r="AZU157" s="53"/>
      <c r="AZV157" s="54"/>
      <c r="AZW157" s="52"/>
      <c r="AZX157" s="53"/>
      <c r="AZY157" s="8"/>
      <c r="AZZ157" s="45"/>
      <c r="BAA157" s="45"/>
      <c r="BAB157" s="46"/>
      <c r="BAC157" s="44"/>
      <c r="BAD157" s="7"/>
      <c r="BAE157" s="51"/>
      <c r="BAF157" s="52"/>
      <c r="BAG157" s="53"/>
      <c r="BAH157" s="54"/>
      <c r="BAI157" s="52"/>
      <c r="BAJ157" s="53"/>
      <c r="BAK157" s="54"/>
      <c r="BAL157" s="52"/>
      <c r="BAM157" s="53"/>
      <c r="BAN157" s="8"/>
      <c r="BAO157" s="45"/>
      <c r="BAP157" s="45"/>
      <c r="BAQ157" s="46"/>
      <c r="BAR157" s="44"/>
      <c r="BAS157" s="7"/>
      <c r="BAT157" s="51"/>
      <c r="BAU157" s="52"/>
      <c r="BAV157" s="53"/>
      <c r="BAW157" s="54"/>
      <c r="BAX157" s="52"/>
      <c r="BAY157" s="53"/>
      <c r="BAZ157" s="54"/>
      <c r="BBA157" s="52"/>
      <c r="BBB157" s="53"/>
      <c r="BBC157" s="8"/>
      <c r="BBD157" s="45"/>
      <c r="BBE157" s="45"/>
      <c r="BBF157" s="46"/>
      <c r="BBG157" s="44"/>
      <c r="BBH157" s="7"/>
      <c r="BBI157" s="51"/>
      <c r="BBJ157" s="52"/>
      <c r="BBK157" s="53"/>
      <c r="BBL157" s="54"/>
      <c r="BBM157" s="52"/>
      <c r="BBN157" s="53"/>
      <c r="BBO157" s="54"/>
      <c r="BBP157" s="52"/>
      <c r="BBQ157" s="53"/>
      <c r="BBR157" s="8"/>
      <c r="BBS157" s="45"/>
      <c r="BBT157" s="45"/>
      <c r="BBU157" s="46"/>
      <c r="BBV157" s="44"/>
      <c r="BBW157" s="7"/>
      <c r="BBX157" s="51"/>
      <c r="BBY157" s="52"/>
      <c r="BBZ157" s="53"/>
      <c r="BCA157" s="54"/>
      <c r="BCB157" s="52"/>
      <c r="BCC157" s="53"/>
      <c r="BCD157" s="54"/>
      <c r="BCE157" s="52"/>
      <c r="BCF157" s="53"/>
      <c r="BCG157" s="8"/>
      <c r="BCH157" s="45"/>
      <c r="BCI157" s="45"/>
      <c r="BCJ157" s="46"/>
      <c r="BCK157" s="44"/>
      <c r="BCL157" s="7"/>
      <c r="BCM157" s="51"/>
      <c r="BCN157" s="52"/>
      <c r="BCO157" s="53"/>
      <c r="BCP157" s="54"/>
      <c r="BCQ157" s="52"/>
      <c r="BCR157" s="53"/>
      <c r="BCS157" s="54"/>
      <c r="BCT157" s="52"/>
      <c r="BCU157" s="53"/>
      <c r="BCV157" s="8"/>
      <c r="BCW157" s="45"/>
      <c r="BCX157" s="45"/>
      <c r="BCY157" s="46"/>
      <c r="BCZ157" s="44"/>
      <c r="BDA157" s="7"/>
      <c r="BDB157" s="51"/>
      <c r="BDC157" s="52"/>
      <c r="BDD157" s="53"/>
      <c r="BDE157" s="54"/>
      <c r="BDF157" s="52"/>
      <c r="BDG157" s="53"/>
      <c r="BDH157" s="54"/>
      <c r="BDI157" s="52"/>
      <c r="BDJ157" s="53"/>
      <c r="BDK157" s="8"/>
      <c r="BDL157" s="45"/>
      <c r="BDM157" s="45"/>
      <c r="BDN157" s="46"/>
      <c r="BDO157" s="44"/>
      <c r="BDP157" s="7"/>
      <c r="BDQ157" s="51"/>
      <c r="BDR157" s="52"/>
      <c r="BDS157" s="53"/>
      <c r="BDT157" s="54"/>
      <c r="BDU157" s="52"/>
      <c r="BDV157" s="53"/>
      <c r="BDW157" s="54"/>
      <c r="BDX157" s="52"/>
      <c r="BDY157" s="53"/>
      <c r="BDZ157" s="8"/>
      <c r="BEA157" s="45"/>
      <c r="BEB157" s="45"/>
      <c r="BEC157" s="46"/>
      <c r="BED157" s="44"/>
      <c r="BEE157" s="7"/>
      <c r="BEF157" s="51"/>
      <c r="BEG157" s="52"/>
      <c r="BEH157" s="53"/>
      <c r="BEI157" s="54"/>
      <c r="BEJ157" s="52"/>
      <c r="BEK157" s="53"/>
      <c r="BEL157" s="54"/>
      <c r="BEM157" s="52"/>
      <c r="BEN157" s="53"/>
      <c r="BEO157" s="8"/>
      <c r="BEP157" s="45"/>
      <c r="BEQ157" s="45"/>
      <c r="BER157" s="46"/>
      <c r="BES157" s="44"/>
      <c r="BET157" s="7"/>
      <c r="BEU157" s="51"/>
      <c r="BEV157" s="52"/>
      <c r="BEW157" s="53"/>
      <c r="BEX157" s="54"/>
      <c r="BEY157" s="52"/>
      <c r="BEZ157" s="53"/>
      <c r="BFA157" s="54"/>
      <c r="BFB157" s="52"/>
      <c r="BFC157" s="53"/>
      <c r="BFD157" s="8"/>
      <c r="BFE157" s="45"/>
      <c r="BFF157" s="45"/>
      <c r="BFG157" s="46"/>
      <c r="BFH157" s="44"/>
      <c r="BFI157" s="7"/>
      <c r="BFJ157" s="51"/>
      <c r="BFK157" s="52"/>
      <c r="BFL157" s="53"/>
      <c r="BFM157" s="54"/>
      <c r="BFN157" s="52"/>
      <c r="BFO157" s="53"/>
      <c r="BFP157" s="54"/>
      <c r="BFQ157" s="52"/>
      <c r="BFR157" s="53"/>
      <c r="BFS157" s="8"/>
      <c r="BFT157" s="45"/>
      <c r="BFU157" s="45"/>
      <c r="BFV157" s="46"/>
      <c r="BFW157" s="44"/>
      <c r="BFX157" s="7"/>
      <c r="BFY157" s="51"/>
      <c r="BFZ157" s="52"/>
      <c r="BGA157" s="53"/>
      <c r="BGB157" s="54"/>
      <c r="BGC157" s="52"/>
      <c r="BGD157" s="53"/>
      <c r="BGE157" s="54"/>
      <c r="BGF157" s="52"/>
      <c r="BGG157" s="53"/>
      <c r="BGH157" s="8"/>
      <c r="BGI157" s="45"/>
      <c r="BGJ157" s="45"/>
      <c r="BGK157" s="46"/>
      <c r="BGL157" s="44"/>
      <c r="BGM157" s="7"/>
      <c r="BGN157" s="51"/>
      <c r="BGO157" s="52"/>
      <c r="BGP157" s="53"/>
      <c r="BGQ157" s="54"/>
      <c r="BGR157" s="52"/>
      <c r="BGS157" s="53"/>
      <c r="BGT157" s="54"/>
      <c r="BGU157" s="52"/>
      <c r="BGV157" s="53"/>
      <c r="BGW157" s="8"/>
      <c r="BGX157" s="45"/>
      <c r="BGY157" s="45"/>
      <c r="BGZ157" s="46"/>
      <c r="BHA157" s="44"/>
      <c r="BHB157" s="7"/>
      <c r="BHC157" s="51"/>
      <c r="BHD157" s="52"/>
      <c r="BHE157" s="53"/>
      <c r="BHF157" s="54"/>
      <c r="BHG157" s="52"/>
      <c r="BHH157" s="53"/>
      <c r="BHI157" s="54"/>
      <c r="BHJ157" s="52"/>
      <c r="BHK157" s="53"/>
      <c r="BHL157" s="8"/>
      <c r="BHM157" s="45"/>
      <c r="BHN157" s="45"/>
      <c r="BHO157" s="46"/>
      <c r="BHP157" s="44"/>
      <c r="BHQ157" s="7"/>
      <c r="BHR157" s="51"/>
      <c r="BHS157" s="52"/>
      <c r="BHT157" s="53"/>
      <c r="BHU157" s="54"/>
      <c r="BHV157" s="52"/>
      <c r="BHW157" s="53"/>
      <c r="BHX157" s="54"/>
      <c r="BHY157" s="52"/>
      <c r="BHZ157" s="53"/>
      <c r="BIA157" s="8"/>
      <c r="BIB157" s="45"/>
      <c r="BIC157" s="45"/>
      <c r="BID157" s="46"/>
      <c r="BIE157" s="44"/>
      <c r="BIF157" s="7"/>
      <c r="BIG157" s="51"/>
      <c r="BIH157" s="52"/>
      <c r="BII157" s="53"/>
      <c r="BIJ157" s="54"/>
      <c r="BIK157" s="52"/>
      <c r="BIL157" s="53"/>
      <c r="BIM157" s="54"/>
      <c r="BIN157" s="52"/>
      <c r="BIO157" s="53"/>
      <c r="BIP157" s="8"/>
      <c r="BIQ157" s="45"/>
      <c r="BIR157" s="45"/>
      <c r="BIS157" s="46"/>
      <c r="BIT157" s="44"/>
      <c r="BIU157" s="7"/>
      <c r="BIV157" s="51"/>
      <c r="BIW157" s="52"/>
      <c r="BIX157" s="53"/>
      <c r="BIY157" s="54"/>
      <c r="BIZ157" s="52"/>
      <c r="BJA157" s="53"/>
      <c r="BJB157" s="54"/>
      <c r="BJC157" s="52"/>
      <c r="BJD157" s="53"/>
      <c r="BJE157" s="8"/>
      <c r="BJF157" s="45"/>
      <c r="BJG157" s="45"/>
      <c r="BJH157" s="46"/>
      <c r="BJI157" s="44"/>
      <c r="BJJ157" s="7"/>
      <c r="BJK157" s="51"/>
      <c r="BJL157" s="52"/>
      <c r="BJM157" s="53"/>
      <c r="BJN157" s="54"/>
      <c r="BJO157" s="52"/>
      <c r="BJP157" s="53"/>
      <c r="BJQ157" s="54"/>
      <c r="BJR157" s="52"/>
      <c r="BJS157" s="53"/>
      <c r="BJT157" s="8"/>
      <c r="BJU157" s="45"/>
      <c r="BJV157" s="45"/>
      <c r="BJW157" s="46"/>
      <c r="BJX157" s="44"/>
      <c r="BJY157" s="7"/>
      <c r="BJZ157" s="51"/>
      <c r="BKA157" s="52"/>
      <c r="BKB157" s="53"/>
      <c r="BKC157" s="54"/>
      <c r="BKD157" s="52"/>
      <c r="BKE157" s="53"/>
      <c r="BKF157" s="54"/>
      <c r="BKG157" s="52"/>
      <c r="BKH157" s="53"/>
      <c r="BKI157" s="8"/>
      <c r="BKJ157" s="45"/>
      <c r="BKK157" s="45"/>
      <c r="BKL157" s="46"/>
      <c r="BKM157" s="44"/>
      <c r="BKN157" s="7"/>
      <c r="BKO157" s="51"/>
      <c r="BKP157" s="52"/>
      <c r="BKQ157" s="53"/>
      <c r="BKR157" s="54"/>
      <c r="BKS157" s="52"/>
      <c r="BKT157" s="53"/>
      <c r="BKU157" s="54"/>
      <c r="BKV157" s="52"/>
      <c r="BKW157" s="53"/>
      <c r="BKX157" s="8"/>
      <c r="BKY157" s="45"/>
      <c r="BKZ157" s="45"/>
      <c r="BLA157" s="46"/>
      <c r="BLB157" s="44"/>
      <c r="BLC157" s="7"/>
      <c r="BLD157" s="51"/>
      <c r="BLE157" s="52"/>
      <c r="BLF157" s="53"/>
      <c r="BLG157" s="54"/>
      <c r="BLH157" s="52"/>
      <c r="BLI157" s="53"/>
      <c r="BLJ157" s="54"/>
      <c r="BLK157" s="52"/>
      <c r="BLL157" s="53"/>
      <c r="BLM157" s="8"/>
      <c r="BLN157" s="45"/>
      <c r="BLO157" s="45"/>
      <c r="BLP157" s="46"/>
      <c r="BLQ157" s="44"/>
      <c r="BLR157" s="7"/>
      <c r="BLS157" s="51"/>
      <c r="BLT157" s="52"/>
      <c r="BLU157" s="53"/>
      <c r="BLV157" s="54"/>
      <c r="BLW157" s="52"/>
      <c r="BLX157" s="53"/>
      <c r="BLY157" s="54"/>
      <c r="BLZ157" s="52"/>
      <c r="BMA157" s="53"/>
      <c r="BMB157" s="8"/>
      <c r="BMC157" s="45"/>
      <c r="BMD157" s="45"/>
      <c r="BME157" s="46"/>
      <c r="BMF157" s="44"/>
      <c r="BMG157" s="7"/>
      <c r="BMH157" s="51"/>
      <c r="BMI157" s="52"/>
      <c r="BMJ157" s="53"/>
      <c r="BMK157" s="54"/>
      <c r="BML157" s="52"/>
      <c r="BMM157" s="53"/>
      <c r="BMN157" s="54"/>
      <c r="BMO157" s="52"/>
      <c r="BMP157" s="53"/>
      <c r="BMQ157" s="8"/>
      <c r="BMR157" s="45"/>
      <c r="BMS157" s="45"/>
      <c r="BMT157" s="46"/>
      <c r="BMU157" s="44"/>
      <c r="BMV157" s="7"/>
      <c r="BMW157" s="51"/>
      <c r="BMX157" s="52"/>
      <c r="BMY157" s="53"/>
      <c r="BMZ157" s="54"/>
      <c r="BNA157" s="52"/>
      <c r="BNB157" s="53"/>
      <c r="BNC157" s="54"/>
      <c r="BND157" s="52"/>
      <c r="BNE157" s="53"/>
      <c r="BNF157" s="8"/>
      <c r="BNG157" s="45"/>
      <c r="BNH157" s="45"/>
      <c r="BNI157" s="46"/>
      <c r="BNJ157" s="44"/>
      <c r="BNK157" s="7"/>
      <c r="BNL157" s="51"/>
      <c r="BNM157" s="52"/>
      <c r="BNN157" s="53"/>
      <c r="BNO157" s="54"/>
      <c r="BNP157" s="52"/>
      <c r="BNQ157" s="53"/>
      <c r="BNR157" s="54"/>
      <c r="BNS157" s="52"/>
      <c r="BNT157" s="53"/>
      <c r="BNU157" s="8"/>
      <c r="BNV157" s="45"/>
      <c r="BNW157" s="45"/>
      <c r="BNX157" s="46"/>
      <c r="BNY157" s="44"/>
      <c r="BNZ157" s="7"/>
      <c r="BOA157" s="51"/>
      <c r="BOB157" s="52"/>
      <c r="BOC157" s="53"/>
      <c r="BOD157" s="54"/>
      <c r="BOE157" s="52"/>
      <c r="BOF157" s="53"/>
      <c r="BOG157" s="54"/>
      <c r="BOH157" s="52"/>
      <c r="BOI157" s="53"/>
      <c r="BOJ157" s="8"/>
      <c r="BOK157" s="45"/>
      <c r="BOL157" s="45"/>
      <c r="BOM157" s="46"/>
      <c r="BON157" s="44"/>
      <c r="BOO157" s="7"/>
      <c r="BOP157" s="51"/>
      <c r="BOQ157" s="52"/>
      <c r="BOR157" s="53"/>
      <c r="BOS157" s="54"/>
      <c r="BOT157" s="52"/>
      <c r="BOU157" s="53"/>
      <c r="BOV157" s="54"/>
      <c r="BOW157" s="52"/>
      <c r="BOX157" s="53"/>
      <c r="BOY157" s="8"/>
      <c r="BOZ157" s="45"/>
      <c r="BPA157" s="45"/>
      <c r="BPB157" s="46"/>
      <c r="BPC157" s="44"/>
      <c r="BPD157" s="7"/>
      <c r="BPE157" s="51"/>
      <c r="BPF157" s="52"/>
      <c r="BPG157" s="53"/>
      <c r="BPH157" s="54"/>
      <c r="BPI157" s="52"/>
      <c r="BPJ157" s="53"/>
      <c r="BPK157" s="54"/>
      <c r="BPL157" s="52"/>
      <c r="BPM157" s="53"/>
      <c r="BPN157" s="8"/>
      <c r="BPO157" s="45"/>
      <c r="BPP157" s="45"/>
      <c r="BPQ157" s="46"/>
      <c r="BPR157" s="44"/>
      <c r="BPS157" s="7"/>
      <c r="BPT157" s="51"/>
      <c r="BPU157" s="52"/>
      <c r="BPV157" s="53"/>
      <c r="BPW157" s="54"/>
      <c r="BPX157" s="52"/>
      <c r="BPY157" s="53"/>
      <c r="BPZ157" s="54"/>
      <c r="BQA157" s="52"/>
      <c r="BQB157" s="53"/>
      <c r="BQC157" s="8"/>
      <c r="BQD157" s="45"/>
      <c r="BQE157" s="45"/>
      <c r="BQF157" s="46"/>
      <c r="BQG157" s="44"/>
      <c r="BQH157" s="7"/>
      <c r="BQI157" s="51"/>
      <c r="BQJ157" s="52"/>
      <c r="BQK157" s="53"/>
      <c r="BQL157" s="54"/>
      <c r="BQM157" s="52"/>
      <c r="BQN157" s="53"/>
      <c r="BQO157" s="54"/>
      <c r="BQP157" s="52"/>
      <c r="BQQ157" s="53"/>
      <c r="BQR157" s="8"/>
      <c r="BQS157" s="45"/>
      <c r="BQT157" s="45"/>
      <c r="BQU157" s="46"/>
      <c r="BQV157" s="44"/>
      <c r="BQW157" s="7"/>
      <c r="BQX157" s="51"/>
      <c r="BQY157" s="52"/>
      <c r="BQZ157" s="53"/>
      <c r="BRA157" s="54"/>
      <c r="BRB157" s="52"/>
      <c r="BRC157" s="53"/>
      <c r="BRD157" s="54"/>
      <c r="BRE157" s="52"/>
      <c r="BRF157" s="53"/>
      <c r="BRG157" s="8"/>
      <c r="BRH157" s="45"/>
      <c r="BRI157" s="45"/>
      <c r="BRJ157" s="46"/>
      <c r="BRK157" s="44"/>
      <c r="BRL157" s="7"/>
      <c r="BRM157" s="51"/>
      <c r="BRN157" s="52"/>
      <c r="BRO157" s="53"/>
      <c r="BRP157" s="54"/>
      <c r="BRQ157" s="52"/>
      <c r="BRR157" s="53"/>
      <c r="BRS157" s="54"/>
      <c r="BRT157" s="52"/>
      <c r="BRU157" s="53"/>
      <c r="BRV157" s="8"/>
      <c r="BRW157" s="45"/>
      <c r="BRX157" s="45"/>
      <c r="BRY157" s="46"/>
      <c r="BRZ157" s="44"/>
      <c r="BSA157" s="7"/>
      <c r="BSB157" s="51"/>
      <c r="BSC157" s="52"/>
      <c r="BSD157" s="53"/>
      <c r="BSE157" s="54"/>
      <c r="BSF157" s="52"/>
      <c r="BSG157" s="53"/>
      <c r="BSH157" s="54"/>
      <c r="BSI157" s="52"/>
      <c r="BSJ157" s="53"/>
      <c r="BSK157" s="8"/>
      <c r="BSL157" s="45"/>
      <c r="BSM157" s="45"/>
      <c r="BSN157" s="46"/>
      <c r="BSO157" s="44"/>
      <c r="BSP157" s="7"/>
      <c r="BSQ157" s="51"/>
      <c r="BSR157" s="52"/>
      <c r="BSS157" s="53"/>
      <c r="BST157" s="54"/>
      <c r="BSU157" s="52"/>
      <c r="BSV157" s="53"/>
      <c r="BSW157" s="54"/>
      <c r="BSX157" s="52"/>
      <c r="BSY157" s="53"/>
      <c r="BSZ157" s="8"/>
      <c r="BTA157" s="45"/>
      <c r="BTB157" s="45"/>
      <c r="BTC157" s="46"/>
      <c r="BTD157" s="44"/>
      <c r="BTE157" s="7"/>
      <c r="BTF157" s="51"/>
      <c r="BTG157" s="52"/>
      <c r="BTH157" s="53"/>
      <c r="BTI157" s="54"/>
      <c r="BTJ157" s="52"/>
      <c r="BTK157" s="53"/>
      <c r="BTL157" s="54"/>
      <c r="BTM157" s="52"/>
      <c r="BTN157" s="53"/>
      <c r="BTO157" s="8"/>
      <c r="BTP157" s="45"/>
      <c r="BTQ157" s="45"/>
      <c r="BTR157" s="46"/>
      <c r="BTS157" s="44"/>
      <c r="BTT157" s="7"/>
      <c r="BTU157" s="51"/>
      <c r="BTV157" s="52"/>
      <c r="BTW157" s="53"/>
      <c r="BTX157" s="54"/>
      <c r="BTY157" s="52"/>
      <c r="BTZ157" s="53"/>
      <c r="BUA157" s="54"/>
      <c r="BUB157" s="52"/>
      <c r="BUC157" s="53"/>
      <c r="BUD157" s="8"/>
      <c r="BUE157" s="45"/>
      <c r="BUF157" s="45"/>
      <c r="BUG157" s="46"/>
      <c r="BUH157" s="44"/>
      <c r="BUI157" s="7"/>
      <c r="BUJ157" s="51"/>
      <c r="BUK157" s="52"/>
      <c r="BUL157" s="53"/>
      <c r="BUM157" s="54"/>
      <c r="BUN157" s="52"/>
      <c r="BUO157" s="53"/>
      <c r="BUP157" s="54"/>
      <c r="BUQ157" s="52"/>
      <c r="BUR157" s="53"/>
      <c r="BUS157" s="8"/>
      <c r="BUT157" s="45"/>
      <c r="BUU157" s="45"/>
      <c r="BUV157" s="46"/>
      <c r="BUW157" s="44"/>
      <c r="BUX157" s="7"/>
      <c r="BUY157" s="51"/>
      <c r="BUZ157" s="52"/>
      <c r="BVA157" s="53"/>
      <c r="BVB157" s="54"/>
      <c r="BVC157" s="52"/>
      <c r="BVD157" s="53"/>
      <c r="BVE157" s="54"/>
      <c r="BVF157" s="52"/>
      <c r="BVG157" s="53"/>
      <c r="BVH157" s="8"/>
      <c r="BVI157" s="45"/>
      <c r="BVJ157" s="45"/>
      <c r="BVK157" s="46"/>
      <c r="BVL157" s="44"/>
      <c r="BVM157" s="7"/>
      <c r="BVN157" s="51"/>
      <c r="BVO157" s="52"/>
      <c r="BVP157" s="53"/>
      <c r="BVQ157" s="54"/>
      <c r="BVR157" s="52"/>
      <c r="BVS157" s="53"/>
      <c r="BVT157" s="54"/>
      <c r="BVU157" s="52"/>
      <c r="BVV157" s="53"/>
      <c r="BVW157" s="8"/>
      <c r="BVX157" s="45"/>
      <c r="BVY157" s="45"/>
      <c r="BVZ157" s="46"/>
      <c r="BWA157" s="44"/>
      <c r="BWB157" s="7"/>
      <c r="BWC157" s="51"/>
      <c r="BWD157" s="52"/>
      <c r="BWE157" s="53"/>
      <c r="BWF157" s="54"/>
      <c r="BWG157" s="52"/>
      <c r="BWH157" s="53"/>
      <c r="BWI157" s="54"/>
      <c r="BWJ157" s="52"/>
      <c r="BWK157" s="53"/>
      <c r="BWL157" s="8"/>
      <c r="BWM157" s="45"/>
      <c r="BWN157" s="45"/>
      <c r="BWO157" s="46"/>
      <c r="BWP157" s="44"/>
      <c r="BWQ157" s="7"/>
      <c r="BWR157" s="51"/>
      <c r="BWS157" s="52"/>
      <c r="BWT157" s="53"/>
      <c r="BWU157" s="54"/>
      <c r="BWV157" s="52"/>
      <c r="BWW157" s="53"/>
      <c r="BWX157" s="54"/>
      <c r="BWY157" s="52"/>
      <c r="BWZ157" s="53"/>
      <c r="BXA157" s="8"/>
      <c r="BXB157" s="45"/>
      <c r="BXC157" s="45"/>
      <c r="BXD157" s="46"/>
      <c r="BXE157" s="44"/>
      <c r="BXF157" s="7"/>
      <c r="BXG157" s="51"/>
      <c r="BXH157" s="52"/>
      <c r="BXI157" s="53"/>
      <c r="BXJ157" s="54"/>
      <c r="BXK157" s="52"/>
      <c r="BXL157" s="53"/>
      <c r="BXM157" s="54"/>
      <c r="BXN157" s="52"/>
      <c r="BXO157" s="53"/>
      <c r="BXP157" s="8"/>
      <c r="BXQ157" s="45"/>
      <c r="BXR157" s="45"/>
      <c r="BXS157" s="46"/>
      <c r="BXT157" s="44"/>
      <c r="BXU157" s="7"/>
      <c r="BXV157" s="51"/>
      <c r="BXW157" s="52"/>
      <c r="BXX157" s="53"/>
      <c r="BXY157" s="54"/>
      <c r="BXZ157" s="52"/>
      <c r="BYA157" s="53"/>
      <c r="BYB157" s="54"/>
      <c r="BYC157" s="52"/>
      <c r="BYD157" s="53"/>
      <c r="BYE157" s="8"/>
      <c r="BYF157" s="45"/>
      <c r="BYG157" s="45"/>
      <c r="BYH157" s="46"/>
      <c r="BYI157" s="44"/>
      <c r="BYJ157" s="7"/>
      <c r="BYK157" s="51"/>
      <c r="BYL157" s="52"/>
      <c r="BYM157" s="53"/>
      <c r="BYN157" s="54"/>
      <c r="BYO157" s="52"/>
      <c r="BYP157" s="53"/>
      <c r="BYQ157" s="54"/>
      <c r="BYR157" s="52"/>
      <c r="BYS157" s="53"/>
      <c r="BYT157" s="8"/>
      <c r="BYU157" s="45"/>
      <c r="BYV157" s="45"/>
      <c r="BYW157" s="46"/>
      <c r="BYX157" s="44"/>
      <c r="BYY157" s="7"/>
      <c r="BYZ157" s="51"/>
      <c r="BZA157" s="52"/>
      <c r="BZB157" s="53"/>
      <c r="BZC157" s="54"/>
      <c r="BZD157" s="52"/>
      <c r="BZE157" s="53"/>
      <c r="BZF157" s="54"/>
      <c r="BZG157" s="52"/>
      <c r="BZH157" s="53"/>
      <c r="BZI157" s="8"/>
      <c r="BZJ157" s="45"/>
      <c r="BZK157" s="45"/>
      <c r="BZL157" s="46"/>
      <c r="BZM157" s="44"/>
      <c r="BZN157" s="7"/>
      <c r="BZO157" s="51"/>
      <c r="BZP157" s="52"/>
      <c r="BZQ157" s="53"/>
      <c r="BZR157" s="54"/>
      <c r="BZS157" s="52"/>
      <c r="BZT157" s="53"/>
      <c r="BZU157" s="54"/>
      <c r="BZV157" s="52"/>
      <c r="BZW157" s="53"/>
      <c r="BZX157" s="8"/>
      <c r="BZY157" s="45"/>
      <c r="BZZ157" s="45"/>
      <c r="CAA157" s="46"/>
      <c r="CAB157" s="44"/>
      <c r="CAC157" s="7"/>
      <c r="CAD157" s="51"/>
      <c r="CAE157" s="52"/>
      <c r="CAF157" s="53"/>
      <c r="CAG157" s="54"/>
      <c r="CAH157" s="52"/>
      <c r="CAI157" s="53"/>
      <c r="CAJ157" s="54"/>
      <c r="CAK157" s="52"/>
      <c r="CAL157" s="53"/>
      <c r="CAM157" s="8"/>
      <c r="CAN157" s="45"/>
      <c r="CAO157" s="45"/>
      <c r="CAP157" s="46"/>
      <c r="CAQ157" s="44"/>
      <c r="CAR157" s="7"/>
      <c r="CAS157" s="51"/>
      <c r="CAT157" s="52"/>
      <c r="CAU157" s="53"/>
      <c r="CAV157" s="54"/>
      <c r="CAW157" s="52"/>
      <c r="CAX157" s="53"/>
      <c r="CAY157" s="54"/>
      <c r="CAZ157" s="52"/>
      <c r="CBA157" s="53"/>
      <c r="CBB157" s="8"/>
      <c r="CBC157" s="45"/>
      <c r="CBD157" s="45"/>
      <c r="CBE157" s="46"/>
      <c r="CBF157" s="44"/>
      <c r="CBG157" s="7"/>
      <c r="CBH157" s="51"/>
      <c r="CBI157" s="52"/>
      <c r="CBJ157" s="53"/>
      <c r="CBK157" s="54"/>
      <c r="CBL157" s="52"/>
      <c r="CBM157" s="53"/>
      <c r="CBN157" s="54"/>
      <c r="CBO157" s="52"/>
      <c r="CBP157" s="53"/>
      <c r="CBQ157" s="8"/>
      <c r="CBR157" s="45"/>
      <c r="CBS157" s="45"/>
      <c r="CBT157" s="46"/>
      <c r="CBU157" s="44"/>
      <c r="CBV157" s="7"/>
      <c r="CBW157" s="51"/>
      <c r="CBX157" s="52"/>
      <c r="CBY157" s="53"/>
      <c r="CBZ157" s="54"/>
      <c r="CCA157" s="52"/>
      <c r="CCB157" s="53"/>
      <c r="CCC157" s="54"/>
      <c r="CCD157" s="52"/>
      <c r="CCE157" s="53"/>
      <c r="CCF157" s="8"/>
      <c r="CCG157" s="45"/>
      <c r="CCH157" s="45"/>
      <c r="CCI157" s="46"/>
      <c r="CCJ157" s="44"/>
      <c r="CCK157" s="7"/>
      <c r="CCL157" s="51"/>
      <c r="CCM157" s="52"/>
      <c r="CCN157" s="53"/>
      <c r="CCO157" s="54"/>
      <c r="CCP157" s="52"/>
      <c r="CCQ157" s="53"/>
      <c r="CCR157" s="54"/>
      <c r="CCS157" s="52"/>
      <c r="CCT157" s="53"/>
      <c r="CCU157" s="8"/>
      <c r="CCV157" s="45"/>
      <c r="CCW157" s="45"/>
      <c r="CCX157" s="46"/>
      <c r="CCY157" s="44"/>
      <c r="CCZ157" s="7"/>
      <c r="CDA157" s="51"/>
      <c r="CDB157" s="52"/>
      <c r="CDC157" s="53"/>
      <c r="CDD157" s="54"/>
      <c r="CDE157" s="52"/>
      <c r="CDF157" s="53"/>
      <c r="CDG157" s="54"/>
      <c r="CDH157" s="52"/>
      <c r="CDI157" s="53"/>
      <c r="CDJ157" s="8"/>
      <c r="CDK157" s="45"/>
      <c r="CDL157" s="45"/>
      <c r="CDM157" s="46"/>
      <c r="CDN157" s="44"/>
      <c r="CDO157" s="7"/>
      <c r="CDP157" s="51"/>
      <c r="CDQ157" s="52"/>
      <c r="CDR157" s="53"/>
      <c r="CDS157" s="54"/>
      <c r="CDT157" s="52"/>
      <c r="CDU157" s="53"/>
      <c r="CDV157" s="54"/>
      <c r="CDW157" s="52"/>
      <c r="CDX157" s="53"/>
      <c r="CDY157" s="8"/>
      <c r="CDZ157" s="45"/>
      <c r="CEA157" s="45"/>
      <c r="CEB157" s="46"/>
      <c r="CEC157" s="44"/>
      <c r="CED157" s="7"/>
      <c r="CEE157" s="51"/>
      <c r="CEF157" s="52"/>
      <c r="CEG157" s="53"/>
      <c r="CEH157" s="54"/>
      <c r="CEI157" s="52"/>
      <c r="CEJ157" s="53"/>
      <c r="CEK157" s="54"/>
      <c r="CEL157" s="52"/>
      <c r="CEM157" s="53"/>
      <c r="CEN157" s="8"/>
      <c r="CEO157" s="45"/>
      <c r="CEP157" s="45"/>
      <c r="CEQ157" s="46"/>
      <c r="CER157" s="44"/>
      <c r="CES157" s="7"/>
      <c r="CET157" s="51"/>
      <c r="CEU157" s="52"/>
      <c r="CEV157" s="53"/>
      <c r="CEW157" s="54"/>
      <c r="CEX157" s="52"/>
      <c r="CEY157" s="53"/>
      <c r="CEZ157" s="54"/>
      <c r="CFA157" s="52"/>
      <c r="CFB157" s="53"/>
      <c r="CFC157" s="8"/>
      <c r="CFD157" s="45"/>
      <c r="CFE157" s="45"/>
      <c r="CFF157" s="46"/>
      <c r="CFG157" s="44"/>
      <c r="CFH157" s="7"/>
      <c r="CFI157" s="51"/>
      <c r="CFJ157" s="52"/>
      <c r="CFK157" s="53"/>
      <c r="CFL157" s="54"/>
      <c r="CFM157" s="52"/>
      <c r="CFN157" s="53"/>
      <c r="CFO157" s="54"/>
      <c r="CFP157" s="52"/>
      <c r="CFQ157" s="53"/>
      <c r="CFR157" s="8"/>
      <c r="CFS157" s="45"/>
      <c r="CFT157" s="45"/>
      <c r="CFU157" s="46"/>
      <c r="CFV157" s="44"/>
      <c r="CFW157" s="7"/>
      <c r="CFX157" s="51"/>
      <c r="CFY157" s="52"/>
      <c r="CFZ157" s="53"/>
      <c r="CGA157" s="54"/>
      <c r="CGB157" s="52"/>
      <c r="CGC157" s="53"/>
      <c r="CGD157" s="54"/>
      <c r="CGE157" s="52"/>
      <c r="CGF157" s="53"/>
      <c r="CGG157" s="8"/>
      <c r="CGH157" s="45"/>
      <c r="CGI157" s="45"/>
      <c r="CGJ157" s="46"/>
      <c r="CGK157" s="44"/>
      <c r="CGL157" s="7"/>
      <c r="CGM157" s="51"/>
      <c r="CGN157" s="52"/>
      <c r="CGO157" s="53"/>
      <c r="CGP157" s="54"/>
      <c r="CGQ157" s="52"/>
      <c r="CGR157" s="53"/>
      <c r="CGS157" s="54"/>
      <c r="CGT157" s="52"/>
      <c r="CGU157" s="53"/>
      <c r="CGV157" s="8"/>
      <c r="CGW157" s="45"/>
      <c r="CGX157" s="45"/>
      <c r="CGY157" s="46"/>
      <c r="CGZ157" s="44"/>
      <c r="CHA157" s="7"/>
      <c r="CHB157" s="51"/>
      <c r="CHC157" s="52"/>
      <c r="CHD157" s="53"/>
      <c r="CHE157" s="54"/>
      <c r="CHF157" s="52"/>
      <c r="CHG157" s="53"/>
      <c r="CHH157" s="54"/>
      <c r="CHI157" s="52"/>
      <c r="CHJ157" s="53"/>
      <c r="CHK157" s="8"/>
      <c r="CHL157" s="45"/>
      <c r="CHM157" s="45"/>
      <c r="CHN157" s="46"/>
      <c r="CHO157" s="44"/>
      <c r="CHP157" s="7"/>
      <c r="CHQ157" s="51"/>
      <c r="CHR157" s="52"/>
      <c r="CHS157" s="53"/>
      <c r="CHT157" s="54"/>
      <c r="CHU157" s="52"/>
      <c r="CHV157" s="53"/>
      <c r="CHW157" s="54"/>
      <c r="CHX157" s="52"/>
      <c r="CHY157" s="53"/>
      <c r="CHZ157" s="8"/>
      <c r="CIA157" s="45"/>
      <c r="CIB157" s="45"/>
      <c r="CIC157" s="46"/>
      <c r="CID157" s="44"/>
      <c r="CIE157" s="7"/>
      <c r="CIF157" s="51"/>
      <c r="CIG157" s="52"/>
      <c r="CIH157" s="53"/>
      <c r="CII157" s="54"/>
      <c r="CIJ157" s="52"/>
      <c r="CIK157" s="53"/>
      <c r="CIL157" s="54"/>
      <c r="CIM157" s="52"/>
      <c r="CIN157" s="53"/>
      <c r="CIO157" s="8"/>
      <c r="CIP157" s="45"/>
      <c r="CIQ157" s="45"/>
      <c r="CIR157" s="46"/>
      <c r="CIS157" s="44"/>
      <c r="CIT157" s="7"/>
      <c r="CIU157" s="51"/>
      <c r="CIV157" s="52"/>
      <c r="CIW157" s="53"/>
      <c r="CIX157" s="54"/>
      <c r="CIY157" s="52"/>
      <c r="CIZ157" s="53"/>
      <c r="CJA157" s="54"/>
      <c r="CJB157" s="52"/>
      <c r="CJC157" s="53"/>
      <c r="CJD157" s="8"/>
      <c r="CJE157" s="45"/>
      <c r="CJF157" s="45"/>
      <c r="CJG157" s="46"/>
      <c r="CJH157" s="44"/>
      <c r="CJI157" s="7"/>
      <c r="CJJ157" s="51"/>
      <c r="CJK157" s="52"/>
      <c r="CJL157" s="53"/>
      <c r="CJM157" s="54"/>
      <c r="CJN157" s="52"/>
      <c r="CJO157" s="53"/>
      <c r="CJP157" s="54"/>
      <c r="CJQ157" s="52"/>
      <c r="CJR157" s="53"/>
      <c r="CJS157" s="8"/>
      <c r="CJT157" s="45"/>
      <c r="CJU157" s="45"/>
      <c r="CJV157" s="46"/>
      <c r="CJW157" s="44"/>
      <c r="CJX157" s="7"/>
      <c r="CJY157" s="51"/>
      <c r="CJZ157" s="52"/>
      <c r="CKA157" s="53"/>
      <c r="CKB157" s="54"/>
      <c r="CKC157" s="52"/>
      <c r="CKD157" s="53"/>
      <c r="CKE157" s="54"/>
      <c r="CKF157" s="52"/>
      <c r="CKG157" s="53"/>
      <c r="CKH157" s="8"/>
      <c r="CKI157" s="45"/>
      <c r="CKJ157" s="45"/>
      <c r="CKK157" s="46"/>
      <c r="CKL157" s="44"/>
      <c r="CKM157" s="7"/>
      <c r="CKN157" s="51"/>
      <c r="CKO157" s="52"/>
      <c r="CKP157" s="53"/>
      <c r="CKQ157" s="54"/>
      <c r="CKR157" s="52"/>
      <c r="CKS157" s="53"/>
      <c r="CKT157" s="54"/>
      <c r="CKU157" s="52"/>
      <c r="CKV157" s="53"/>
      <c r="CKW157" s="8"/>
      <c r="CKX157" s="45"/>
      <c r="CKY157" s="45"/>
      <c r="CKZ157" s="46"/>
      <c r="CLA157" s="44"/>
      <c r="CLB157" s="7"/>
      <c r="CLC157" s="51"/>
      <c r="CLD157" s="52"/>
      <c r="CLE157" s="53"/>
      <c r="CLF157" s="54"/>
      <c r="CLG157" s="52"/>
      <c r="CLH157" s="53"/>
      <c r="CLI157" s="54"/>
      <c r="CLJ157" s="52"/>
      <c r="CLK157" s="53"/>
      <c r="CLL157" s="8"/>
      <c r="CLM157" s="45"/>
      <c r="CLN157" s="45"/>
      <c r="CLO157" s="46"/>
      <c r="CLP157" s="44"/>
      <c r="CLQ157" s="7"/>
      <c r="CLR157" s="51"/>
      <c r="CLS157" s="52"/>
      <c r="CLT157" s="53"/>
      <c r="CLU157" s="54"/>
      <c r="CLV157" s="52"/>
      <c r="CLW157" s="53"/>
      <c r="CLX157" s="54"/>
      <c r="CLY157" s="52"/>
      <c r="CLZ157" s="53"/>
      <c r="CMA157" s="8"/>
      <c r="CMB157" s="45"/>
      <c r="CMC157" s="45"/>
      <c r="CMD157" s="46"/>
      <c r="CME157" s="44"/>
      <c r="CMF157" s="7"/>
      <c r="CMG157" s="51"/>
      <c r="CMH157" s="52"/>
      <c r="CMI157" s="53"/>
      <c r="CMJ157" s="54"/>
      <c r="CMK157" s="52"/>
      <c r="CML157" s="53"/>
      <c r="CMM157" s="54"/>
      <c r="CMN157" s="52"/>
      <c r="CMO157" s="53"/>
      <c r="CMP157" s="8"/>
      <c r="CMQ157" s="45"/>
      <c r="CMR157" s="45"/>
      <c r="CMS157" s="46"/>
      <c r="CMT157" s="44"/>
      <c r="CMU157" s="7"/>
      <c r="CMV157" s="51"/>
      <c r="CMW157" s="52"/>
      <c r="CMX157" s="53"/>
      <c r="CMY157" s="54"/>
      <c r="CMZ157" s="52"/>
      <c r="CNA157" s="53"/>
      <c r="CNB157" s="54"/>
      <c r="CNC157" s="52"/>
      <c r="CND157" s="53"/>
      <c r="CNE157" s="8"/>
      <c r="CNF157" s="45"/>
      <c r="CNG157" s="45"/>
      <c r="CNH157" s="46"/>
      <c r="CNI157" s="44"/>
      <c r="CNJ157" s="7"/>
      <c r="CNK157" s="51"/>
      <c r="CNL157" s="52"/>
      <c r="CNM157" s="53"/>
      <c r="CNN157" s="54"/>
      <c r="CNO157" s="52"/>
      <c r="CNP157" s="53"/>
      <c r="CNQ157" s="54"/>
      <c r="CNR157" s="52"/>
      <c r="CNS157" s="53"/>
      <c r="CNT157" s="8"/>
      <c r="CNU157" s="45"/>
      <c r="CNV157" s="45"/>
      <c r="CNW157" s="46"/>
      <c r="CNX157" s="44"/>
      <c r="CNY157" s="7"/>
      <c r="CNZ157" s="51"/>
      <c r="COA157" s="52"/>
      <c r="COB157" s="53"/>
      <c r="COC157" s="54"/>
      <c r="COD157" s="52"/>
      <c r="COE157" s="53"/>
      <c r="COF157" s="54"/>
      <c r="COG157" s="52"/>
      <c r="COH157" s="53"/>
      <c r="COI157" s="8"/>
      <c r="COJ157" s="45"/>
      <c r="COK157" s="45"/>
      <c r="COL157" s="46"/>
      <c r="COM157" s="44"/>
      <c r="CON157" s="7"/>
      <c r="COO157" s="51"/>
      <c r="COP157" s="52"/>
      <c r="COQ157" s="53"/>
      <c r="COR157" s="54"/>
      <c r="COS157" s="52"/>
      <c r="COT157" s="53"/>
      <c r="COU157" s="54"/>
      <c r="COV157" s="52"/>
      <c r="COW157" s="53"/>
      <c r="COX157" s="8"/>
      <c r="COY157" s="45"/>
      <c r="COZ157" s="45"/>
      <c r="CPA157" s="46"/>
      <c r="CPB157" s="44"/>
      <c r="CPC157" s="7"/>
      <c r="CPD157" s="51"/>
      <c r="CPE157" s="52"/>
      <c r="CPF157" s="53"/>
      <c r="CPG157" s="54"/>
      <c r="CPH157" s="52"/>
      <c r="CPI157" s="53"/>
      <c r="CPJ157" s="54"/>
      <c r="CPK157" s="52"/>
      <c r="CPL157" s="53"/>
      <c r="CPM157" s="8"/>
      <c r="CPN157" s="45"/>
      <c r="CPO157" s="45"/>
      <c r="CPP157" s="46"/>
      <c r="CPQ157" s="44"/>
      <c r="CPR157" s="7"/>
      <c r="CPS157" s="51"/>
      <c r="CPT157" s="52"/>
      <c r="CPU157" s="53"/>
      <c r="CPV157" s="54"/>
      <c r="CPW157" s="52"/>
      <c r="CPX157" s="53"/>
      <c r="CPY157" s="54"/>
      <c r="CPZ157" s="52"/>
      <c r="CQA157" s="53"/>
      <c r="CQB157" s="8"/>
      <c r="CQC157" s="45"/>
      <c r="CQD157" s="45"/>
      <c r="CQE157" s="46"/>
      <c r="CQF157" s="44"/>
      <c r="CQG157" s="7"/>
      <c r="CQH157" s="51"/>
      <c r="CQI157" s="52"/>
      <c r="CQJ157" s="53"/>
      <c r="CQK157" s="54"/>
      <c r="CQL157" s="52"/>
      <c r="CQM157" s="53"/>
      <c r="CQN157" s="54"/>
      <c r="CQO157" s="52"/>
      <c r="CQP157" s="53"/>
      <c r="CQQ157" s="8"/>
      <c r="CQR157" s="45"/>
      <c r="CQS157" s="45"/>
      <c r="CQT157" s="46"/>
      <c r="CQU157" s="44"/>
      <c r="CQV157" s="7"/>
      <c r="CQW157" s="51"/>
      <c r="CQX157" s="52"/>
      <c r="CQY157" s="53"/>
      <c r="CQZ157" s="54"/>
      <c r="CRA157" s="52"/>
      <c r="CRB157" s="53"/>
      <c r="CRC157" s="54"/>
      <c r="CRD157" s="52"/>
      <c r="CRE157" s="53"/>
      <c r="CRF157" s="8"/>
      <c r="CRG157" s="45"/>
      <c r="CRH157" s="45"/>
      <c r="CRI157" s="46"/>
      <c r="CRJ157" s="44"/>
      <c r="CRK157" s="7"/>
      <c r="CRL157" s="51"/>
      <c r="CRM157" s="52"/>
      <c r="CRN157" s="53"/>
      <c r="CRO157" s="54"/>
      <c r="CRP157" s="52"/>
      <c r="CRQ157" s="53"/>
      <c r="CRR157" s="54"/>
      <c r="CRS157" s="52"/>
      <c r="CRT157" s="53"/>
      <c r="CRU157" s="8"/>
      <c r="CRV157" s="45"/>
      <c r="CRW157" s="45"/>
      <c r="CRX157" s="46"/>
      <c r="CRY157" s="44"/>
      <c r="CRZ157" s="7"/>
      <c r="CSA157" s="51"/>
      <c r="CSB157" s="52"/>
      <c r="CSC157" s="53"/>
      <c r="CSD157" s="54"/>
      <c r="CSE157" s="52"/>
      <c r="CSF157" s="53"/>
      <c r="CSG157" s="54"/>
      <c r="CSH157" s="52"/>
      <c r="CSI157" s="53"/>
      <c r="CSJ157" s="8"/>
      <c r="CSK157" s="45"/>
      <c r="CSL157" s="45"/>
      <c r="CSM157" s="46"/>
      <c r="CSN157" s="44"/>
      <c r="CSO157" s="7"/>
      <c r="CSP157" s="51"/>
      <c r="CSQ157" s="52"/>
      <c r="CSR157" s="53"/>
      <c r="CSS157" s="54"/>
      <c r="CST157" s="52"/>
      <c r="CSU157" s="53"/>
      <c r="CSV157" s="54"/>
      <c r="CSW157" s="52"/>
      <c r="CSX157" s="53"/>
      <c r="CSY157" s="8"/>
      <c r="CSZ157" s="45"/>
      <c r="CTA157" s="45"/>
      <c r="CTB157" s="46"/>
      <c r="CTC157" s="44"/>
      <c r="CTD157" s="7"/>
      <c r="CTE157" s="51"/>
      <c r="CTF157" s="52"/>
      <c r="CTG157" s="53"/>
      <c r="CTH157" s="54"/>
      <c r="CTI157" s="52"/>
      <c r="CTJ157" s="53"/>
      <c r="CTK157" s="54"/>
      <c r="CTL157" s="52"/>
      <c r="CTM157" s="53"/>
      <c r="CTN157" s="8"/>
      <c r="CTO157" s="45"/>
      <c r="CTP157" s="45"/>
      <c r="CTQ157" s="46"/>
      <c r="CTR157" s="44"/>
      <c r="CTS157" s="7"/>
      <c r="CTT157" s="51"/>
      <c r="CTU157" s="52"/>
      <c r="CTV157" s="53"/>
      <c r="CTW157" s="54"/>
      <c r="CTX157" s="52"/>
      <c r="CTY157" s="53"/>
      <c r="CTZ157" s="54"/>
      <c r="CUA157" s="52"/>
      <c r="CUB157" s="53"/>
      <c r="CUC157" s="8"/>
      <c r="CUD157" s="45"/>
      <c r="CUE157" s="45"/>
      <c r="CUF157" s="46"/>
      <c r="CUG157" s="44"/>
      <c r="CUH157" s="7"/>
      <c r="CUI157" s="51"/>
      <c r="CUJ157" s="52"/>
      <c r="CUK157" s="53"/>
      <c r="CUL157" s="54"/>
      <c r="CUM157" s="52"/>
      <c r="CUN157" s="53"/>
      <c r="CUO157" s="54"/>
      <c r="CUP157" s="52"/>
      <c r="CUQ157" s="53"/>
      <c r="CUR157" s="8"/>
      <c r="CUS157" s="45"/>
      <c r="CUT157" s="45"/>
      <c r="CUU157" s="46"/>
      <c r="CUV157" s="44"/>
      <c r="CUW157" s="7"/>
      <c r="CUX157" s="51"/>
      <c r="CUY157" s="52"/>
      <c r="CUZ157" s="53"/>
      <c r="CVA157" s="54"/>
      <c r="CVB157" s="52"/>
      <c r="CVC157" s="53"/>
      <c r="CVD157" s="54"/>
      <c r="CVE157" s="52"/>
      <c r="CVF157" s="53"/>
      <c r="CVG157" s="8"/>
      <c r="CVH157" s="45"/>
      <c r="CVI157" s="45"/>
      <c r="CVJ157" s="46"/>
      <c r="CVK157" s="44"/>
      <c r="CVL157" s="7"/>
      <c r="CVM157" s="51"/>
      <c r="CVN157" s="52"/>
      <c r="CVO157" s="53"/>
      <c r="CVP157" s="54"/>
      <c r="CVQ157" s="52"/>
      <c r="CVR157" s="53"/>
      <c r="CVS157" s="54"/>
      <c r="CVT157" s="52"/>
      <c r="CVU157" s="53"/>
      <c r="CVV157" s="8"/>
      <c r="CVW157" s="45"/>
      <c r="CVX157" s="45"/>
      <c r="CVY157" s="46"/>
      <c r="CVZ157" s="44"/>
      <c r="CWA157" s="7"/>
      <c r="CWB157" s="51"/>
      <c r="CWC157" s="52"/>
      <c r="CWD157" s="53"/>
      <c r="CWE157" s="54"/>
      <c r="CWF157" s="52"/>
      <c r="CWG157" s="53"/>
      <c r="CWH157" s="54"/>
      <c r="CWI157" s="52"/>
      <c r="CWJ157" s="53"/>
      <c r="CWK157" s="8"/>
      <c r="CWL157" s="45"/>
      <c r="CWM157" s="45"/>
      <c r="CWN157" s="46"/>
      <c r="CWO157" s="44"/>
      <c r="CWP157" s="7"/>
      <c r="CWQ157" s="51"/>
      <c r="CWR157" s="52"/>
      <c r="CWS157" s="53"/>
      <c r="CWT157" s="54"/>
      <c r="CWU157" s="52"/>
      <c r="CWV157" s="53"/>
      <c r="CWW157" s="54"/>
      <c r="CWX157" s="52"/>
      <c r="CWY157" s="53"/>
      <c r="CWZ157" s="8"/>
      <c r="CXA157" s="45"/>
      <c r="CXB157" s="45"/>
      <c r="CXC157" s="46"/>
      <c r="CXD157" s="44"/>
      <c r="CXE157" s="7"/>
      <c r="CXF157" s="51"/>
      <c r="CXG157" s="52"/>
      <c r="CXH157" s="53"/>
      <c r="CXI157" s="54"/>
      <c r="CXJ157" s="52"/>
      <c r="CXK157" s="53"/>
      <c r="CXL157" s="54"/>
      <c r="CXM157" s="52"/>
      <c r="CXN157" s="53"/>
      <c r="CXO157" s="8"/>
      <c r="CXP157" s="45"/>
      <c r="CXQ157" s="45"/>
      <c r="CXR157" s="46"/>
      <c r="CXS157" s="44"/>
      <c r="CXT157" s="7"/>
      <c r="CXU157" s="51"/>
      <c r="CXV157" s="52"/>
      <c r="CXW157" s="53"/>
      <c r="CXX157" s="54"/>
      <c r="CXY157" s="52"/>
      <c r="CXZ157" s="53"/>
      <c r="CYA157" s="54"/>
      <c r="CYB157" s="52"/>
      <c r="CYC157" s="53"/>
      <c r="CYD157" s="8"/>
      <c r="CYE157" s="45"/>
      <c r="CYF157" s="45"/>
      <c r="CYG157" s="46"/>
      <c r="CYH157" s="44"/>
      <c r="CYI157" s="7"/>
      <c r="CYJ157" s="51"/>
      <c r="CYK157" s="52"/>
      <c r="CYL157" s="53"/>
      <c r="CYM157" s="54"/>
      <c r="CYN157" s="52"/>
      <c r="CYO157" s="53"/>
      <c r="CYP157" s="54"/>
      <c r="CYQ157" s="52"/>
      <c r="CYR157" s="53"/>
      <c r="CYS157" s="8"/>
      <c r="CYT157" s="45"/>
      <c r="CYU157" s="45"/>
      <c r="CYV157" s="46"/>
      <c r="CYW157" s="44"/>
      <c r="CYX157" s="7"/>
      <c r="CYY157" s="51"/>
      <c r="CYZ157" s="52"/>
      <c r="CZA157" s="53"/>
      <c r="CZB157" s="54"/>
      <c r="CZC157" s="52"/>
      <c r="CZD157" s="53"/>
      <c r="CZE157" s="54"/>
      <c r="CZF157" s="52"/>
      <c r="CZG157" s="53"/>
      <c r="CZH157" s="8"/>
      <c r="CZI157" s="45"/>
      <c r="CZJ157" s="45"/>
      <c r="CZK157" s="46"/>
      <c r="CZL157" s="44"/>
      <c r="CZM157" s="7"/>
      <c r="CZN157" s="51"/>
      <c r="CZO157" s="52"/>
      <c r="CZP157" s="53"/>
      <c r="CZQ157" s="54"/>
      <c r="CZR157" s="52"/>
      <c r="CZS157" s="53"/>
      <c r="CZT157" s="54"/>
      <c r="CZU157" s="52"/>
      <c r="CZV157" s="53"/>
      <c r="CZW157" s="8"/>
      <c r="CZX157" s="45"/>
      <c r="CZY157" s="45"/>
      <c r="CZZ157" s="46"/>
      <c r="DAA157" s="44"/>
      <c r="DAB157" s="7"/>
      <c r="DAC157" s="51"/>
      <c r="DAD157" s="52"/>
      <c r="DAE157" s="53"/>
      <c r="DAF157" s="54"/>
      <c r="DAG157" s="52"/>
      <c r="DAH157" s="53"/>
      <c r="DAI157" s="54"/>
      <c r="DAJ157" s="52"/>
      <c r="DAK157" s="53"/>
      <c r="DAL157" s="8"/>
      <c r="DAM157" s="45"/>
      <c r="DAN157" s="45"/>
      <c r="DAO157" s="46"/>
      <c r="DAP157" s="44"/>
      <c r="DAQ157" s="7"/>
      <c r="DAR157" s="51"/>
      <c r="DAS157" s="52"/>
      <c r="DAT157" s="53"/>
      <c r="DAU157" s="54"/>
      <c r="DAV157" s="52"/>
      <c r="DAW157" s="53"/>
      <c r="DAX157" s="54"/>
      <c r="DAY157" s="52"/>
      <c r="DAZ157" s="53"/>
      <c r="DBA157" s="8"/>
      <c r="DBB157" s="45"/>
      <c r="DBC157" s="45"/>
      <c r="DBD157" s="46"/>
      <c r="DBE157" s="44"/>
      <c r="DBF157" s="7"/>
      <c r="DBG157" s="51"/>
      <c r="DBH157" s="52"/>
      <c r="DBI157" s="53"/>
      <c r="DBJ157" s="54"/>
      <c r="DBK157" s="52"/>
      <c r="DBL157" s="53"/>
      <c r="DBM157" s="54"/>
      <c r="DBN157" s="52"/>
      <c r="DBO157" s="53"/>
      <c r="DBP157" s="8"/>
      <c r="DBQ157" s="45"/>
      <c r="DBR157" s="45"/>
      <c r="DBS157" s="46"/>
      <c r="DBT157" s="44"/>
      <c r="DBU157" s="7"/>
      <c r="DBV157" s="51"/>
      <c r="DBW157" s="52"/>
      <c r="DBX157" s="53"/>
      <c r="DBY157" s="54"/>
      <c r="DBZ157" s="52"/>
      <c r="DCA157" s="53"/>
      <c r="DCB157" s="54"/>
      <c r="DCC157" s="52"/>
      <c r="DCD157" s="53"/>
      <c r="DCE157" s="8"/>
      <c r="DCF157" s="45"/>
      <c r="DCG157" s="45"/>
      <c r="DCH157" s="46"/>
      <c r="DCI157" s="44"/>
      <c r="DCJ157" s="7"/>
      <c r="DCK157" s="51"/>
      <c r="DCL157" s="52"/>
      <c r="DCM157" s="53"/>
      <c r="DCN157" s="54"/>
      <c r="DCO157" s="52"/>
      <c r="DCP157" s="53"/>
      <c r="DCQ157" s="54"/>
      <c r="DCR157" s="52"/>
      <c r="DCS157" s="53"/>
      <c r="DCT157" s="8"/>
      <c r="DCU157" s="45"/>
      <c r="DCV157" s="45"/>
      <c r="DCW157" s="46"/>
      <c r="DCX157" s="44"/>
      <c r="DCY157" s="7"/>
      <c r="DCZ157" s="51"/>
      <c r="DDA157" s="52"/>
      <c r="DDB157" s="53"/>
      <c r="DDC157" s="54"/>
      <c r="DDD157" s="52"/>
      <c r="DDE157" s="53"/>
      <c r="DDF157" s="54"/>
      <c r="DDG157" s="52"/>
      <c r="DDH157" s="53"/>
      <c r="DDI157" s="8"/>
      <c r="DDJ157" s="45"/>
      <c r="DDK157" s="45"/>
      <c r="DDL157" s="46"/>
      <c r="DDM157" s="44"/>
      <c r="DDN157" s="7"/>
      <c r="DDO157" s="51"/>
      <c r="DDP157" s="52"/>
      <c r="DDQ157" s="53"/>
      <c r="DDR157" s="54"/>
      <c r="DDS157" s="52"/>
      <c r="DDT157" s="53"/>
      <c r="DDU157" s="54"/>
      <c r="DDV157" s="52"/>
      <c r="DDW157" s="53"/>
      <c r="DDX157" s="8"/>
      <c r="DDY157" s="45"/>
      <c r="DDZ157" s="45"/>
      <c r="DEA157" s="46"/>
      <c r="DEB157" s="44"/>
      <c r="DEC157" s="7"/>
      <c r="DED157" s="51"/>
      <c r="DEE157" s="52"/>
      <c r="DEF157" s="53"/>
      <c r="DEG157" s="54"/>
      <c r="DEH157" s="52"/>
      <c r="DEI157" s="53"/>
      <c r="DEJ157" s="54"/>
      <c r="DEK157" s="52"/>
      <c r="DEL157" s="53"/>
      <c r="DEM157" s="8"/>
      <c r="DEN157" s="45"/>
      <c r="DEO157" s="45"/>
      <c r="DEP157" s="46"/>
      <c r="DEQ157" s="44"/>
      <c r="DER157" s="7"/>
      <c r="DES157" s="51"/>
      <c r="DET157" s="52"/>
      <c r="DEU157" s="53"/>
      <c r="DEV157" s="54"/>
      <c r="DEW157" s="52"/>
      <c r="DEX157" s="53"/>
      <c r="DEY157" s="54"/>
      <c r="DEZ157" s="52"/>
      <c r="DFA157" s="53"/>
      <c r="DFB157" s="8"/>
      <c r="DFC157" s="45"/>
      <c r="DFD157" s="45"/>
      <c r="DFE157" s="46"/>
      <c r="DFF157" s="44"/>
      <c r="DFG157" s="7"/>
      <c r="DFH157" s="51"/>
      <c r="DFI157" s="52"/>
      <c r="DFJ157" s="53"/>
      <c r="DFK157" s="54"/>
      <c r="DFL157" s="52"/>
      <c r="DFM157" s="53"/>
      <c r="DFN157" s="54"/>
      <c r="DFO157" s="52"/>
      <c r="DFP157" s="53"/>
      <c r="DFQ157" s="8"/>
      <c r="DFR157" s="45"/>
      <c r="DFS157" s="45"/>
      <c r="DFT157" s="46"/>
      <c r="DFU157" s="44"/>
      <c r="DFV157" s="7"/>
      <c r="DFW157" s="51"/>
      <c r="DFX157" s="52"/>
      <c r="DFY157" s="53"/>
      <c r="DFZ157" s="54"/>
      <c r="DGA157" s="52"/>
      <c r="DGB157" s="53"/>
      <c r="DGC157" s="54"/>
      <c r="DGD157" s="52"/>
      <c r="DGE157" s="53"/>
      <c r="DGF157" s="8"/>
      <c r="DGG157" s="45"/>
      <c r="DGH157" s="45"/>
      <c r="DGI157" s="46"/>
      <c r="DGJ157" s="44"/>
      <c r="DGK157" s="7"/>
      <c r="DGL157" s="51"/>
      <c r="DGM157" s="52"/>
      <c r="DGN157" s="53"/>
      <c r="DGO157" s="54"/>
      <c r="DGP157" s="52"/>
      <c r="DGQ157" s="53"/>
      <c r="DGR157" s="54"/>
      <c r="DGS157" s="52"/>
      <c r="DGT157" s="53"/>
      <c r="DGU157" s="8"/>
      <c r="DGV157" s="45"/>
      <c r="DGW157" s="45"/>
      <c r="DGX157" s="46"/>
      <c r="DGY157" s="44"/>
      <c r="DGZ157" s="7"/>
      <c r="DHA157" s="51"/>
      <c r="DHB157" s="52"/>
      <c r="DHC157" s="53"/>
      <c r="DHD157" s="54"/>
      <c r="DHE157" s="52"/>
      <c r="DHF157" s="53"/>
      <c r="DHG157" s="54"/>
      <c r="DHH157" s="52"/>
      <c r="DHI157" s="53"/>
      <c r="DHJ157" s="8"/>
      <c r="DHK157" s="45"/>
      <c r="DHL157" s="45"/>
      <c r="DHM157" s="46"/>
      <c r="DHN157" s="44"/>
      <c r="DHO157" s="7"/>
      <c r="DHP157" s="51"/>
      <c r="DHQ157" s="52"/>
      <c r="DHR157" s="53"/>
      <c r="DHS157" s="54"/>
      <c r="DHT157" s="52"/>
      <c r="DHU157" s="53"/>
      <c r="DHV157" s="54"/>
      <c r="DHW157" s="52"/>
      <c r="DHX157" s="53"/>
      <c r="DHY157" s="8"/>
      <c r="DHZ157" s="45"/>
      <c r="DIA157" s="45"/>
      <c r="DIB157" s="46"/>
      <c r="DIC157" s="44"/>
      <c r="DID157" s="7"/>
      <c r="DIE157" s="51"/>
      <c r="DIF157" s="52"/>
      <c r="DIG157" s="53"/>
      <c r="DIH157" s="54"/>
      <c r="DII157" s="52"/>
      <c r="DIJ157" s="53"/>
      <c r="DIK157" s="54"/>
      <c r="DIL157" s="52"/>
      <c r="DIM157" s="53"/>
      <c r="DIN157" s="8"/>
      <c r="DIO157" s="45"/>
      <c r="DIP157" s="45"/>
      <c r="DIQ157" s="46"/>
      <c r="DIR157" s="44"/>
      <c r="DIS157" s="7"/>
      <c r="DIT157" s="51"/>
      <c r="DIU157" s="52"/>
      <c r="DIV157" s="53"/>
      <c r="DIW157" s="54"/>
      <c r="DIX157" s="52"/>
      <c r="DIY157" s="53"/>
      <c r="DIZ157" s="54"/>
      <c r="DJA157" s="52"/>
      <c r="DJB157" s="53"/>
      <c r="DJC157" s="8"/>
      <c r="DJD157" s="45"/>
      <c r="DJE157" s="45"/>
      <c r="DJF157" s="46"/>
      <c r="DJG157" s="44"/>
      <c r="DJH157" s="7"/>
      <c r="DJI157" s="51"/>
      <c r="DJJ157" s="52"/>
      <c r="DJK157" s="53"/>
      <c r="DJL157" s="54"/>
      <c r="DJM157" s="52"/>
      <c r="DJN157" s="53"/>
      <c r="DJO157" s="54"/>
      <c r="DJP157" s="52"/>
      <c r="DJQ157" s="53"/>
      <c r="DJR157" s="8"/>
      <c r="DJS157" s="45"/>
      <c r="DJT157" s="45"/>
      <c r="DJU157" s="46"/>
      <c r="DJV157" s="44"/>
      <c r="DJW157" s="7"/>
      <c r="DJX157" s="51"/>
      <c r="DJY157" s="52"/>
      <c r="DJZ157" s="53"/>
      <c r="DKA157" s="54"/>
      <c r="DKB157" s="52"/>
      <c r="DKC157" s="53"/>
      <c r="DKD157" s="54"/>
      <c r="DKE157" s="52"/>
      <c r="DKF157" s="53"/>
      <c r="DKG157" s="8"/>
      <c r="DKH157" s="45"/>
      <c r="DKI157" s="45"/>
      <c r="DKJ157" s="46"/>
      <c r="DKK157" s="44"/>
      <c r="DKL157" s="7"/>
      <c r="DKM157" s="51"/>
      <c r="DKN157" s="52"/>
      <c r="DKO157" s="53"/>
      <c r="DKP157" s="54"/>
      <c r="DKQ157" s="52"/>
      <c r="DKR157" s="53"/>
      <c r="DKS157" s="54"/>
      <c r="DKT157" s="52"/>
      <c r="DKU157" s="53"/>
      <c r="DKV157" s="8"/>
      <c r="DKW157" s="45"/>
      <c r="DKX157" s="45"/>
      <c r="DKY157" s="46"/>
      <c r="DKZ157" s="44"/>
      <c r="DLA157" s="7"/>
      <c r="DLB157" s="51"/>
      <c r="DLC157" s="52"/>
      <c r="DLD157" s="53"/>
      <c r="DLE157" s="54"/>
      <c r="DLF157" s="52"/>
      <c r="DLG157" s="53"/>
      <c r="DLH157" s="54"/>
      <c r="DLI157" s="52"/>
      <c r="DLJ157" s="53"/>
      <c r="DLK157" s="8"/>
      <c r="DLL157" s="45"/>
      <c r="DLM157" s="45"/>
      <c r="DLN157" s="46"/>
      <c r="DLO157" s="44"/>
      <c r="DLP157" s="7"/>
      <c r="DLQ157" s="51"/>
      <c r="DLR157" s="52"/>
      <c r="DLS157" s="53"/>
      <c r="DLT157" s="54"/>
      <c r="DLU157" s="52"/>
      <c r="DLV157" s="53"/>
      <c r="DLW157" s="54"/>
      <c r="DLX157" s="52"/>
      <c r="DLY157" s="53"/>
      <c r="DLZ157" s="8"/>
      <c r="DMA157" s="45"/>
      <c r="DMB157" s="45"/>
      <c r="DMC157" s="46"/>
      <c r="DMD157" s="44"/>
      <c r="DME157" s="7"/>
      <c r="DMF157" s="51"/>
      <c r="DMG157" s="52"/>
      <c r="DMH157" s="53"/>
      <c r="DMI157" s="54"/>
      <c r="DMJ157" s="52"/>
      <c r="DMK157" s="53"/>
      <c r="DML157" s="54"/>
      <c r="DMM157" s="52"/>
      <c r="DMN157" s="53"/>
      <c r="DMO157" s="8"/>
      <c r="DMP157" s="45"/>
      <c r="DMQ157" s="45"/>
      <c r="DMR157" s="46"/>
      <c r="DMS157" s="44"/>
      <c r="DMT157" s="7"/>
      <c r="DMU157" s="51"/>
      <c r="DMV157" s="52"/>
      <c r="DMW157" s="53"/>
      <c r="DMX157" s="54"/>
      <c r="DMY157" s="52"/>
      <c r="DMZ157" s="53"/>
      <c r="DNA157" s="54"/>
      <c r="DNB157" s="52"/>
      <c r="DNC157" s="53"/>
      <c r="DND157" s="8"/>
      <c r="DNE157" s="45"/>
      <c r="DNF157" s="45"/>
      <c r="DNG157" s="46"/>
      <c r="DNH157" s="44"/>
      <c r="DNI157" s="7"/>
      <c r="DNJ157" s="51"/>
      <c r="DNK157" s="52"/>
      <c r="DNL157" s="53"/>
      <c r="DNM157" s="54"/>
      <c r="DNN157" s="52"/>
      <c r="DNO157" s="53"/>
      <c r="DNP157" s="54"/>
      <c r="DNQ157" s="52"/>
      <c r="DNR157" s="53"/>
      <c r="DNS157" s="8"/>
      <c r="DNT157" s="45"/>
      <c r="DNU157" s="45"/>
      <c r="DNV157" s="46"/>
      <c r="DNW157" s="44"/>
      <c r="DNX157" s="7"/>
      <c r="DNY157" s="51"/>
      <c r="DNZ157" s="52"/>
      <c r="DOA157" s="53"/>
      <c r="DOB157" s="54"/>
      <c r="DOC157" s="52"/>
      <c r="DOD157" s="53"/>
      <c r="DOE157" s="54"/>
      <c r="DOF157" s="52"/>
      <c r="DOG157" s="53"/>
      <c r="DOH157" s="8"/>
      <c r="DOI157" s="45"/>
      <c r="DOJ157" s="45"/>
      <c r="DOK157" s="46"/>
      <c r="DOL157" s="44"/>
      <c r="DOM157" s="7"/>
      <c r="DON157" s="51"/>
      <c r="DOO157" s="52"/>
      <c r="DOP157" s="53"/>
      <c r="DOQ157" s="54"/>
      <c r="DOR157" s="52"/>
      <c r="DOS157" s="53"/>
      <c r="DOT157" s="54"/>
      <c r="DOU157" s="52"/>
      <c r="DOV157" s="53"/>
      <c r="DOW157" s="8"/>
      <c r="DOX157" s="45"/>
      <c r="DOY157" s="45"/>
      <c r="DOZ157" s="46"/>
      <c r="DPA157" s="44"/>
      <c r="DPB157" s="7"/>
      <c r="DPC157" s="51"/>
      <c r="DPD157" s="52"/>
      <c r="DPE157" s="53"/>
      <c r="DPF157" s="54"/>
      <c r="DPG157" s="52"/>
      <c r="DPH157" s="53"/>
      <c r="DPI157" s="54"/>
      <c r="DPJ157" s="52"/>
      <c r="DPK157" s="53"/>
      <c r="DPL157" s="8"/>
      <c r="DPM157" s="45"/>
      <c r="DPN157" s="45"/>
      <c r="DPO157" s="46"/>
      <c r="DPP157" s="44"/>
      <c r="DPQ157" s="7"/>
      <c r="DPR157" s="51"/>
      <c r="DPS157" s="52"/>
      <c r="DPT157" s="53"/>
      <c r="DPU157" s="54"/>
      <c r="DPV157" s="52"/>
      <c r="DPW157" s="53"/>
      <c r="DPX157" s="54"/>
      <c r="DPY157" s="52"/>
      <c r="DPZ157" s="53"/>
      <c r="DQA157" s="8"/>
      <c r="DQB157" s="45"/>
      <c r="DQC157" s="45"/>
      <c r="DQD157" s="46"/>
      <c r="DQE157" s="44"/>
      <c r="DQF157" s="7"/>
      <c r="DQG157" s="51"/>
      <c r="DQH157" s="52"/>
      <c r="DQI157" s="53"/>
      <c r="DQJ157" s="54"/>
      <c r="DQK157" s="52"/>
      <c r="DQL157" s="53"/>
      <c r="DQM157" s="54"/>
      <c r="DQN157" s="52"/>
      <c r="DQO157" s="53"/>
      <c r="DQP157" s="8"/>
      <c r="DQQ157" s="45"/>
      <c r="DQR157" s="45"/>
      <c r="DQS157" s="46"/>
      <c r="DQT157" s="44"/>
      <c r="DQU157" s="7"/>
      <c r="DQV157" s="51"/>
      <c r="DQW157" s="52"/>
      <c r="DQX157" s="53"/>
      <c r="DQY157" s="54"/>
      <c r="DQZ157" s="52"/>
      <c r="DRA157" s="53"/>
      <c r="DRB157" s="54"/>
      <c r="DRC157" s="52"/>
      <c r="DRD157" s="53"/>
      <c r="DRE157" s="8"/>
      <c r="DRF157" s="45"/>
      <c r="DRG157" s="45"/>
      <c r="DRH157" s="46"/>
      <c r="DRI157" s="44"/>
      <c r="DRJ157" s="7"/>
      <c r="DRK157" s="51"/>
      <c r="DRL157" s="52"/>
      <c r="DRM157" s="53"/>
      <c r="DRN157" s="54"/>
      <c r="DRO157" s="52"/>
      <c r="DRP157" s="53"/>
      <c r="DRQ157" s="54"/>
      <c r="DRR157" s="52"/>
      <c r="DRS157" s="53"/>
      <c r="DRT157" s="8"/>
      <c r="DRU157" s="45"/>
      <c r="DRV157" s="45"/>
      <c r="DRW157" s="46"/>
      <c r="DRX157" s="44"/>
      <c r="DRY157" s="7"/>
      <c r="DRZ157" s="51"/>
      <c r="DSA157" s="52"/>
      <c r="DSB157" s="53"/>
      <c r="DSC157" s="54"/>
      <c r="DSD157" s="52"/>
      <c r="DSE157" s="53"/>
      <c r="DSF157" s="54"/>
      <c r="DSG157" s="52"/>
      <c r="DSH157" s="53"/>
      <c r="DSI157" s="8"/>
      <c r="DSJ157" s="45"/>
      <c r="DSK157" s="45"/>
      <c r="DSL157" s="46"/>
      <c r="DSM157" s="44"/>
      <c r="DSN157" s="7"/>
      <c r="DSO157" s="51"/>
      <c r="DSP157" s="52"/>
      <c r="DSQ157" s="53"/>
      <c r="DSR157" s="54"/>
      <c r="DSS157" s="52"/>
      <c r="DST157" s="53"/>
      <c r="DSU157" s="54"/>
      <c r="DSV157" s="52"/>
      <c r="DSW157" s="53"/>
      <c r="DSX157" s="8"/>
      <c r="DSY157" s="45"/>
      <c r="DSZ157" s="45"/>
      <c r="DTA157" s="46"/>
      <c r="DTB157" s="44"/>
      <c r="DTC157" s="7"/>
      <c r="DTD157" s="51"/>
      <c r="DTE157" s="52"/>
      <c r="DTF157" s="53"/>
      <c r="DTG157" s="54"/>
      <c r="DTH157" s="52"/>
      <c r="DTI157" s="53"/>
      <c r="DTJ157" s="54"/>
      <c r="DTK157" s="52"/>
      <c r="DTL157" s="53"/>
      <c r="DTM157" s="8"/>
      <c r="DTN157" s="45"/>
      <c r="DTO157" s="45"/>
      <c r="DTP157" s="46"/>
      <c r="DTQ157" s="44"/>
      <c r="DTR157" s="7"/>
      <c r="DTS157" s="51"/>
      <c r="DTT157" s="52"/>
      <c r="DTU157" s="53"/>
      <c r="DTV157" s="54"/>
      <c r="DTW157" s="52"/>
      <c r="DTX157" s="53"/>
      <c r="DTY157" s="54"/>
      <c r="DTZ157" s="52"/>
      <c r="DUA157" s="53"/>
      <c r="DUB157" s="8"/>
      <c r="DUC157" s="45"/>
      <c r="DUD157" s="45"/>
      <c r="DUE157" s="46"/>
      <c r="DUF157" s="44"/>
      <c r="DUG157" s="7"/>
      <c r="DUH157" s="51"/>
      <c r="DUI157" s="52"/>
      <c r="DUJ157" s="53"/>
      <c r="DUK157" s="54"/>
      <c r="DUL157" s="52"/>
      <c r="DUM157" s="53"/>
      <c r="DUN157" s="54"/>
      <c r="DUO157" s="52"/>
      <c r="DUP157" s="53"/>
      <c r="DUQ157" s="8"/>
      <c r="DUR157" s="45"/>
      <c r="DUS157" s="45"/>
      <c r="DUT157" s="46"/>
      <c r="DUU157" s="44"/>
      <c r="DUV157" s="7"/>
      <c r="DUW157" s="51"/>
      <c r="DUX157" s="52"/>
      <c r="DUY157" s="53"/>
      <c r="DUZ157" s="54"/>
      <c r="DVA157" s="52"/>
      <c r="DVB157" s="53"/>
      <c r="DVC157" s="54"/>
      <c r="DVD157" s="52"/>
      <c r="DVE157" s="53"/>
      <c r="DVF157" s="8"/>
      <c r="DVG157" s="45"/>
      <c r="DVH157" s="45"/>
      <c r="DVI157" s="46"/>
      <c r="DVJ157" s="44"/>
      <c r="DVK157" s="7"/>
      <c r="DVL157" s="51"/>
      <c r="DVM157" s="52"/>
      <c r="DVN157" s="53"/>
      <c r="DVO157" s="54"/>
      <c r="DVP157" s="52"/>
      <c r="DVQ157" s="53"/>
      <c r="DVR157" s="54"/>
      <c r="DVS157" s="52"/>
      <c r="DVT157" s="53"/>
      <c r="DVU157" s="8"/>
      <c r="DVV157" s="45"/>
      <c r="DVW157" s="45"/>
      <c r="DVX157" s="46"/>
      <c r="DVY157" s="44"/>
      <c r="DVZ157" s="7"/>
      <c r="DWA157" s="51"/>
      <c r="DWB157" s="52"/>
      <c r="DWC157" s="53"/>
      <c r="DWD157" s="54"/>
      <c r="DWE157" s="52"/>
      <c r="DWF157" s="53"/>
      <c r="DWG157" s="54"/>
      <c r="DWH157" s="52"/>
      <c r="DWI157" s="53"/>
      <c r="DWJ157" s="8"/>
      <c r="DWK157" s="45"/>
      <c r="DWL157" s="45"/>
      <c r="DWM157" s="46"/>
      <c r="DWN157" s="44"/>
      <c r="DWO157" s="7"/>
      <c r="DWP157" s="51"/>
      <c r="DWQ157" s="52"/>
      <c r="DWR157" s="53"/>
      <c r="DWS157" s="54"/>
      <c r="DWT157" s="52"/>
      <c r="DWU157" s="53"/>
      <c r="DWV157" s="54"/>
      <c r="DWW157" s="52"/>
      <c r="DWX157" s="53"/>
      <c r="DWY157" s="8"/>
      <c r="DWZ157" s="45"/>
      <c r="DXA157" s="45"/>
      <c r="DXB157" s="46"/>
      <c r="DXC157" s="44"/>
      <c r="DXD157" s="7"/>
      <c r="DXE157" s="51"/>
      <c r="DXF157" s="52"/>
      <c r="DXG157" s="53"/>
      <c r="DXH157" s="54"/>
      <c r="DXI157" s="52"/>
      <c r="DXJ157" s="53"/>
      <c r="DXK157" s="54"/>
      <c r="DXL157" s="52"/>
      <c r="DXM157" s="53"/>
      <c r="DXN157" s="8"/>
      <c r="DXO157" s="45"/>
      <c r="DXP157" s="45"/>
      <c r="DXQ157" s="46"/>
      <c r="DXR157" s="44"/>
      <c r="DXS157" s="7"/>
      <c r="DXT157" s="51"/>
      <c r="DXU157" s="52"/>
      <c r="DXV157" s="53"/>
      <c r="DXW157" s="54"/>
      <c r="DXX157" s="52"/>
      <c r="DXY157" s="53"/>
      <c r="DXZ157" s="54"/>
      <c r="DYA157" s="52"/>
      <c r="DYB157" s="53"/>
      <c r="DYC157" s="8"/>
      <c r="DYD157" s="45"/>
      <c r="DYE157" s="45"/>
      <c r="DYF157" s="46"/>
      <c r="DYG157" s="44"/>
      <c r="DYH157" s="7"/>
      <c r="DYI157" s="51"/>
      <c r="DYJ157" s="52"/>
      <c r="DYK157" s="53"/>
      <c r="DYL157" s="54"/>
      <c r="DYM157" s="52"/>
      <c r="DYN157" s="53"/>
      <c r="DYO157" s="54"/>
      <c r="DYP157" s="52"/>
      <c r="DYQ157" s="53"/>
      <c r="DYR157" s="8"/>
      <c r="DYS157" s="45"/>
      <c r="DYT157" s="45"/>
      <c r="DYU157" s="46"/>
      <c r="DYV157" s="44"/>
      <c r="DYW157" s="7"/>
      <c r="DYX157" s="51"/>
      <c r="DYY157" s="52"/>
      <c r="DYZ157" s="53"/>
      <c r="DZA157" s="54"/>
      <c r="DZB157" s="52"/>
      <c r="DZC157" s="53"/>
      <c r="DZD157" s="54"/>
      <c r="DZE157" s="52"/>
      <c r="DZF157" s="53"/>
      <c r="DZG157" s="8"/>
      <c r="DZH157" s="45"/>
      <c r="DZI157" s="45"/>
      <c r="DZJ157" s="46"/>
      <c r="DZK157" s="44"/>
      <c r="DZL157" s="7"/>
      <c r="DZM157" s="51"/>
      <c r="DZN157" s="52"/>
      <c r="DZO157" s="53"/>
      <c r="DZP157" s="54"/>
      <c r="DZQ157" s="52"/>
      <c r="DZR157" s="53"/>
      <c r="DZS157" s="54"/>
      <c r="DZT157" s="52"/>
      <c r="DZU157" s="53"/>
      <c r="DZV157" s="8"/>
      <c r="DZW157" s="45"/>
      <c r="DZX157" s="45"/>
      <c r="DZY157" s="46"/>
      <c r="DZZ157" s="44"/>
      <c r="EAA157" s="7"/>
      <c r="EAB157" s="51"/>
      <c r="EAC157" s="52"/>
      <c r="EAD157" s="53"/>
      <c r="EAE157" s="54"/>
      <c r="EAF157" s="52"/>
      <c r="EAG157" s="53"/>
      <c r="EAH157" s="54"/>
      <c r="EAI157" s="52"/>
      <c r="EAJ157" s="53"/>
      <c r="EAK157" s="8"/>
      <c r="EAL157" s="45"/>
      <c r="EAM157" s="45"/>
      <c r="EAN157" s="46"/>
      <c r="EAO157" s="44"/>
      <c r="EAP157" s="7"/>
      <c r="EAQ157" s="51"/>
      <c r="EAR157" s="52"/>
      <c r="EAS157" s="53"/>
      <c r="EAT157" s="54"/>
      <c r="EAU157" s="52"/>
      <c r="EAV157" s="53"/>
      <c r="EAW157" s="54"/>
      <c r="EAX157" s="52"/>
      <c r="EAY157" s="53"/>
      <c r="EAZ157" s="8"/>
      <c r="EBA157" s="45"/>
      <c r="EBB157" s="45"/>
      <c r="EBC157" s="46"/>
      <c r="EBD157" s="44"/>
      <c r="EBE157" s="7"/>
      <c r="EBF157" s="51"/>
      <c r="EBG157" s="52"/>
      <c r="EBH157" s="53"/>
      <c r="EBI157" s="54"/>
      <c r="EBJ157" s="52"/>
      <c r="EBK157" s="53"/>
      <c r="EBL157" s="54"/>
      <c r="EBM157" s="52"/>
      <c r="EBN157" s="53"/>
      <c r="EBO157" s="8"/>
      <c r="EBP157" s="45"/>
      <c r="EBQ157" s="45"/>
      <c r="EBR157" s="46"/>
      <c r="EBS157" s="44"/>
      <c r="EBT157" s="7"/>
      <c r="EBU157" s="51"/>
      <c r="EBV157" s="52"/>
      <c r="EBW157" s="53"/>
      <c r="EBX157" s="54"/>
      <c r="EBY157" s="52"/>
      <c r="EBZ157" s="53"/>
      <c r="ECA157" s="54"/>
      <c r="ECB157" s="52"/>
      <c r="ECC157" s="53"/>
      <c r="ECD157" s="8"/>
      <c r="ECE157" s="45"/>
      <c r="ECF157" s="45"/>
      <c r="ECG157" s="46"/>
      <c r="ECH157" s="44"/>
      <c r="ECI157" s="7"/>
      <c r="ECJ157" s="51"/>
      <c r="ECK157" s="52"/>
      <c r="ECL157" s="53"/>
      <c r="ECM157" s="54"/>
      <c r="ECN157" s="52"/>
      <c r="ECO157" s="53"/>
      <c r="ECP157" s="54"/>
      <c r="ECQ157" s="52"/>
      <c r="ECR157" s="53"/>
      <c r="ECS157" s="8"/>
      <c r="ECT157" s="45"/>
      <c r="ECU157" s="45"/>
      <c r="ECV157" s="46"/>
      <c r="ECW157" s="44"/>
      <c r="ECX157" s="7"/>
      <c r="ECY157" s="51"/>
      <c r="ECZ157" s="52"/>
      <c r="EDA157" s="53"/>
      <c r="EDB157" s="54"/>
      <c r="EDC157" s="52"/>
      <c r="EDD157" s="53"/>
      <c r="EDE157" s="54"/>
      <c r="EDF157" s="52"/>
      <c r="EDG157" s="53"/>
      <c r="EDH157" s="8"/>
      <c r="EDI157" s="45"/>
      <c r="EDJ157" s="45"/>
      <c r="EDK157" s="46"/>
      <c r="EDL157" s="44"/>
      <c r="EDM157" s="7"/>
      <c r="EDN157" s="51"/>
      <c r="EDO157" s="52"/>
      <c r="EDP157" s="53"/>
      <c r="EDQ157" s="54"/>
      <c r="EDR157" s="52"/>
      <c r="EDS157" s="53"/>
      <c r="EDT157" s="54"/>
      <c r="EDU157" s="52"/>
      <c r="EDV157" s="53"/>
      <c r="EDW157" s="8"/>
      <c r="EDX157" s="45"/>
      <c r="EDY157" s="45"/>
      <c r="EDZ157" s="46"/>
      <c r="EEA157" s="44"/>
      <c r="EEB157" s="7"/>
      <c r="EEC157" s="51"/>
      <c r="EED157" s="52"/>
      <c r="EEE157" s="53"/>
      <c r="EEF157" s="54"/>
      <c r="EEG157" s="52"/>
      <c r="EEH157" s="53"/>
      <c r="EEI157" s="54"/>
      <c r="EEJ157" s="52"/>
      <c r="EEK157" s="53"/>
      <c r="EEL157" s="8"/>
      <c r="EEM157" s="45"/>
      <c r="EEN157" s="45"/>
      <c r="EEO157" s="46"/>
      <c r="EEP157" s="44"/>
      <c r="EEQ157" s="7"/>
      <c r="EER157" s="51"/>
      <c r="EES157" s="52"/>
      <c r="EET157" s="53"/>
      <c r="EEU157" s="54"/>
      <c r="EEV157" s="52"/>
      <c r="EEW157" s="53"/>
      <c r="EEX157" s="54"/>
      <c r="EEY157" s="52"/>
      <c r="EEZ157" s="53"/>
      <c r="EFA157" s="8"/>
      <c r="EFB157" s="45"/>
      <c r="EFC157" s="45"/>
      <c r="EFD157" s="46"/>
      <c r="EFE157" s="44"/>
      <c r="EFF157" s="7"/>
      <c r="EFG157" s="51"/>
      <c r="EFH157" s="52"/>
      <c r="EFI157" s="53"/>
      <c r="EFJ157" s="54"/>
      <c r="EFK157" s="52"/>
      <c r="EFL157" s="53"/>
      <c r="EFM157" s="54"/>
      <c r="EFN157" s="52"/>
      <c r="EFO157" s="53"/>
      <c r="EFP157" s="8"/>
      <c r="EFQ157" s="45"/>
      <c r="EFR157" s="45"/>
      <c r="EFS157" s="46"/>
      <c r="EFT157" s="44"/>
      <c r="EFU157" s="7"/>
      <c r="EFV157" s="51"/>
      <c r="EFW157" s="52"/>
      <c r="EFX157" s="53"/>
      <c r="EFY157" s="54"/>
      <c r="EFZ157" s="52"/>
      <c r="EGA157" s="53"/>
      <c r="EGB157" s="54"/>
      <c r="EGC157" s="52"/>
      <c r="EGD157" s="53"/>
      <c r="EGE157" s="8"/>
      <c r="EGF157" s="45"/>
      <c r="EGG157" s="45"/>
      <c r="EGH157" s="46"/>
      <c r="EGI157" s="44"/>
      <c r="EGJ157" s="7"/>
      <c r="EGK157" s="51"/>
      <c r="EGL157" s="52"/>
      <c r="EGM157" s="53"/>
      <c r="EGN157" s="54"/>
      <c r="EGO157" s="52"/>
      <c r="EGP157" s="53"/>
      <c r="EGQ157" s="54"/>
      <c r="EGR157" s="52"/>
      <c r="EGS157" s="53"/>
      <c r="EGT157" s="8"/>
      <c r="EGU157" s="45"/>
      <c r="EGV157" s="45"/>
      <c r="EGW157" s="46"/>
      <c r="EGX157" s="44"/>
      <c r="EGY157" s="7"/>
      <c r="EGZ157" s="51"/>
      <c r="EHA157" s="52"/>
      <c r="EHB157" s="53"/>
      <c r="EHC157" s="54"/>
      <c r="EHD157" s="52"/>
      <c r="EHE157" s="53"/>
      <c r="EHF157" s="54"/>
      <c r="EHG157" s="52"/>
      <c r="EHH157" s="53"/>
      <c r="EHI157" s="8"/>
      <c r="EHJ157" s="45"/>
      <c r="EHK157" s="45"/>
      <c r="EHL157" s="46"/>
      <c r="EHM157" s="44"/>
      <c r="EHN157" s="7"/>
      <c r="EHO157" s="51"/>
      <c r="EHP157" s="52"/>
      <c r="EHQ157" s="53"/>
      <c r="EHR157" s="54"/>
      <c r="EHS157" s="52"/>
      <c r="EHT157" s="53"/>
      <c r="EHU157" s="54"/>
      <c r="EHV157" s="52"/>
      <c r="EHW157" s="53"/>
      <c r="EHX157" s="8"/>
      <c r="EHY157" s="45"/>
      <c r="EHZ157" s="45"/>
      <c r="EIA157" s="46"/>
      <c r="EIB157" s="44"/>
      <c r="EIC157" s="7"/>
      <c r="EID157" s="51"/>
      <c r="EIE157" s="52"/>
      <c r="EIF157" s="53"/>
      <c r="EIG157" s="54"/>
      <c r="EIH157" s="52"/>
      <c r="EII157" s="53"/>
      <c r="EIJ157" s="54"/>
      <c r="EIK157" s="52"/>
      <c r="EIL157" s="53"/>
      <c r="EIM157" s="8"/>
      <c r="EIN157" s="45"/>
      <c r="EIO157" s="45"/>
      <c r="EIP157" s="46"/>
      <c r="EIQ157" s="44"/>
      <c r="EIR157" s="7"/>
      <c r="EIS157" s="51"/>
      <c r="EIT157" s="52"/>
      <c r="EIU157" s="53"/>
      <c r="EIV157" s="54"/>
      <c r="EIW157" s="52"/>
      <c r="EIX157" s="53"/>
      <c r="EIY157" s="54"/>
      <c r="EIZ157" s="52"/>
      <c r="EJA157" s="53"/>
      <c r="EJB157" s="8"/>
      <c r="EJC157" s="45"/>
      <c r="EJD157" s="45"/>
      <c r="EJE157" s="46"/>
      <c r="EJF157" s="44"/>
      <c r="EJG157" s="7"/>
      <c r="EJH157" s="51"/>
      <c r="EJI157" s="52"/>
      <c r="EJJ157" s="53"/>
      <c r="EJK157" s="54"/>
      <c r="EJL157" s="52"/>
      <c r="EJM157" s="53"/>
      <c r="EJN157" s="54"/>
      <c r="EJO157" s="52"/>
      <c r="EJP157" s="53"/>
      <c r="EJQ157" s="8"/>
      <c r="EJR157" s="45"/>
      <c r="EJS157" s="45"/>
      <c r="EJT157" s="46"/>
      <c r="EJU157" s="44"/>
      <c r="EJV157" s="7"/>
      <c r="EJW157" s="51"/>
      <c r="EJX157" s="52"/>
      <c r="EJY157" s="53"/>
      <c r="EJZ157" s="54"/>
      <c r="EKA157" s="52"/>
      <c r="EKB157" s="53"/>
      <c r="EKC157" s="54"/>
      <c r="EKD157" s="52"/>
      <c r="EKE157" s="53"/>
      <c r="EKF157" s="8"/>
      <c r="EKG157" s="45"/>
      <c r="EKH157" s="45"/>
      <c r="EKI157" s="46"/>
      <c r="EKJ157" s="44"/>
      <c r="EKK157" s="7"/>
      <c r="EKL157" s="51"/>
      <c r="EKM157" s="52"/>
      <c r="EKN157" s="53"/>
      <c r="EKO157" s="54"/>
      <c r="EKP157" s="52"/>
      <c r="EKQ157" s="53"/>
      <c r="EKR157" s="54"/>
      <c r="EKS157" s="52"/>
      <c r="EKT157" s="53"/>
      <c r="EKU157" s="8"/>
      <c r="EKV157" s="45"/>
      <c r="EKW157" s="45"/>
      <c r="EKX157" s="46"/>
      <c r="EKY157" s="44"/>
      <c r="EKZ157" s="7"/>
      <c r="ELA157" s="51"/>
      <c r="ELB157" s="52"/>
      <c r="ELC157" s="53"/>
      <c r="ELD157" s="54"/>
      <c r="ELE157" s="52"/>
      <c r="ELF157" s="53"/>
      <c r="ELG157" s="54"/>
      <c r="ELH157" s="52"/>
      <c r="ELI157" s="53"/>
      <c r="ELJ157" s="8"/>
      <c r="ELK157" s="45"/>
      <c r="ELL157" s="45"/>
      <c r="ELM157" s="46"/>
      <c r="ELN157" s="44"/>
      <c r="ELO157" s="7"/>
      <c r="ELP157" s="51"/>
      <c r="ELQ157" s="52"/>
      <c r="ELR157" s="53"/>
      <c r="ELS157" s="54"/>
      <c r="ELT157" s="52"/>
      <c r="ELU157" s="53"/>
      <c r="ELV157" s="54"/>
      <c r="ELW157" s="52"/>
      <c r="ELX157" s="53"/>
      <c r="ELY157" s="8"/>
      <c r="ELZ157" s="45"/>
      <c r="EMA157" s="45"/>
      <c r="EMB157" s="46"/>
      <c r="EMC157" s="44"/>
      <c r="EMD157" s="7"/>
      <c r="EME157" s="51"/>
      <c r="EMF157" s="52"/>
      <c r="EMG157" s="53"/>
      <c r="EMH157" s="54"/>
      <c r="EMI157" s="52"/>
      <c r="EMJ157" s="53"/>
      <c r="EMK157" s="54"/>
      <c r="EML157" s="52"/>
      <c r="EMM157" s="53"/>
      <c r="EMN157" s="8"/>
      <c r="EMO157" s="45"/>
      <c r="EMP157" s="45"/>
      <c r="EMQ157" s="46"/>
      <c r="EMR157" s="44"/>
      <c r="EMS157" s="7"/>
      <c r="EMT157" s="51"/>
      <c r="EMU157" s="52"/>
      <c r="EMV157" s="53"/>
      <c r="EMW157" s="54"/>
      <c r="EMX157" s="52"/>
      <c r="EMY157" s="53"/>
      <c r="EMZ157" s="54"/>
      <c r="ENA157" s="52"/>
      <c r="ENB157" s="53"/>
      <c r="ENC157" s="8"/>
      <c r="END157" s="45"/>
      <c r="ENE157" s="45"/>
      <c r="ENF157" s="46"/>
      <c r="ENG157" s="44"/>
      <c r="ENH157" s="7"/>
      <c r="ENI157" s="51"/>
      <c r="ENJ157" s="52"/>
      <c r="ENK157" s="53"/>
      <c r="ENL157" s="54"/>
      <c r="ENM157" s="52"/>
      <c r="ENN157" s="53"/>
      <c r="ENO157" s="54"/>
      <c r="ENP157" s="52"/>
      <c r="ENQ157" s="53"/>
      <c r="ENR157" s="8"/>
      <c r="ENS157" s="45"/>
      <c r="ENT157" s="45"/>
      <c r="ENU157" s="46"/>
      <c r="ENV157" s="44"/>
      <c r="ENW157" s="7"/>
      <c r="ENX157" s="51"/>
      <c r="ENY157" s="52"/>
      <c r="ENZ157" s="53"/>
      <c r="EOA157" s="54"/>
      <c r="EOB157" s="52"/>
      <c r="EOC157" s="53"/>
      <c r="EOD157" s="54"/>
      <c r="EOE157" s="52"/>
      <c r="EOF157" s="53"/>
      <c r="EOG157" s="8"/>
      <c r="EOH157" s="45"/>
      <c r="EOI157" s="45"/>
      <c r="EOJ157" s="46"/>
      <c r="EOK157" s="44"/>
      <c r="EOL157" s="7"/>
      <c r="EOM157" s="51"/>
      <c r="EON157" s="52"/>
      <c r="EOO157" s="53"/>
      <c r="EOP157" s="54"/>
      <c r="EOQ157" s="52"/>
      <c r="EOR157" s="53"/>
      <c r="EOS157" s="54"/>
      <c r="EOT157" s="52"/>
      <c r="EOU157" s="53"/>
      <c r="EOV157" s="8"/>
      <c r="EOW157" s="45"/>
      <c r="EOX157" s="45"/>
      <c r="EOY157" s="46"/>
      <c r="EOZ157" s="44"/>
      <c r="EPA157" s="7"/>
      <c r="EPB157" s="51"/>
      <c r="EPC157" s="52"/>
      <c r="EPD157" s="53"/>
      <c r="EPE157" s="54"/>
      <c r="EPF157" s="52"/>
      <c r="EPG157" s="53"/>
      <c r="EPH157" s="54"/>
      <c r="EPI157" s="52"/>
      <c r="EPJ157" s="53"/>
      <c r="EPK157" s="8"/>
      <c r="EPL157" s="45"/>
      <c r="EPM157" s="45"/>
      <c r="EPN157" s="46"/>
      <c r="EPO157" s="44"/>
      <c r="EPP157" s="7"/>
      <c r="EPQ157" s="51"/>
      <c r="EPR157" s="52"/>
      <c r="EPS157" s="53"/>
      <c r="EPT157" s="54"/>
      <c r="EPU157" s="52"/>
      <c r="EPV157" s="53"/>
      <c r="EPW157" s="54"/>
      <c r="EPX157" s="52"/>
      <c r="EPY157" s="53"/>
      <c r="EPZ157" s="8"/>
      <c r="EQA157" s="45"/>
      <c r="EQB157" s="45"/>
      <c r="EQC157" s="46"/>
      <c r="EQD157" s="44"/>
      <c r="EQE157" s="7"/>
      <c r="EQF157" s="51"/>
      <c r="EQG157" s="52"/>
      <c r="EQH157" s="53"/>
      <c r="EQI157" s="54"/>
      <c r="EQJ157" s="52"/>
      <c r="EQK157" s="53"/>
      <c r="EQL157" s="54"/>
      <c r="EQM157" s="52"/>
      <c r="EQN157" s="53"/>
      <c r="EQO157" s="8"/>
      <c r="EQP157" s="45"/>
      <c r="EQQ157" s="45"/>
      <c r="EQR157" s="46"/>
      <c r="EQS157" s="44"/>
      <c r="EQT157" s="7"/>
      <c r="EQU157" s="51"/>
      <c r="EQV157" s="52"/>
      <c r="EQW157" s="53"/>
      <c r="EQX157" s="54"/>
      <c r="EQY157" s="52"/>
      <c r="EQZ157" s="53"/>
      <c r="ERA157" s="54"/>
      <c r="ERB157" s="52"/>
      <c r="ERC157" s="53"/>
      <c r="ERD157" s="8"/>
      <c r="ERE157" s="45"/>
      <c r="ERF157" s="45"/>
      <c r="ERG157" s="46"/>
      <c r="ERH157" s="44"/>
      <c r="ERI157" s="7"/>
      <c r="ERJ157" s="51"/>
      <c r="ERK157" s="52"/>
      <c r="ERL157" s="53"/>
      <c r="ERM157" s="54"/>
      <c r="ERN157" s="52"/>
      <c r="ERO157" s="53"/>
      <c r="ERP157" s="54"/>
      <c r="ERQ157" s="52"/>
      <c r="ERR157" s="53"/>
      <c r="ERS157" s="8"/>
      <c r="ERT157" s="45"/>
      <c r="ERU157" s="45"/>
      <c r="ERV157" s="46"/>
      <c r="ERW157" s="44"/>
      <c r="ERX157" s="7"/>
      <c r="ERY157" s="51"/>
      <c r="ERZ157" s="52"/>
      <c r="ESA157" s="53"/>
      <c r="ESB157" s="54"/>
      <c r="ESC157" s="52"/>
      <c r="ESD157" s="53"/>
      <c r="ESE157" s="54"/>
      <c r="ESF157" s="52"/>
      <c r="ESG157" s="53"/>
      <c r="ESH157" s="8"/>
      <c r="ESI157" s="45"/>
      <c r="ESJ157" s="45"/>
      <c r="ESK157" s="46"/>
      <c r="ESL157" s="44"/>
      <c r="ESM157" s="7"/>
      <c r="ESN157" s="51"/>
      <c r="ESO157" s="52"/>
      <c r="ESP157" s="53"/>
      <c r="ESQ157" s="54"/>
      <c r="ESR157" s="52"/>
      <c r="ESS157" s="53"/>
      <c r="EST157" s="54"/>
      <c r="ESU157" s="52"/>
      <c r="ESV157" s="53"/>
      <c r="ESW157" s="8"/>
      <c r="ESX157" s="45"/>
      <c r="ESY157" s="45"/>
      <c r="ESZ157" s="46"/>
      <c r="ETA157" s="44"/>
      <c r="ETB157" s="7"/>
      <c r="ETC157" s="51"/>
      <c r="ETD157" s="52"/>
      <c r="ETE157" s="53"/>
      <c r="ETF157" s="54"/>
      <c r="ETG157" s="52"/>
      <c r="ETH157" s="53"/>
      <c r="ETI157" s="54"/>
      <c r="ETJ157" s="52"/>
      <c r="ETK157" s="53"/>
      <c r="ETL157" s="8"/>
      <c r="ETM157" s="45"/>
      <c r="ETN157" s="45"/>
      <c r="ETO157" s="46"/>
      <c r="ETP157" s="44"/>
      <c r="ETQ157" s="7"/>
      <c r="ETR157" s="51"/>
      <c r="ETS157" s="52"/>
      <c r="ETT157" s="53"/>
      <c r="ETU157" s="54"/>
      <c r="ETV157" s="52"/>
      <c r="ETW157" s="53"/>
      <c r="ETX157" s="54"/>
      <c r="ETY157" s="52"/>
      <c r="ETZ157" s="53"/>
      <c r="EUA157" s="8"/>
      <c r="EUB157" s="45"/>
      <c r="EUC157" s="45"/>
      <c r="EUD157" s="46"/>
      <c r="EUE157" s="44"/>
      <c r="EUF157" s="7"/>
      <c r="EUG157" s="51"/>
      <c r="EUH157" s="52"/>
      <c r="EUI157" s="53"/>
      <c r="EUJ157" s="54"/>
      <c r="EUK157" s="52"/>
      <c r="EUL157" s="53"/>
      <c r="EUM157" s="54"/>
      <c r="EUN157" s="52"/>
      <c r="EUO157" s="53"/>
      <c r="EUP157" s="8"/>
      <c r="EUQ157" s="45"/>
      <c r="EUR157" s="45"/>
      <c r="EUS157" s="46"/>
      <c r="EUT157" s="44"/>
      <c r="EUU157" s="7"/>
      <c r="EUV157" s="51"/>
      <c r="EUW157" s="52"/>
      <c r="EUX157" s="53"/>
      <c r="EUY157" s="54"/>
      <c r="EUZ157" s="52"/>
      <c r="EVA157" s="53"/>
      <c r="EVB157" s="54"/>
      <c r="EVC157" s="52"/>
      <c r="EVD157" s="53"/>
      <c r="EVE157" s="8"/>
      <c r="EVF157" s="45"/>
      <c r="EVG157" s="45"/>
      <c r="EVH157" s="46"/>
      <c r="EVI157" s="44"/>
      <c r="EVJ157" s="7"/>
      <c r="EVK157" s="51"/>
      <c r="EVL157" s="52"/>
      <c r="EVM157" s="53"/>
      <c r="EVN157" s="54"/>
      <c r="EVO157" s="52"/>
      <c r="EVP157" s="53"/>
      <c r="EVQ157" s="54"/>
      <c r="EVR157" s="52"/>
      <c r="EVS157" s="53"/>
      <c r="EVT157" s="8"/>
      <c r="EVU157" s="45"/>
      <c r="EVV157" s="45"/>
      <c r="EVW157" s="46"/>
      <c r="EVX157" s="44"/>
      <c r="EVY157" s="7"/>
      <c r="EVZ157" s="51"/>
      <c r="EWA157" s="52"/>
      <c r="EWB157" s="53"/>
      <c r="EWC157" s="54"/>
      <c r="EWD157" s="52"/>
      <c r="EWE157" s="53"/>
      <c r="EWF157" s="54"/>
      <c r="EWG157" s="52"/>
      <c r="EWH157" s="53"/>
      <c r="EWI157" s="8"/>
      <c r="EWJ157" s="45"/>
      <c r="EWK157" s="45"/>
      <c r="EWL157" s="46"/>
      <c r="EWM157" s="44"/>
      <c r="EWN157" s="7"/>
      <c r="EWO157" s="51"/>
      <c r="EWP157" s="52"/>
      <c r="EWQ157" s="53"/>
      <c r="EWR157" s="54"/>
      <c r="EWS157" s="52"/>
      <c r="EWT157" s="53"/>
      <c r="EWU157" s="54"/>
      <c r="EWV157" s="52"/>
      <c r="EWW157" s="53"/>
      <c r="EWX157" s="8"/>
      <c r="EWY157" s="45"/>
      <c r="EWZ157" s="45"/>
      <c r="EXA157" s="46"/>
      <c r="EXB157" s="44"/>
      <c r="EXC157" s="7"/>
      <c r="EXD157" s="51"/>
      <c r="EXE157" s="52"/>
      <c r="EXF157" s="53"/>
      <c r="EXG157" s="54"/>
      <c r="EXH157" s="52"/>
      <c r="EXI157" s="53"/>
      <c r="EXJ157" s="54"/>
      <c r="EXK157" s="52"/>
      <c r="EXL157" s="53"/>
      <c r="EXM157" s="8"/>
      <c r="EXN157" s="45"/>
      <c r="EXO157" s="45"/>
      <c r="EXP157" s="46"/>
      <c r="EXQ157" s="44"/>
      <c r="EXR157" s="7"/>
      <c r="EXS157" s="51"/>
      <c r="EXT157" s="52"/>
      <c r="EXU157" s="53"/>
      <c r="EXV157" s="54"/>
      <c r="EXW157" s="52"/>
      <c r="EXX157" s="53"/>
      <c r="EXY157" s="54"/>
      <c r="EXZ157" s="52"/>
      <c r="EYA157" s="53"/>
      <c r="EYB157" s="8"/>
      <c r="EYC157" s="45"/>
      <c r="EYD157" s="45"/>
      <c r="EYE157" s="46"/>
      <c r="EYF157" s="44"/>
      <c r="EYG157" s="7"/>
      <c r="EYH157" s="51"/>
      <c r="EYI157" s="52"/>
      <c r="EYJ157" s="53"/>
      <c r="EYK157" s="54"/>
      <c r="EYL157" s="52"/>
      <c r="EYM157" s="53"/>
      <c r="EYN157" s="54"/>
      <c r="EYO157" s="52"/>
      <c r="EYP157" s="53"/>
      <c r="EYQ157" s="8"/>
      <c r="EYR157" s="45"/>
      <c r="EYS157" s="45"/>
      <c r="EYT157" s="46"/>
      <c r="EYU157" s="44"/>
      <c r="EYV157" s="7"/>
      <c r="EYW157" s="51"/>
      <c r="EYX157" s="52"/>
      <c r="EYY157" s="53"/>
      <c r="EYZ157" s="54"/>
      <c r="EZA157" s="52"/>
      <c r="EZB157" s="53"/>
      <c r="EZC157" s="54"/>
      <c r="EZD157" s="52"/>
      <c r="EZE157" s="53"/>
      <c r="EZF157" s="8"/>
      <c r="EZG157" s="45"/>
      <c r="EZH157" s="45"/>
      <c r="EZI157" s="46"/>
      <c r="EZJ157" s="44"/>
      <c r="EZK157" s="7"/>
      <c r="EZL157" s="51"/>
      <c r="EZM157" s="52"/>
      <c r="EZN157" s="53"/>
      <c r="EZO157" s="54"/>
      <c r="EZP157" s="52"/>
      <c r="EZQ157" s="53"/>
      <c r="EZR157" s="54"/>
      <c r="EZS157" s="52"/>
      <c r="EZT157" s="53"/>
      <c r="EZU157" s="8"/>
      <c r="EZV157" s="45"/>
      <c r="EZW157" s="45"/>
      <c r="EZX157" s="46"/>
      <c r="EZY157" s="44"/>
      <c r="EZZ157" s="7"/>
      <c r="FAA157" s="51"/>
      <c r="FAB157" s="52"/>
      <c r="FAC157" s="53"/>
      <c r="FAD157" s="54"/>
      <c r="FAE157" s="52"/>
      <c r="FAF157" s="53"/>
      <c r="FAG157" s="54"/>
      <c r="FAH157" s="52"/>
      <c r="FAI157" s="53"/>
      <c r="FAJ157" s="8"/>
      <c r="FAK157" s="45"/>
      <c r="FAL157" s="45"/>
      <c r="FAM157" s="46"/>
      <c r="FAN157" s="44"/>
      <c r="FAO157" s="7"/>
      <c r="FAP157" s="51"/>
      <c r="FAQ157" s="52"/>
      <c r="FAR157" s="53"/>
      <c r="FAS157" s="54"/>
      <c r="FAT157" s="52"/>
      <c r="FAU157" s="53"/>
      <c r="FAV157" s="54"/>
      <c r="FAW157" s="52"/>
      <c r="FAX157" s="53"/>
      <c r="FAY157" s="8"/>
      <c r="FAZ157" s="45"/>
      <c r="FBA157" s="45"/>
      <c r="FBB157" s="46"/>
      <c r="FBC157" s="44"/>
      <c r="FBD157" s="7"/>
      <c r="FBE157" s="51"/>
      <c r="FBF157" s="52"/>
      <c r="FBG157" s="53"/>
      <c r="FBH157" s="54"/>
      <c r="FBI157" s="52"/>
      <c r="FBJ157" s="53"/>
      <c r="FBK157" s="54"/>
      <c r="FBL157" s="52"/>
      <c r="FBM157" s="53"/>
      <c r="FBN157" s="8"/>
      <c r="FBO157" s="45"/>
      <c r="FBP157" s="45"/>
      <c r="FBQ157" s="46"/>
      <c r="FBR157" s="44"/>
      <c r="FBS157" s="7"/>
      <c r="FBT157" s="51"/>
      <c r="FBU157" s="52"/>
      <c r="FBV157" s="53"/>
      <c r="FBW157" s="54"/>
      <c r="FBX157" s="52"/>
      <c r="FBY157" s="53"/>
      <c r="FBZ157" s="54"/>
      <c r="FCA157" s="52"/>
      <c r="FCB157" s="53"/>
      <c r="FCC157" s="8"/>
      <c r="FCD157" s="45"/>
      <c r="FCE157" s="45"/>
      <c r="FCF157" s="46"/>
      <c r="FCG157" s="44"/>
      <c r="FCH157" s="7"/>
      <c r="FCI157" s="51"/>
      <c r="FCJ157" s="52"/>
      <c r="FCK157" s="53"/>
      <c r="FCL157" s="54"/>
      <c r="FCM157" s="52"/>
      <c r="FCN157" s="53"/>
      <c r="FCO157" s="54"/>
      <c r="FCP157" s="52"/>
      <c r="FCQ157" s="53"/>
      <c r="FCR157" s="8"/>
      <c r="FCS157" s="45"/>
      <c r="FCT157" s="45"/>
      <c r="FCU157" s="46"/>
      <c r="FCV157" s="44"/>
      <c r="FCW157" s="7"/>
      <c r="FCX157" s="51"/>
      <c r="FCY157" s="52"/>
      <c r="FCZ157" s="53"/>
      <c r="FDA157" s="54"/>
      <c r="FDB157" s="52"/>
      <c r="FDC157" s="53"/>
      <c r="FDD157" s="54"/>
      <c r="FDE157" s="52"/>
      <c r="FDF157" s="53"/>
      <c r="FDG157" s="8"/>
      <c r="FDH157" s="45"/>
      <c r="FDI157" s="45"/>
      <c r="FDJ157" s="46"/>
      <c r="FDK157" s="44"/>
      <c r="FDL157" s="7"/>
      <c r="FDM157" s="51"/>
      <c r="FDN157" s="52"/>
      <c r="FDO157" s="53"/>
      <c r="FDP157" s="54"/>
      <c r="FDQ157" s="52"/>
      <c r="FDR157" s="53"/>
      <c r="FDS157" s="54"/>
      <c r="FDT157" s="52"/>
      <c r="FDU157" s="53"/>
      <c r="FDV157" s="8"/>
      <c r="FDW157" s="45"/>
      <c r="FDX157" s="45"/>
      <c r="FDY157" s="46"/>
      <c r="FDZ157" s="44"/>
      <c r="FEA157" s="7"/>
      <c r="FEB157" s="51"/>
      <c r="FEC157" s="52"/>
      <c r="FED157" s="53"/>
      <c r="FEE157" s="54"/>
      <c r="FEF157" s="52"/>
      <c r="FEG157" s="53"/>
      <c r="FEH157" s="54"/>
      <c r="FEI157" s="52"/>
      <c r="FEJ157" s="53"/>
      <c r="FEK157" s="8"/>
      <c r="FEL157" s="45"/>
      <c r="FEM157" s="45"/>
      <c r="FEN157" s="46"/>
      <c r="FEO157" s="44"/>
      <c r="FEP157" s="7"/>
      <c r="FEQ157" s="51"/>
      <c r="FER157" s="52"/>
      <c r="FES157" s="53"/>
      <c r="FET157" s="54"/>
      <c r="FEU157" s="52"/>
      <c r="FEV157" s="53"/>
      <c r="FEW157" s="54"/>
      <c r="FEX157" s="52"/>
      <c r="FEY157" s="53"/>
      <c r="FEZ157" s="8"/>
      <c r="FFA157" s="45"/>
      <c r="FFB157" s="45"/>
      <c r="FFC157" s="46"/>
      <c r="FFD157" s="44"/>
      <c r="FFE157" s="7"/>
      <c r="FFF157" s="51"/>
      <c r="FFG157" s="52"/>
      <c r="FFH157" s="53"/>
      <c r="FFI157" s="54"/>
      <c r="FFJ157" s="52"/>
      <c r="FFK157" s="53"/>
      <c r="FFL157" s="54"/>
      <c r="FFM157" s="52"/>
      <c r="FFN157" s="53"/>
      <c r="FFO157" s="8"/>
      <c r="FFP157" s="45"/>
      <c r="FFQ157" s="45"/>
      <c r="FFR157" s="46"/>
      <c r="FFS157" s="44"/>
      <c r="FFT157" s="7"/>
      <c r="FFU157" s="51"/>
      <c r="FFV157" s="52"/>
      <c r="FFW157" s="53"/>
      <c r="FFX157" s="54"/>
      <c r="FFY157" s="52"/>
      <c r="FFZ157" s="53"/>
      <c r="FGA157" s="54"/>
      <c r="FGB157" s="52"/>
      <c r="FGC157" s="53"/>
      <c r="FGD157" s="8"/>
      <c r="FGE157" s="45"/>
      <c r="FGF157" s="45"/>
      <c r="FGG157" s="46"/>
      <c r="FGH157" s="44"/>
      <c r="FGI157" s="7"/>
      <c r="FGJ157" s="51"/>
      <c r="FGK157" s="52"/>
      <c r="FGL157" s="53"/>
      <c r="FGM157" s="54"/>
      <c r="FGN157" s="52"/>
      <c r="FGO157" s="53"/>
      <c r="FGP157" s="54"/>
      <c r="FGQ157" s="52"/>
      <c r="FGR157" s="53"/>
      <c r="FGS157" s="8"/>
      <c r="FGT157" s="45"/>
      <c r="FGU157" s="45"/>
      <c r="FGV157" s="46"/>
      <c r="FGW157" s="44"/>
      <c r="FGX157" s="7"/>
      <c r="FGY157" s="51"/>
      <c r="FGZ157" s="52"/>
      <c r="FHA157" s="53"/>
      <c r="FHB157" s="54"/>
      <c r="FHC157" s="52"/>
      <c r="FHD157" s="53"/>
      <c r="FHE157" s="54"/>
      <c r="FHF157" s="52"/>
      <c r="FHG157" s="53"/>
      <c r="FHH157" s="8"/>
      <c r="FHI157" s="45"/>
      <c r="FHJ157" s="45"/>
      <c r="FHK157" s="46"/>
      <c r="FHL157" s="44"/>
      <c r="FHM157" s="7"/>
      <c r="FHN157" s="51"/>
      <c r="FHO157" s="52"/>
      <c r="FHP157" s="53"/>
      <c r="FHQ157" s="54"/>
      <c r="FHR157" s="52"/>
      <c r="FHS157" s="53"/>
      <c r="FHT157" s="54"/>
      <c r="FHU157" s="52"/>
      <c r="FHV157" s="53"/>
      <c r="FHW157" s="8"/>
      <c r="FHX157" s="45"/>
      <c r="FHY157" s="45"/>
      <c r="FHZ157" s="46"/>
      <c r="FIA157" s="44"/>
      <c r="FIB157" s="7"/>
      <c r="FIC157" s="51"/>
      <c r="FID157" s="52"/>
      <c r="FIE157" s="53"/>
      <c r="FIF157" s="54"/>
      <c r="FIG157" s="52"/>
      <c r="FIH157" s="53"/>
      <c r="FII157" s="54"/>
      <c r="FIJ157" s="52"/>
      <c r="FIK157" s="53"/>
      <c r="FIL157" s="8"/>
      <c r="FIM157" s="45"/>
      <c r="FIN157" s="45"/>
      <c r="FIO157" s="46"/>
      <c r="FIP157" s="44"/>
      <c r="FIQ157" s="7"/>
      <c r="FIR157" s="51"/>
      <c r="FIS157" s="52"/>
      <c r="FIT157" s="53"/>
      <c r="FIU157" s="54"/>
      <c r="FIV157" s="52"/>
      <c r="FIW157" s="53"/>
      <c r="FIX157" s="54"/>
      <c r="FIY157" s="52"/>
      <c r="FIZ157" s="53"/>
      <c r="FJA157" s="8"/>
      <c r="FJB157" s="45"/>
      <c r="FJC157" s="45"/>
      <c r="FJD157" s="46"/>
      <c r="FJE157" s="44"/>
      <c r="FJF157" s="7"/>
      <c r="FJG157" s="51"/>
      <c r="FJH157" s="52"/>
      <c r="FJI157" s="53"/>
      <c r="FJJ157" s="54"/>
      <c r="FJK157" s="52"/>
      <c r="FJL157" s="53"/>
      <c r="FJM157" s="54"/>
      <c r="FJN157" s="52"/>
      <c r="FJO157" s="53"/>
      <c r="FJP157" s="8"/>
      <c r="FJQ157" s="45"/>
      <c r="FJR157" s="45"/>
      <c r="FJS157" s="46"/>
      <c r="FJT157" s="44"/>
      <c r="FJU157" s="7"/>
      <c r="FJV157" s="51"/>
      <c r="FJW157" s="52"/>
      <c r="FJX157" s="53"/>
      <c r="FJY157" s="54"/>
      <c r="FJZ157" s="52"/>
      <c r="FKA157" s="53"/>
      <c r="FKB157" s="54"/>
      <c r="FKC157" s="52"/>
      <c r="FKD157" s="53"/>
      <c r="FKE157" s="8"/>
      <c r="FKF157" s="45"/>
      <c r="FKG157" s="45"/>
      <c r="FKH157" s="46"/>
      <c r="FKI157" s="44"/>
      <c r="FKJ157" s="7"/>
      <c r="FKK157" s="51"/>
      <c r="FKL157" s="52"/>
      <c r="FKM157" s="53"/>
      <c r="FKN157" s="54"/>
      <c r="FKO157" s="52"/>
      <c r="FKP157" s="53"/>
      <c r="FKQ157" s="54"/>
      <c r="FKR157" s="52"/>
      <c r="FKS157" s="53"/>
      <c r="FKT157" s="8"/>
      <c r="FKU157" s="45"/>
      <c r="FKV157" s="45"/>
      <c r="FKW157" s="46"/>
      <c r="FKX157" s="44"/>
      <c r="FKY157" s="7"/>
      <c r="FKZ157" s="51"/>
      <c r="FLA157" s="52"/>
      <c r="FLB157" s="53"/>
      <c r="FLC157" s="54"/>
      <c r="FLD157" s="52"/>
      <c r="FLE157" s="53"/>
      <c r="FLF157" s="54"/>
      <c r="FLG157" s="52"/>
      <c r="FLH157" s="53"/>
      <c r="FLI157" s="8"/>
      <c r="FLJ157" s="45"/>
      <c r="FLK157" s="45"/>
      <c r="FLL157" s="46"/>
      <c r="FLM157" s="44"/>
      <c r="FLN157" s="7"/>
      <c r="FLO157" s="51"/>
      <c r="FLP157" s="52"/>
      <c r="FLQ157" s="53"/>
      <c r="FLR157" s="54"/>
      <c r="FLS157" s="52"/>
      <c r="FLT157" s="53"/>
      <c r="FLU157" s="54"/>
      <c r="FLV157" s="52"/>
      <c r="FLW157" s="53"/>
      <c r="FLX157" s="8"/>
      <c r="FLY157" s="45"/>
      <c r="FLZ157" s="45"/>
      <c r="FMA157" s="46"/>
      <c r="FMB157" s="44"/>
      <c r="FMC157" s="7"/>
      <c r="FMD157" s="51"/>
      <c r="FME157" s="52"/>
      <c r="FMF157" s="53"/>
      <c r="FMG157" s="54"/>
      <c r="FMH157" s="52"/>
      <c r="FMI157" s="53"/>
      <c r="FMJ157" s="54"/>
      <c r="FMK157" s="52"/>
      <c r="FML157" s="53"/>
      <c r="FMM157" s="8"/>
      <c r="FMN157" s="45"/>
      <c r="FMO157" s="45"/>
      <c r="FMP157" s="46"/>
      <c r="FMQ157" s="44"/>
      <c r="FMR157" s="7"/>
      <c r="FMS157" s="51"/>
      <c r="FMT157" s="52"/>
      <c r="FMU157" s="53"/>
      <c r="FMV157" s="54"/>
      <c r="FMW157" s="52"/>
      <c r="FMX157" s="53"/>
      <c r="FMY157" s="54"/>
      <c r="FMZ157" s="52"/>
      <c r="FNA157" s="53"/>
      <c r="FNB157" s="8"/>
      <c r="FNC157" s="45"/>
      <c r="FND157" s="45"/>
      <c r="FNE157" s="46"/>
      <c r="FNF157" s="44"/>
      <c r="FNG157" s="7"/>
      <c r="FNH157" s="51"/>
      <c r="FNI157" s="52"/>
      <c r="FNJ157" s="53"/>
      <c r="FNK157" s="54"/>
      <c r="FNL157" s="52"/>
      <c r="FNM157" s="53"/>
      <c r="FNN157" s="54"/>
      <c r="FNO157" s="52"/>
      <c r="FNP157" s="53"/>
      <c r="FNQ157" s="8"/>
      <c r="FNR157" s="45"/>
      <c r="FNS157" s="45"/>
      <c r="FNT157" s="46"/>
      <c r="FNU157" s="44"/>
      <c r="FNV157" s="7"/>
      <c r="FNW157" s="51"/>
      <c r="FNX157" s="52"/>
      <c r="FNY157" s="53"/>
      <c r="FNZ157" s="54"/>
      <c r="FOA157" s="52"/>
      <c r="FOB157" s="53"/>
      <c r="FOC157" s="54"/>
      <c r="FOD157" s="52"/>
      <c r="FOE157" s="53"/>
      <c r="FOF157" s="8"/>
      <c r="FOG157" s="45"/>
      <c r="FOH157" s="45"/>
      <c r="FOI157" s="46"/>
      <c r="FOJ157" s="44"/>
      <c r="FOK157" s="7"/>
      <c r="FOL157" s="51"/>
      <c r="FOM157" s="52"/>
      <c r="FON157" s="53"/>
      <c r="FOO157" s="54"/>
      <c r="FOP157" s="52"/>
      <c r="FOQ157" s="53"/>
      <c r="FOR157" s="54"/>
      <c r="FOS157" s="52"/>
      <c r="FOT157" s="53"/>
      <c r="FOU157" s="8"/>
      <c r="FOV157" s="45"/>
      <c r="FOW157" s="45"/>
      <c r="FOX157" s="46"/>
      <c r="FOY157" s="44"/>
      <c r="FOZ157" s="7"/>
      <c r="FPA157" s="51"/>
      <c r="FPB157" s="52"/>
      <c r="FPC157" s="53"/>
      <c r="FPD157" s="54"/>
      <c r="FPE157" s="52"/>
      <c r="FPF157" s="53"/>
      <c r="FPG157" s="54"/>
      <c r="FPH157" s="52"/>
      <c r="FPI157" s="53"/>
      <c r="FPJ157" s="8"/>
      <c r="FPK157" s="45"/>
      <c r="FPL157" s="45"/>
      <c r="FPM157" s="46"/>
      <c r="FPN157" s="44"/>
      <c r="FPO157" s="7"/>
      <c r="FPP157" s="51"/>
      <c r="FPQ157" s="52"/>
      <c r="FPR157" s="53"/>
      <c r="FPS157" s="54"/>
      <c r="FPT157" s="52"/>
      <c r="FPU157" s="53"/>
      <c r="FPV157" s="54"/>
      <c r="FPW157" s="52"/>
      <c r="FPX157" s="53"/>
      <c r="FPY157" s="8"/>
      <c r="FPZ157" s="45"/>
      <c r="FQA157" s="45"/>
      <c r="FQB157" s="46"/>
      <c r="FQC157" s="44"/>
      <c r="FQD157" s="7"/>
      <c r="FQE157" s="51"/>
      <c r="FQF157" s="52"/>
      <c r="FQG157" s="53"/>
      <c r="FQH157" s="54"/>
      <c r="FQI157" s="52"/>
      <c r="FQJ157" s="53"/>
      <c r="FQK157" s="54"/>
      <c r="FQL157" s="52"/>
      <c r="FQM157" s="53"/>
      <c r="FQN157" s="8"/>
      <c r="FQO157" s="45"/>
      <c r="FQP157" s="45"/>
      <c r="FQQ157" s="46"/>
      <c r="FQR157" s="44"/>
      <c r="FQS157" s="7"/>
      <c r="FQT157" s="51"/>
      <c r="FQU157" s="52"/>
      <c r="FQV157" s="53"/>
      <c r="FQW157" s="54"/>
      <c r="FQX157" s="52"/>
      <c r="FQY157" s="53"/>
      <c r="FQZ157" s="54"/>
      <c r="FRA157" s="52"/>
      <c r="FRB157" s="53"/>
      <c r="FRC157" s="8"/>
      <c r="FRD157" s="45"/>
      <c r="FRE157" s="45"/>
      <c r="FRF157" s="46"/>
      <c r="FRG157" s="44"/>
      <c r="FRH157" s="7"/>
      <c r="FRI157" s="51"/>
      <c r="FRJ157" s="52"/>
      <c r="FRK157" s="53"/>
      <c r="FRL157" s="54"/>
      <c r="FRM157" s="52"/>
      <c r="FRN157" s="53"/>
      <c r="FRO157" s="54"/>
      <c r="FRP157" s="52"/>
      <c r="FRQ157" s="53"/>
      <c r="FRR157" s="8"/>
      <c r="FRS157" s="45"/>
      <c r="FRT157" s="45"/>
      <c r="FRU157" s="46"/>
      <c r="FRV157" s="44"/>
      <c r="FRW157" s="7"/>
      <c r="FRX157" s="51"/>
      <c r="FRY157" s="52"/>
      <c r="FRZ157" s="53"/>
      <c r="FSA157" s="54"/>
      <c r="FSB157" s="52"/>
      <c r="FSC157" s="53"/>
      <c r="FSD157" s="54"/>
      <c r="FSE157" s="52"/>
      <c r="FSF157" s="53"/>
      <c r="FSG157" s="8"/>
      <c r="FSH157" s="45"/>
      <c r="FSI157" s="45"/>
      <c r="FSJ157" s="46"/>
      <c r="FSK157" s="44"/>
      <c r="FSL157" s="7"/>
      <c r="FSM157" s="51"/>
      <c r="FSN157" s="52"/>
      <c r="FSO157" s="53"/>
      <c r="FSP157" s="54"/>
      <c r="FSQ157" s="52"/>
      <c r="FSR157" s="53"/>
      <c r="FSS157" s="54"/>
      <c r="FST157" s="52"/>
      <c r="FSU157" s="53"/>
      <c r="FSV157" s="8"/>
      <c r="FSW157" s="45"/>
      <c r="FSX157" s="45"/>
      <c r="FSY157" s="46"/>
      <c r="FSZ157" s="44"/>
      <c r="FTA157" s="7"/>
      <c r="FTB157" s="51"/>
      <c r="FTC157" s="52"/>
      <c r="FTD157" s="53"/>
      <c r="FTE157" s="54"/>
      <c r="FTF157" s="52"/>
      <c r="FTG157" s="53"/>
      <c r="FTH157" s="54"/>
      <c r="FTI157" s="52"/>
      <c r="FTJ157" s="53"/>
      <c r="FTK157" s="8"/>
      <c r="FTL157" s="45"/>
      <c r="FTM157" s="45"/>
      <c r="FTN157" s="46"/>
      <c r="FTO157" s="44"/>
      <c r="FTP157" s="7"/>
      <c r="FTQ157" s="51"/>
      <c r="FTR157" s="52"/>
      <c r="FTS157" s="53"/>
      <c r="FTT157" s="54"/>
      <c r="FTU157" s="52"/>
      <c r="FTV157" s="53"/>
      <c r="FTW157" s="54"/>
      <c r="FTX157" s="52"/>
      <c r="FTY157" s="53"/>
      <c r="FTZ157" s="8"/>
      <c r="FUA157" s="45"/>
      <c r="FUB157" s="45"/>
      <c r="FUC157" s="46"/>
      <c r="FUD157" s="44"/>
      <c r="FUE157" s="7"/>
      <c r="FUF157" s="51"/>
      <c r="FUG157" s="52"/>
      <c r="FUH157" s="53"/>
      <c r="FUI157" s="54"/>
      <c r="FUJ157" s="52"/>
      <c r="FUK157" s="53"/>
      <c r="FUL157" s="54"/>
      <c r="FUM157" s="52"/>
      <c r="FUN157" s="53"/>
      <c r="FUO157" s="8"/>
      <c r="FUP157" s="45"/>
      <c r="FUQ157" s="45"/>
      <c r="FUR157" s="46"/>
      <c r="FUS157" s="44"/>
      <c r="FUT157" s="7"/>
      <c r="FUU157" s="51"/>
      <c r="FUV157" s="52"/>
      <c r="FUW157" s="53"/>
      <c r="FUX157" s="54"/>
      <c r="FUY157" s="52"/>
      <c r="FUZ157" s="53"/>
      <c r="FVA157" s="54"/>
      <c r="FVB157" s="52"/>
      <c r="FVC157" s="53"/>
      <c r="FVD157" s="8"/>
      <c r="FVE157" s="45"/>
      <c r="FVF157" s="45"/>
      <c r="FVG157" s="46"/>
      <c r="FVH157" s="44"/>
      <c r="FVI157" s="7"/>
      <c r="FVJ157" s="51"/>
      <c r="FVK157" s="52"/>
      <c r="FVL157" s="53"/>
      <c r="FVM157" s="54"/>
      <c r="FVN157" s="52"/>
      <c r="FVO157" s="53"/>
      <c r="FVP157" s="54"/>
      <c r="FVQ157" s="52"/>
      <c r="FVR157" s="53"/>
      <c r="FVS157" s="8"/>
      <c r="FVT157" s="45"/>
      <c r="FVU157" s="45"/>
      <c r="FVV157" s="46"/>
      <c r="FVW157" s="44"/>
      <c r="FVX157" s="7"/>
      <c r="FVY157" s="51"/>
      <c r="FVZ157" s="52"/>
      <c r="FWA157" s="53"/>
      <c r="FWB157" s="54"/>
      <c r="FWC157" s="52"/>
      <c r="FWD157" s="53"/>
      <c r="FWE157" s="54"/>
      <c r="FWF157" s="52"/>
      <c r="FWG157" s="53"/>
      <c r="FWH157" s="8"/>
      <c r="FWI157" s="45"/>
      <c r="FWJ157" s="45"/>
      <c r="FWK157" s="46"/>
      <c r="FWL157" s="44"/>
      <c r="FWM157" s="7"/>
      <c r="FWN157" s="51"/>
      <c r="FWO157" s="52"/>
      <c r="FWP157" s="53"/>
      <c r="FWQ157" s="54"/>
      <c r="FWR157" s="52"/>
      <c r="FWS157" s="53"/>
      <c r="FWT157" s="54"/>
      <c r="FWU157" s="52"/>
      <c r="FWV157" s="53"/>
      <c r="FWW157" s="8"/>
      <c r="FWX157" s="45"/>
      <c r="FWY157" s="45"/>
      <c r="FWZ157" s="46"/>
      <c r="FXA157" s="44"/>
      <c r="FXB157" s="7"/>
      <c r="FXC157" s="51"/>
      <c r="FXD157" s="52"/>
      <c r="FXE157" s="53"/>
      <c r="FXF157" s="54"/>
      <c r="FXG157" s="52"/>
      <c r="FXH157" s="53"/>
      <c r="FXI157" s="54"/>
      <c r="FXJ157" s="52"/>
      <c r="FXK157" s="53"/>
      <c r="FXL157" s="8"/>
      <c r="FXM157" s="45"/>
      <c r="FXN157" s="45"/>
      <c r="FXO157" s="46"/>
      <c r="FXP157" s="44"/>
      <c r="FXQ157" s="7"/>
      <c r="FXR157" s="51"/>
      <c r="FXS157" s="52"/>
      <c r="FXT157" s="53"/>
      <c r="FXU157" s="54"/>
      <c r="FXV157" s="52"/>
      <c r="FXW157" s="53"/>
      <c r="FXX157" s="54"/>
      <c r="FXY157" s="52"/>
      <c r="FXZ157" s="53"/>
      <c r="FYA157" s="8"/>
      <c r="FYB157" s="45"/>
      <c r="FYC157" s="45"/>
      <c r="FYD157" s="46"/>
      <c r="FYE157" s="44"/>
      <c r="FYF157" s="7"/>
      <c r="FYG157" s="51"/>
      <c r="FYH157" s="52"/>
      <c r="FYI157" s="53"/>
      <c r="FYJ157" s="54"/>
      <c r="FYK157" s="52"/>
      <c r="FYL157" s="53"/>
      <c r="FYM157" s="54"/>
      <c r="FYN157" s="52"/>
      <c r="FYO157" s="53"/>
      <c r="FYP157" s="8"/>
      <c r="FYQ157" s="45"/>
      <c r="FYR157" s="45"/>
      <c r="FYS157" s="46"/>
      <c r="FYT157" s="44"/>
      <c r="FYU157" s="7"/>
      <c r="FYV157" s="51"/>
      <c r="FYW157" s="52"/>
      <c r="FYX157" s="53"/>
      <c r="FYY157" s="54"/>
      <c r="FYZ157" s="52"/>
      <c r="FZA157" s="53"/>
      <c r="FZB157" s="54"/>
      <c r="FZC157" s="52"/>
      <c r="FZD157" s="53"/>
      <c r="FZE157" s="8"/>
      <c r="FZF157" s="45"/>
      <c r="FZG157" s="45"/>
      <c r="FZH157" s="46"/>
      <c r="FZI157" s="44"/>
      <c r="FZJ157" s="7"/>
      <c r="FZK157" s="51"/>
      <c r="FZL157" s="52"/>
      <c r="FZM157" s="53"/>
      <c r="FZN157" s="54"/>
      <c r="FZO157" s="52"/>
      <c r="FZP157" s="53"/>
      <c r="FZQ157" s="54"/>
      <c r="FZR157" s="52"/>
      <c r="FZS157" s="53"/>
      <c r="FZT157" s="8"/>
      <c r="FZU157" s="45"/>
      <c r="FZV157" s="45"/>
      <c r="FZW157" s="46"/>
      <c r="FZX157" s="44"/>
      <c r="FZY157" s="7"/>
      <c r="FZZ157" s="51"/>
      <c r="GAA157" s="52"/>
      <c r="GAB157" s="53"/>
      <c r="GAC157" s="54"/>
      <c r="GAD157" s="52"/>
      <c r="GAE157" s="53"/>
      <c r="GAF157" s="54"/>
      <c r="GAG157" s="52"/>
      <c r="GAH157" s="53"/>
      <c r="GAI157" s="8"/>
      <c r="GAJ157" s="45"/>
      <c r="GAK157" s="45"/>
      <c r="GAL157" s="46"/>
      <c r="GAM157" s="44"/>
      <c r="GAN157" s="7"/>
      <c r="GAO157" s="51"/>
      <c r="GAP157" s="52"/>
      <c r="GAQ157" s="53"/>
      <c r="GAR157" s="54"/>
      <c r="GAS157" s="52"/>
      <c r="GAT157" s="53"/>
      <c r="GAU157" s="54"/>
      <c r="GAV157" s="52"/>
      <c r="GAW157" s="53"/>
      <c r="GAX157" s="8"/>
      <c r="GAY157" s="45"/>
      <c r="GAZ157" s="45"/>
      <c r="GBA157" s="46"/>
      <c r="GBB157" s="44"/>
      <c r="GBC157" s="7"/>
      <c r="GBD157" s="51"/>
      <c r="GBE157" s="52"/>
      <c r="GBF157" s="53"/>
      <c r="GBG157" s="54"/>
      <c r="GBH157" s="52"/>
      <c r="GBI157" s="53"/>
      <c r="GBJ157" s="54"/>
      <c r="GBK157" s="52"/>
      <c r="GBL157" s="53"/>
      <c r="GBM157" s="8"/>
      <c r="GBN157" s="45"/>
      <c r="GBO157" s="45"/>
      <c r="GBP157" s="46"/>
      <c r="GBQ157" s="44"/>
      <c r="GBR157" s="7"/>
      <c r="GBS157" s="51"/>
      <c r="GBT157" s="52"/>
      <c r="GBU157" s="53"/>
      <c r="GBV157" s="54"/>
      <c r="GBW157" s="52"/>
      <c r="GBX157" s="53"/>
      <c r="GBY157" s="54"/>
      <c r="GBZ157" s="52"/>
      <c r="GCA157" s="53"/>
      <c r="GCB157" s="8"/>
      <c r="GCC157" s="45"/>
      <c r="GCD157" s="45"/>
      <c r="GCE157" s="46"/>
      <c r="GCF157" s="44"/>
      <c r="GCG157" s="7"/>
      <c r="GCH157" s="51"/>
      <c r="GCI157" s="52"/>
      <c r="GCJ157" s="53"/>
      <c r="GCK157" s="54"/>
      <c r="GCL157" s="52"/>
      <c r="GCM157" s="53"/>
      <c r="GCN157" s="54"/>
      <c r="GCO157" s="52"/>
      <c r="GCP157" s="53"/>
      <c r="GCQ157" s="8"/>
      <c r="GCR157" s="45"/>
      <c r="GCS157" s="45"/>
      <c r="GCT157" s="46"/>
      <c r="GCU157" s="44"/>
      <c r="GCV157" s="7"/>
      <c r="GCW157" s="51"/>
      <c r="GCX157" s="52"/>
      <c r="GCY157" s="53"/>
      <c r="GCZ157" s="54"/>
      <c r="GDA157" s="52"/>
      <c r="GDB157" s="53"/>
      <c r="GDC157" s="54"/>
      <c r="GDD157" s="52"/>
      <c r="GDE157" s="53"/>
      <c r="GDF157" s="8"/>
      <c r="GDG157" s="45"/>
      <c r="GDH157" s="45"/>
      <c r="GDI157" s="46"/>
      <c r="GDJ157" s="44"/>
      <c r="GDK157" s="7"/>
      <c r="GDL157" s="51"/>
      <c r="GDM157" s="52"/>
      <c r="GDN157" s="53"/>
      <c r="GDO157" s="54"/>
      <c r="GDP157" s="52"/>
      <c r="GDQ157" s="53"/>
      <c r="GDR157" s="54"/>
      <c r="GDS157" s="52"/>
      <c r="GDT157" s="53"/>
      <c r="GDU157" s="8"/>
      <c r="GDV157" s="45"/>
      <c r="GDW157" s="45"/>
      <c r="GDX157" s="46"/>
      <c r="GDY157" s="44"/>
      <c r="GDZ157" s="7"/>
      <c r="GEA157" s="51"/>
      <c r="GEB157" s="52"/>
      <c r="GEC157" s="53"/>
      <c r="GED157" s="54"/>
      <c r="GEE157" s="52"/>
      <c r="GEF157" s="53"/>
      <c r="GEG157" s="54"/>
      <c r="GEH157" s="52"/>
      <c r="GEI157" s="53"/>
      <c r="GEJ157" s="8"/>
      <c r="GEK157" s="45"/>
      <c r="GEL157" s="45"/>
      <c r="GEM157" s="46"/>
      <c r="GEN157" s="44"/>
      <c r="GEO157" s="7"/>
      <c r="GEP157" s="51"/>
      <c r="GEQ157" s="52"/>
      <c r="GER157" s="53"/>
      <c r="GES157" s="54"/>
      <c r="GET157" s="52"/>
      <c r="GEU157" s="53"/>
      <c r="GEV157" s="54"/>
      <c r="GEW157" s="52"/>
      <c r="GEX157" s="53"/>
      <c r="GEY157" s="8"/>
      <c r="GEZ157" s="45"/>
      <c r="GFA157" s="45"/>
      <c r="GFB157" s="46"/>
      <c r="GFC157" s="44"/>
      <c r="GFD157" s="7"/>
      <c r="GFE157" s="51"/>
      <c r="GFF157" s="52"/>
      <c r="GFG157" s="53"/>
      <c r="GFH157" s="54"/>
      <c r="GFI157" s="52"/>
      <c r="GFJ157" s="53"/>
      <c r="GFK157" s="54"/>
      <c r="GFL157" s="52"/>
      <c r="GFM157" s="53"/>
      <c r="GFN157" s="8"/>
      <c r="GFO157" s="45"/>
      <c r="GFP157" s="45"/>
      <c r="GFQ157" s="46"/>
      <c r="GFR157" s="44"/>
      <c r="GFS157" s="7"/>
      <c r="GFT157" s="51"/>
      <c r="GFU157" s="52"/>
      <c r="GFV157" s="53"/>
      <c r="GFW157" s="54"/>
      <c r="GFX157" s="52"/>
      <c r="GFY157" s="53"/>
      <c r="GFZ157" s="54"/>
      <c r="GGA157" s="52"/>
      <c r="GGB157" s="53"/>
      <c r="GGC157" s="8"/>
      <c r="GGD157" s="45"/>
      <c r="GGE157" s="45"/>
      <c r="GGF157" s="46"/>
      <c r="GGG157" s="44"/>
      <c r="GGH157" s="7"/>
      <c r="GGI157" s="51"/>
      <c r="GGJ157" s="52"/>
      <c r="GGK157" s="53"/>
      <c r="GGL157" s="54"/>
      <c r="GGM157" s="52"/>
      <c r="GGN157" s="53"/>
      <c r="GGO157" s="54"/>
      <c r="GGP157" s="52"/>
      <c r="GGQ157" s="53"/>
      <c r="GGR157" s="8"/>
      <c r="GGS157" s="45"/>
      <c r="GGT157" s="45"/>
      <c r="GGU157" s="46"/>
      <c r="GGV157" s="44"/>
      <c r="GGW157" s="7"/>
      <c r="GGX157" s="51"/>
      <c r="GGY157" s="52"/>
      <c r="GGZ157" s="53"/>
      <c r="GHA157" s="54"/>
      <c r="GHB157" s="52"/>
      <c r="GHC157" s="53"/>
      <c r="GHD157" s="54"/>
      <c r="GHE157" s="52"/>
      <c r="GHF157" s="53"/>
      <c r="GHG157" s="8"/>
      <c r="GHH157" s="45"/>
      <c r="GHI157" s="45"/>
      <c r="GHJ157" s="46"/>
      <c r="GHK157" s="44"/>
      <c r="GHL157" s="7"/>
      <c r="GHM157" s="51"/>
      <c r="GHN157" s="52"/>
      <c r="GHO157" s="53"/>
      <c r="GHP157" s="54"/>
      <c r="GHQ157" s="52"/>
      <c r="GHR157" s="53"/>
      <c r="GHS157" s="54"/>
      <c r="GHT157" s="52"/>
      <c r="GHU157" s="53"/>
      <c r="GHV157" s="8"/>
      <c r="GHW157" s="45"/>
      <c r="GHX157" s="45"/>
      <c r="GHY157" s="46"/>
      <c r="GHZ157" s="44"/>
      <c r="GIA157" s="7"/>
      <c r="GIB157" s="51"/>
      <c r="GIC157" s="52"/>
      <c r="GID157" s="53"/>
      <c r="GIE157" s="54"/>
      <c r="GIF157" s="52"/>
      <c r="GIG157" s="53"/>
      <c r="GIH157" s="54"/>
      <c r="GII157" s="52"/>
      <c r="GIJ157" s="53"/>
      <c r="GIK157" s="8"/>
      <c r="GIL157" s="45"/>
      <c r="GIM157" s="45"/>
      <c r="GIN157" s="46"/>
      <c r="GIO157" s="44"/>
      <c r="GIP157" s="7"/>
      <c r="GIQ157" s="51"/>
      <c r="GIR157" s="52"/>
      <c r="GIS157" s="53"/>
      <c r="GIT157" s="54"/>
      <c r="GIU157" s="52"/>
      <c r="GIV157" s="53"/>
      <c r="GIW157" s="54"/>
      <c r="GIX157" s="52"/>
      <c r="GIY157" s="53"/>
      <c r="GIZ157" s="8"/>
      <c r="GJA157" s="45"/>
      <c r="GJB157" s="45"/>
      <c r="GJC157" s="46"/>
      <c r="GJD157" s="44"/>
      <c r="GJE157" s="7"/>
      <c r="GJF157" s="51"/>
      <c r="GJG157" s="52"/>
      <c r="GJH157" s="53"/>
      <c r="GJI157" s="54"/>
      <c r="GJJ157" s="52"/>
      <c r="GJK157" s="53"/>
      <c r="GJL157" s="54"/>
      <c r="GJM157" s="52"/>
      <c r="GJN157" s="53"/>
      <c r="GJO157" s="8"/>
      <c r="GJP157" s="45"/>
      <c r="GJQ157" s="45"/>
      <c r="GJR157" s="46"/>
      <c r="GJS157" s="44"/>
      <c r="GJT157" s="7"/>
      <c r="GJU157" s="51"/>
      <c r="GJV157" s="52"/>
      <c r="GJW157" s="53"/>
      <c r="GJX157" s="54"/>
      <c r="GJY157" s="52"/>
      <c r="GJZ157" s="53"/>
      <c r="GKA157" s="54"/>
      <c r="GKB157" s="52"/>
      <c r="GKC157" s="53"/>
      <c r="GKD157" s="8"/>
      <c r="GKE157" s="45"/>
      <c r="GKF157" s="45"/>
      <c r="GKG157" s="46"/>
      <c r="GKH157" s="44"/>
      <c r="GKI157" s="7"/>
      <c r="GKJ157" s="51"/>
      <c r="GKK157" s="52"/>
      <c r="GKL157" s="53"/>
      <c r="GKM157" s="54"/>
      <c r="GKN157" s="52"/>
      <c r="GKO157" s="53"/>
      <c r="GKP157" s="54"/>
      <c r="GKQ157" s="52"/>
      <c r="GKR157" s="53"/>
      <c r="GKS157" s="8"/>
      <c r="GKT157" s="45"/>
      <c r="GKU157" s="45"/>
      <c r="GKV157" s="46"/>
      <c r="GKW157" s="44"/>
      <c r="GKX157" s="7"/>
      <c r="GKY157" s="51"/>
      <c r="GKZ157" s="52"/>
      <c r="GLA157" s="53"/>
      <c r="GLB157" s="54"/>
      <c r="GLC157" s="52"/>
      <c r="GLD157" s="53"/>
      <c r="GLE157" s="54"/>
      <c r="GLF157" s="52"/>
      <c r="GLG157" s="53"/>
      <c r="GLH157" s="8"/>
      <c r="GLI157" s="45"/>
      <c r="GLJ157" s="45"/>
      <c r="GLK157" s="46"/>
      <c r="GLL157" s="44"/>
      <c r="GLM157" s="7"/>
      <c r="GLN157" s="51"/>
      <c r="GLO157" s="52"/>
      <c r="GLP157" s="53"/>
      <c r="GLQ157" s="54"/>
      <c r="GLR157" s="52"/>
      <c r="GLS157" s="53"/>
      <c r="GLT157" s="54"/>
      <c r="GLU157" s="52"/>
      <c r="GLV157" s="53"/>
      <c r="GLW157" s="8"/>
      <c r="GLX157" s="45"/>
      <c r="GLY157" s="45"/>
      <c r="GLZ157" s="46"/>
      <c r="GMA157" s="44"/>
      <c r="GMB157" s="7"/>
      <c r="GMC157" s="51"/>
      <c r="GMD157" s="52"/>
      <c r="GME157" s="53"/>
      <c r="GMF157" s="54"/>
      <c r="GMG157" s="52"/>
      <c r="GMH157" s="53"/>
      <c r="GMI157" s="54"/>
      <c r="GMJ157" s="52"/>
      <c r="GMK157" s="53"/>
      <c r="GML157" s="8"/>
      <c r="GMM157" s="45"/>
      <c r="GMN157" s="45"/>
      <c r="GMO157" s="46"/>
      <c r="GMP157" s="44"/>
      <c r="GMQ157" s="7"/>
      <c r="GMR157" s="51"/>
      <c r="GMS157" s="52"/>
      <c r="GMT157" s="53"/>
      <c r="GMU157" s="54"/>
      <c r="GMV157" s="52"/>
      <c r="GMW157" s="53"/>
      <c r="GMX157" s="54"/>
      <c r="GMY157" s="52"/>
      <c r="GMZ157" s="53"/>
      <c r="GNA157" s="8"/>
      <c r="GNB157" s="45"/>
      <c r="GNC157" s="45"/>
      <c r="GND157" s="46"/>
      <c r="GNE157" s="44"/>
      <c r="GNF157" s="7"/>
      <c r="GNG157" s="51"/>
      <c r="GNH157" s="52"/>
      <c r="GNI157" s="53"/>
      <c r="GNJ157" s="54"/>
      <c r="GNK157" s="52"/>
      <c r="GNL157" s="53"/>
      <c r="GNM157" s="54"/>
      <c r="GNN157" s="52"/>
      <c r="GNO157" s="53"/>
      <c r="GNP157" s="8"/>
      <c r="GNQ157" s="45"/>
      <c r="GNR157" s="45"/>
      <c r="GNS157" s="46"/>
      <c r="GNT157" s="44"/>
      <c r="GNU157" s="7"/>
      <c r="GNV157" s="51"/>
      <c r="GNW157" s="52"/>
      <c r="GNX157" s="53"/>
      <c r="GNY157" s="54"/>
      <c r="GNZ157" s="52"/>
      <c r="GOA157" s="53"/>
      <c r="GOB157" s="54"/>
      <c r="GOC157" s="52"/>
      <c r="GOD157" s="53"/>
      <c r="GOE157" s="8"/>
      <c r="GOF157" s="45"/>
      <c r="GOG157" s="45"/>
      <c r="GOH157" s="46"/>
      <c r="GOI157" s="44"/>
      <c r="GOJ157" s="7"/>
      <c r="GOK157" s="51"/>
      <c r="GOL157" s="52"/>
      <c r="GOM157" s="53"/>
      <c r="GON157" s="54"/>
      <c r="GOO157" s="52"/>
      <c r="GOP157" s="53"/>
      <c r="GOQ157" s="54"/>
      <c r="GOR157" s="52"/>
      <c r="GOS157" s="53"/>
      <c r="GOT157" s="8"/>
      <c r="GOU157" s="45"/>
      <c r="GOV157" s="45"/>
      <c r="GOW157" s="46"/>
      <c r="GOX157" s="44"/>
      <c r="GOY157" s="7"/>
      <c r="GOZ157" s="51"/>
      <c r="GPA157" s="52"/>
      <c r="GPB157" s="53"/>
      <c r="GPC157" s="54"/>
      <c r="GPD157" s="52"/>
      <c r="GPE157" s="53"/>
      <c r="GPF157" s="54"/>
      <c r="GPG157" s="52"/>
      <c r="GPH157" s="53"/>
      <c r="GPI157" s="8"/>
      <c r="GPJ157" s="45"/>
      <c r="GPK157" s="45"/>
      <c r="GPL157" s="46"/>
      <c r="GPM157" s="44"/>
      <c r="GPN157" s="7"/>
      <c r="GPO157" s="51"/>
      <c r="GPP157" s="52"/>
      <c r="GPQ157" s="53"/>
      <c r="GPR157" s="54"/>
      <c r="GPS157" s="52"/>
      <c r="GPT157" s="53"/>
      <c r="GPU157" s="54"/>
      <c r="GPV157" s="52"/>
      <c r="GPW157" s="53"/>
      <c r="GPX157" s="8"/>
      <c r="GPY157" s="45"/>
      <c r="GPZ157" s="45"/>
      <c r="GQA157" s="46"/>
      <c r="GQB157" s="44"/>
      <c r="GQC157" s="7"/>
      <c r="GQD157" s="51"/>
      <c r="GQE157" s="52"/>
      <c r="GQF157" s="53"/>
      <c r="GQG157" s="54"/>
      <c r="GQH157" s="52"/>
      <c r="GQI157" s="53"/>
      <c r="GQJ157" s="54"/>
      <c r="GQK157" s="52"/>
      <c r="GQL157" s="53"/>
      <c r="GQM157" s="8"/>
      <c r="GQN157" s="45"/>
      <c r="GQO157" s="45"/>
      <c r="GQP157" s="46"/>
      <c r="GQQ157" s="44"/>
      <c r="GQR157" s="7"/>
      <c r="GQS157" s="51"/>
      <c r="GQT157" s="52"/>
      <c r="GQU157" s="53"/>
      <c r="GQV157" s="54"/>
      <c r="GQW157" s="52"/>
      <c r="GQX157" s="53"/>
      <c r="GQY157" s="54"/>
      <c r="GQZ157" s="52"/>
      <c r="GRA157" s="53"/>
      <c r="GRB157" s="8"/>
      <c r="GRC157" s="45"/>
      <c r="GRD157" s="45"/>
      <c r="GRE157" s="46"/>
      <c r="GRF157" s="44"/>
      <c r="GRG157" s="7"/>
      <c r="GRH157" s="51"/>
      <c r="GRI157" s="52"/>
      <c r="GRJ157" s="53"/>
      <c r="GRK157" s="54"/>
      <c r="GRL157" s="52"/>
      <c r="GRM157" s="53"/>
      <c r="GRN157" s="54"/>
      <c r="GRO157" s="52"/>
      <c r="GRP157" s="53"/>
      <c r="GRQ157" s="8"/>
      <c r="GRR157" s="45"/>
      <c r="GRS157" s="45"/>
      <c r="GRT157" s="46"/>
      <c r="GRU157" s="44"/>
      <c r="GRV157" s="7"/>
      <c r="GRW157" s="51"/>
      <c r="GRX157" s="52"/>
      <c r="GRY157" s="53"/>
      <c r="GRZ157" s="54"/>
      <c r="GSA157" s="52"/>
      <c r="GSB157" s="53"/>
      <c r="GSC157" s="54"/>
      <c r="GSD157" s="52"/>
      <c r="GSE157" s="53"/>
      <c r="GSF157" s="8"/>
      <c r="GSG157" s="45"/>
      <c r="GSH157" s="45"/>
      <c r="GSI157" s="46"/>
      <c r="GSJ157" s="44"/>
      <c r="GSK157" s="7"/>
      <c r="GSL157" s="51"/>
      <c r="GSM157" s="52"/>
      <c r="GSN157" s="53"/>
      <c r="GSO157" s="54"/>
      <c r="GSP157" s="52"/>
      <c r="GSQ157" s="53"/>
      <c r="GSR157" s="54"/>
      <c r="GSS157" s="52"/>
      <c r="GST157" s="53"/>
      <c r="GSU157" s="8"/>
      <c r="GSV157" s="45"/>
      <c r="GSW157" s="45"/>
      <c r="GSX157" s="46"/>
      <c r="GSY157" s="44"/>
      <c r="GSZ157" s="7"/>
      <c r="GTA157" s="51"/>
      <c r="GTB157" s="52"/>
      <c r="GTC157" s="53"/>
      <c r="GTD157" s="54"/>
      <c r="GTE157" s="52"/>
      <c r="GTF157" s="53"/>
      <c r="GTG157" s="54"/>
      <c r="GTH157" s="52"/>
      <c r="GTI157" s="53"/>
      <c r="GTJ157" s="8"/>
      <c r="GTK157" s="45"/>
      <c r="GTL157" s="45"/>
      <c r="GTM157" s="46"/>
      <c r="GTN157" s="44"/>
      <c r="GTO157" s="7"/>
      <c r="GTP157" s="51"/>
      <c r="GTQ157" s="52"/>
      <c r="GTR157" s="53"/>
      <c r="GTS157" s="54"/>
      <c r="GTT157" s="52"/>
      <c r="GTU157" s="53"/>
      <c r="GTV157" s="54"/>
      <c r="GTW157" s="52"/>
      <c r="GTX157" s="53"/>
      <c r="GTY157" s="8"/>
      <c r="GTZ157" s="45"/>
      <c r="GUA157" s="45"/>
      <c r="GUB157" s="46"/>
      <c r="GUC157" s="44"/>
      <c r="GUD157" s="7"/>
      <c r="GUE157" s="51"/>
      <c r="GUF157" s="52"/>
      <c r="GUG157" s="53"/>
      <c r="GUH157" s="54"/>
      <c r="GUI157" s="52"/>
      <c r="GUJ157" s="53"/>
      <c r="GUK157" s="54"/>
      <c r="GUL157" s="52"/>
      <c r="GUM157" s="53"/>
      <c r="GUN157" s="8"/>
      <c r="GUO157" s="45"/>
      <c r="GUP157" s="45"/>
      <c r="GUQ157" s="46"/>
      <c r="GUR157" s="44"/>
      <c r="GUS157" s="7"/>
      <c r="GUT157" s="51"/>
      <c r="GUU157" s="52"/>
      <c r="GUV157" s="53"/>
      <c r="GUW157" s="54"/>
      <c r="GUX157" s="52"/>
      <c r="GUY157" s="53"/>
      <c r="GUZ157" s="54"/>
      <c r="GVA157" s="52"/>
      <c r="GVB157" s="53"/>
      <c r="GVC157" s="8"/>
      <c r="GVD157" s="45"/>
      <c r="GVE157" s="45"/>
      <c r="GVF157" s="46"/>
      <c r="GVG157" s="44"/>
      <c r="GVH157" s="7"/>
      <c r="GVI157" s="51"/>
      <c r="GVJ157" s="52"/>
      <c r="GVK157" s="53"/>
      <c r="GVL157" s="54"/>
      <c r="GVM157" s="52"/>
      <c r="GVN157" s="53"/>
      <c r="GVO157" s="54"/>
      <c r="GVP157" s="52"/>
      <c r="GVQ157" s="53"/>
      <c r="GVR157" s="8"/>
      <c r="GVS157" s="45"/>
      <c r="GVT157" s="45"/>
      <c r="GVU157" s="46"/>
      <c r="GVV157" s="44"/>
      <c r="GVW157" s="7"/>
      <c r="GVX157" s="51"/>
      <c r="GVY157" s="52"/>
      <c r="GVZ157" s="53"/>
      <c r="GWA157" s="54"/>
      <c r="GWB157" s="52"/>
      <c r="GWC157" s="53"/>
      <c r="GWD157" s="54"/>
      <c r="GWE157" s="52"/>
      <c r="GWF157" s="53"/>
      <c r="GWG157" s="8"/>
      <c r="GWH157" s="45"/>
      <c r="GWI157" s="45"/>
      <c r="GWJ157" s="46"/>
      <c r="GWK157" s="44"/>
      <c r="GWL157" s="7"/>
      <c r="GWM157" s="51"/>
      <c r="GWN157" s="52"/>
      <c r="GWO157" s="53"/>
      <c r="GWP157" s="54"/>
      <c r="GWQ157" s="52"/>
      <c r="GWR157" s="53"/>
      <c r="GWS157" s="54"/>
      <c r="GWT157" s="52"/>
      <c r="GWU157" s="53"/>
      <c r="GWV157" s="8"/>
      <c r="GWW157" s="45"/>
      <c r="GWX157" s="45"/>
      <c r="GWY157" s="46"/>
      <c r="GWZ157" s="44"/>
      <c r="GXA157" s="7"/>
      <c r="GXB157" s="51"/>
      <c r="GXC157" s="52"/>
      <c r="GXD157" s="53"/>
      <c r="GXE157" s="54"/>
      <c r="GXF157" s="52"/>
      <c r="GXG157" s="53"/>
      <c r="GXH157" s="54"/>
      <c r="GXI157" s="52"/>
      <c r="GXJ157" s="53"/>
      <c r="GXK157" s="8"/>
      <c r="GXL157" s="45"/>
      <c r="GXM157" s="45"/>
      <c r="GXN157" s="46"/>
      <c r="GXO157" s="44"/>
      <c r="GXP157" s="7"/>
      <c r="GXQ157" s="51"/>
      <c r="GXR157" s="52"/>
      <c r="GXS157" s="53"/>
      <c r="GXT157" s="54"/>
      <c r="GXU157" s="52"/>
      <c r="GXV157" s="53"/>
      <c r="GXW157" s="54"/>
      <c r="GXX157" s="52"/>
      <c r="GXY157" s="53"/>
      <c r="GXZ157" s="8"/>
      <c r="GYA157" s="45"/>
      <c r="GYB157" s="45"/>
      <c r="GYC157" s="46"/>
      <c r="GYD157" s="44"/>
      <c r="GYE157" s="7"/>
      <c r="GYF157" s="51"/>
      <c r="GYG157" s="52"/>
      <c r="GYH157" s="53"/>
      <c r="GYI157" s="54"/>
      <c r="GYJ157" s="52"/>
      <c r="GYK157" s="53"/>
      <c r="GYL157" s="54"/>
      <c r="GYM157" s="52"/>
      <c r="GYN157" s="53"/>
      <c r="GYO157" s="8"/>
      <c r="GYP157" s="45"/>
      <c r="GYQ157" s="45"/>
      <c r="GYR157" s="46"/>
      <c r="GYS157" s="44"/>
      <c r="GYT157" s="7"/>
      <c r="GYU157" s="51"/>
      <c r="GYV157" s="52"/>
      <c r="GYW157" s="53"/>
      <c r="GYX157" s="54"/>
      <c r="GYY157" s="52"/>
      <c r="GYZ157" s="53"/>
      <c r="GZA157" s="54"/>
      <c r="GZB157" s="52"/>
      <c r="GZC157" s="53"/>
      <c r="GZD157" s="8"/>
      <c r="GZE157" s="45"/>
      <c r="GZF157" s="45"/>
      <c r="GZG157" s="46"/>
      <c r="GZH157" s="44"/>
      <c r="GZI157" s="7"/>
      <c r="GZJ157" s="51"/>
      <c r="GZK157" s="52"/>
      <c r="GZL157" s="53"/>
      <c r="GZM157" s="54"/>
      <c r="GZN157" s="52"/>
      <c r="GZO157" s="53"/>
      <c r="GZP157" s="54"/>
      <c r="GZQ157" s="52"/>
      <c r="GZR157" s="53"/>
      <c r="GZS157" s="8"/>
      <c r="GZT157" s="45"/>
      <c r="GZU157" s="45"/>
      <c r="GZV157" s="46"/>
      <c r="GZW157" s="44"/>
      <c r="GZX157" s="7"/>
      <c r="GZY157" s="51"/>
      <c r="GZZ157" s="52"/>
      <c r="HAA157" s="53"/>
      <c r="HAB157" s="54"/>
      <c r="HAC157" s="52"/>
      <c r="HAD157" s="53"/>
      <c r="HAE157" s="54"/>
      <c r="HAF157" s="52"/>
      <c r="HAG157" s="53"/>
      <c r="HAH157" s="8"/>
      <c r="HAI157" s="45"/>
      <c r="HAJ157" s="45"/>
      <c r="HAK157" s="46"/>
      <c r="HAL157" s="44"/>
      <c r="HAM157" s="7"/>
      <c r="HAN157" s="51"/>
      <c r="HAO157" s="52"/>
      <c r="HAP157" s="53"/>
      <c r="HAQ157" s="54"/>
      <c r="HAR157" s="52"/>
      <c r="HAS157" s="53"/>
      <c r="HAT157" s="54"/>
      <c r="HAU157" s="52"/>
      <c r="HAV157" s="53"/>
      <c r="HAW157" s="8"/>
      <c r="HAX157" s="45"/>
      <c r="HAY157" s="45"/>
      <c r="HAZ157" s="46"/>
      <c r="HBA157" s="44"/>
      <c r="HBB157" s="7"/>
      <c r="HBC157" s="51"/>
      <c r="HBD157" s="52"/>
      <c r="HBE157" s="53"/>
      <c r="HBF157" s="54"/>
      <c r="HBG157" s="52"/>
      <c r="HBH157" s="53"/>
      <c r="HBI157" s="54"/>
      <c r="HBJ157" s="52"/>
      <c r="HBK157" s="53"/>
      <c r="HBL157" s="8"/>
      <c r="HBM157" s="45"/>
      <c r="HBN157" s="45"/>
      <c r="HBO157" s="46"/>
      <c r="HBP157" s="44"/>
      <c r="HBQ157" s="7"/>
      <c r="HBR157" s="51"/>
      <c r="HBS157" s="52"/>
      <c r="HBT157" s="53"/>
      <c r="HBU157" s="54"/>
      <c r="HBV157" s="52"/>
      <c r="HBW157" s="53"/>
      <c r="HBX157" s="54"/>
      <c r="HBY157" s="52"/>
      <c r="HBZ157" s="53"/>
      <c r="HCA157" s="8"/>
      <c r="HCB157" s="45"/>
      <c r="HCC157" s="45"/>
      <c r="HCD157" s="46"/>
      <c r="HCE157" s="44"/>
      <c r="HCF157" s="7"/>
      <c r="HCG157" s="51"/>
      <c r="HCH157" s="52"/>
      <c r="HCI157" s="53"/>
      <c r="HCJ157" s="54"/>
      <c r="HCK157" s="52"/>
      <c r="HCL157" s="53"/>
      <c r="HCM157" s="54"/>
      <c r="HCN157" s="52"/>
      <c r="HCO157" s="53"/>
      <c r="HCP157" s="8"/>
      <c r="HCQ157" s="45"/>
      <c r="HCR157" s="45"/>
      <c r="HCS157" s="46"/>
      <c r="HCT157" s="44"/>
      <c r="HCU157" s="7"/>
      <c r="HCV157" s="51"/>
      <c r="HCW157" s="52"/>
      <c r="HCX157" s="53"/>
      <c r="HCY157" s="54"/>
      <c r="HCZ157" s="52"/>
      <c r="HDA157" s="53"/>
      <c r="HDB157" s="54"/>
      <c r="HDC157" s="52"/>
      <c r="HDD157" s="53"/>
      <c r="HDE157" s="8"/>
      <c r="HDF157" s="45"/>
      <c r="HDG157" s="45"/>
      <c r="HDH157" s="46"/>
      <c r="HDI157" s="44"/>
      <c r="HDJ157" s="7"/>
      <c r="HDK157" s="51"/>
      <c r="HDL157" s="52"/>
      <c r="HDM157" s="53"/>
      <c r="HDN157" s="54"/>
      <c r="HDO157" s="52"/>
      <c r="HDP157" s="53"/>
      <c r="HDQ157" s="54"/>
      <c r="HDR157" s="52"/>
      <c r="HDS157" s="53"/>
      <c r="HDT157" s="8"/>
      <c r="HDU157" s="45"/>
      <c r="HDV157" s="45"/>
      <c r="HDW157" s="46"/>
      <c r="HDX157" s="44"/>
      <c r="HDY157" s="7"/>
      <c r="HDZ157" s="51"/>
      <c r="HEA157" s="52"/>
      <c r="HEB157" s="53"/>
      <c r="HEC157" s="54"/>
      <c r="HED157" s="52"/>
      <c r="HEE157" s="53"/>
      <c r="HEF157" s="54"/>
      <c r="HEG157" s="52"/>
      <c r="HEH157" s="53"/>
      <c r="HEI157" s="8"/>
      <c r="HEJ157" s="45"/>
      <c r="HEK157" s="45"/>
      <c r="HEL157" s="46"/>
      <c r="HEM157" s="44"/>
      <c r="HEN157" s="7"/>
      <c r="HEO157" s="51"/>
      <c r="HEP157" s="52"/>
      <c r="HEQ157" s="53"/>
      <c r="HER157" s="54"/>
      <c r="HES157" s="52"/>
      <c r="HET157" s="53"/>
      <c r="HEU157" s="54"/>
      <c r="HEV157" s="52"/>
      <c r="HEW157" s="53"/>
      <c r="HEX157" s="8"/>
      <c r="HEY157" s="45"/>
      <c r="HEZ157" s="45"/>
      <c r="HFA157" s="46"/>
      <c r="HFB157" s="44"/>
      <c r="HFC157" s="7"/>
      <c r="HFD157" s="51"/>
      <c r="HFE157" s="52"/>
      <c r="HFF157" s="53"/>
      <c r="HFG157" s="54"/>
      <c r="HFH157" s="52"/>
      <c r="HFI157" s="53"/>
      <c r="HFJ157" s="54"/>
      <c r="HFK157" s="52"/>
      <c r="HFL157" s="53"/>
      <c r="HFM157" s="8"/>
      <c r="HFN157" s="45"/>
      <c r="HFO157" s="45"/>
      <c r="HFP157" s="46"/>
      <c r="HFQ157" s="44"/>
      <c r="HFR157" s="7"/>
      <c r="HFS157" s="51"/>
      <c r="HFT157" s="52"/>
      <c r="HFU157" s="53"/>
      <c r="HFV157" s="54"/>
      <c r="HFW157" s="52"/>
      <c r="HFX157" s="53"/>
      <c r="HFY157" s="54"/>
      <c r="HFZ157" s="52"/>
      <c r="HGA157" s="53"/>
      <c r="HGB157" s="8"/>
      <c r="HGC157" s="45"/>
      <c r="HGD157" s="45"/>
      <c r="HGE157" s="46"/>
      <c r="HGF157" s="44"/>
      <c r="HGG157" s="7"/>
      <c r="HGH157" s="51"/>
      <c r="HGI157" s="52"/>
      <c r="HGJ157" s="53"/>
      <c r="HGK157" s="54"/>
      <c r="HGL157" s="52"/>
      <c r="HGM157" s="53"/>
      <c r="HGN157" s="54"/>
      <c r="HGO157" s="52"/>
      <c r="HGP157" s="53"/>
      <c r="HGQ157" s="8"/>
      <c r="HGR157" s="45"/>
      <c r="HGS157" s="45"/>
      <c r="HGT157" s="46"/>
      <c r="HGU157" s="44"/>
      <c r="HGV157" s="7"/>
      <c r="HGW157" s="51"/>
      <c r="HGX157" s="52"/>
      <c r="HGY157" s="53"/>
      <c r="HGZ157" s="54"/>
      <c r="HHA157" s="52"/>
      <c r="HHB157" s="53"/>
      <c r="HHC157" s="54"/>
      <c r="HHD157" s="52"/>
      <c r="HHE157" s="53"/>
      <c r="HHF157" s="8"/>
      <c r="HHG157" s="45"/>
      <c r="HHH157" s="45"/>
      <c r="HHI157" s="46"/>
      <c r="HHJ157" s="44"/>
      <c r="HHK157" s="7"/>
      <c r="HHL157" s="51"/>
      <c r="HHM157" s="52"/>
      <c r="HHN157" s="53"/>
      <c r="HHO157" s="54"/>
      <c r="HHP157" s="52"/>
      <c r="HHQ157" s="53"/>
      <c r="HHR157" s="54"/>
      <c r="HHS157" s="52"/>
      <c r="HHT157" s="53"/>
      <c r="HHU157" s="8"/>
      <c r="HHV157" s="45"/>
      <c r="HHW157" s="45"/>
      <c r="HHX157" s="46"/>
      <c r="HHY157" s="44"/>
      <c r="HHZ157" s="7"/>
      <c r="HIA157" s="51"/>
      <c r="HIB157" s="52"/>
      <c r="HIC157" s="53"/>
      <c r="HID157" s="54"/>
      <c r="HIE157" s="52"/>
      <c r="HIF157" s="53"/>
      <c r="HIG157" s="54"/>
      <c r="HIH157" s="52"/>
      <c r="HII157" s="53"/>
      <c r="HIJ157" s="8"/>
      <c r="HIK157" s="45"/>
      <c r="HIL157" s="45"/>
      <c r="HIM157" s="46"/>
      <c r="HIN157" s="44"/>
      <c r="HIO157" s="7"/>
      <c r="HIP157" s="51"/>
      <c r="HIQ157" s="52"/>
      <c r="HIR157" s="53"/>
      <c r="HIS157" s="54"/>
      <c r="HIT157" s="52"/>
      <c r="HIU157" s="53"/>
      <c r="HIV157" s="54"/>
      <c r="HIW157" s="52"/>
      <c r="HIX157" s="53"/>
      <c r="HIY157" s="8"/>
      <c r="HIZ157" s="45"/>
      <c r="HJA157" s="45"/>
      <c r="HJB157" s="46"/>
      <c r="HJC157" s="44"/>
      <c r="HJD157" s="7"/>
      <c r="HJE157" s="51"/>
      <c r="HJF157" s="52"/>
      <c r="HJG157" s="53"/>
      <c r="HJH157" s="54"/>
      <c r="HJI157" s="52"/>
      <c r="HJJ157" s="53"/>
      <c r="HJK157" s="54"/>
      <c r="HJL157" s="52"/>
      <c r="HJM157" s="53"/>
      <c r="HJN157" s="8"/>
      <c r="HJO157" s="45"/>
      <c r="HJP157" s="45"/>
      <c r="HJQ157" s="46"/>
      <c r="HJR157" s="44"/>
      <c r="HJS157" s="7"/>
      <c r="HJT157" s="51"/>
      <c r="HJU157" s="52"/>
      <c r="HJV157" s="53"/>
      <c r="HJW157" s="54"/>
      <c r="HJX157" s="52"/>
      <c r="HJY157" s="53"/>
      <c r="HJZ157" s="54"/>
      <c r="HKA157" s="52"/>
      <c r="HKB157" s="53"/>
      <c r="HKC157" s="8"/>
      <c r="HKD157" s="45"/>
      <c r="HKE157" s="45"/>
      <c r="HKF157" s="46"/>
      <c r="HKG157" s="44"/>
      <c r="HKH157" s="7"/>
      <c r="HKI157" s="51"/>
      <c r="HKJ157" s="52"/>
      <c r="HKK157" s="53"/>
      <c r="HKL157" s="54"/>
      <c r="HKM157" s="52"/>
      <c r="HKN157" s="53"/>
      <c r="HKO157" s="54"/>
      <c r="HKP157" s="52"/>
      <c r="HKQ157" s="53"/>
      <c r="HKR157" s="8"/>
      <c r="HKS157" s="45"/>
      <c r="HKT157" s="45"/>
      <c r="HKU157" s="46"/>
      <c r="HKV157" s="44"/>
      <c r="HKW157" s="7"/>
      <c r="HKX157" s="51"/>
      <c r="HKY157" s="52"/>
      <c r="HKZ157" s="53"/>
      <c r="HLA157" s="54"/>
      <c r="HLB157" s="52"/>
      <c r="HLC157" s="53"/>
      <c r="HLD157" s="54"/>
      <c r="HLE157" s="52"/>
      <c r="HLF157" s="53"/>
      <c r="HLG157" s="8"/>
      <c r="HLH157" s="45"/>
      <c r="HLI157" s="45"/>
      <c r="HLJ157" s="46"/>
      <c r="HLK157" s="44"/>
      <c r="HLL157" s="7"/>
      <c r="HLM157" s="51"/>
      <c r="HLN157" s="52"/>
      <c r="HLO157" s="53"/>
      <c r="HLP157" s="54"/>
      <c r="HLQ157" s="52"/>
      <c r="HLR157" s="53"/>
      <c r="HLS157" s="54"/>
      <c r="HLT157" s="52"/>
      <c r="HLU157" s="53"/>
      <c r="HLV157" s="8"/>
      <c r="HLW157" s="45"/>
      <c r="HLX157" s="45"/>
      <c r="HLY157" s="46"/>
      <c r="HLZ157" s="44"/>
      <c r="HMA157" s="7"/>
      <c r="HMB157" s="51"/>
      <c r="HMC157" s="52"/>
      <c r="HMD157" s="53"/>
      <c r="HME157" s="54"/>
      <c r="HMF157" s="52"/>
      <c r="HMG157" s="53"/>
      <c r="HMH157" s="54"/>
      <c r="HMI157" s="52"/>
      <c r="HMJ157" s="53"/>
      <c r="HMK157" s="8"/>
      <c r="HML157" s="45"/>
      <c r="HMM157" s="45"/>
      <c r="HMN157" s="46"/>
      <c r="HMO157" s="44"/>
      <c r="HMP157" s="7"/>
      <c r="HMQ157" s="51"/>
      <c r="HMR157" s="52"/>
      <c r="HMS157" s="53"/>
      <c r="HMT157" s="54"/>
      <c r="HMU157" s="52"/>
      <c r="HMV157" s="53"/>
      <c r="HMW157" s="54"/>
      <c r="HMX157" s="52"/>
      <c r="HMY157" s="53"/>
      <c r="HMZ157" s="8"/>
      <c r="HNA157" s="45"/>
      <c r="HNB157" s="45"/>
      <c r="HNC157" s="46"/>
      <c r="HND157" s="44"/>
      <c r="HNE157" s="7"/>
      <c r="HNF157" s="51"/>
      <c r="HNG157" s="52"/>
      <c r="HNH157" s="53"/>
      <c r="HNI157" s="54"/>
      <c r="HNJ157" s="52"/>
      <c r="HNK157" s="53"/>
      <c r="HNL157" s="54"/>
      <c r="HNM157" s="52"/>
      <c r="HNN157" s="53"/>
      <c r="HNO157" s="8"/>
      <c r="HNP157" s="45"/>
      <c r="HNQ157" s="45"/>
      <c r="HNR157" s="46"/>
      <c r="HNS157" s="44"/>
      <c r="HNT157" s="7"/>
      <c r="HNU157" s="51"/>
      <c r="HNV157" s="52"/>
      <c r="HNW157" s="53"/>
      <c r="HNX157" s="54"/>
      <c r="HNY157" s="52"/>
      <c r="HNZ157" s="53"/>
      <c r="HOA157" s="54"/>
      <c r="HOB157" s="52"/>
      <c r="HOC157" s="53"/>
      <c r="HOD157" s="8"/>
      <c r="HOE157" s="45"/>
      <c r="HOF157" s="45"/>
      <c r="HOG157" s="46"/>
      <c r="HOH157" s="44"/>
      <c r="HOI157" s="7"/>
      <c r="HOJ157" s="51"/>
      <c r="HOK157" s="52"/>
      <c r="HOL157" s="53"/>
      <c r="HOM157" s="54"/>
      <c r="HON157" s="52"/>
      <c r="HOO157" s="53"/>
      <c r="HOP157" s="54"/>
      <c r="HOQ157" s="52"/>
      <c r="HOR157" s="53"/>
      <c r="HOS157" s="8"/>
      <c r="HOT157" s="45"/>
      <c r="HOU157" s="45"/>
      <c r="HOV157" s="46"/>
      <c r="HOW157" s="44"/>
      <c r="HOX157" s="7"/>
      <c r="HOY157" s="51"/>
      <c r="HOZ157" s="52"/>
      <c r="HPA157" s="53"/>
      <c r="HPB157" s="54"/>
      <c r="HPC157" s="52"/>
      <c r="HPD157" s="53"/>
      <c r="HPE157" s="54"/>
      <c r="HPF157" s="52"/>
      <c r="HPG157" s="53"/>
      <c r="HPH157" s="8"/>
      <c r="HPI157" s="45"/>
      <c r="HPJ157" s="45"/>
      <c r="HPK157" s="46"/>
      <c r="HPL157" s="44"/>
      <c r="HPM157" s="7"/>
      <c r="HPN157" s="51"/>
      <c r="HPO157" s="52"/>
      <c r="HPP157" s="53"/>
      <c r="HPQ157" s="54"/>
      <c r="HPR157" s="52"/>
      <c r="HPS157" s="53"/>
      <c r="HPT157" s="54"/>
      <c r="HPU157" s="52"/>
      <c r="HPV157" s="53"/>
      <c r="HPW157" s="8"/>
      <c r="HPX157" s="45"/>
      <c r="HPY157" s="45"/>
      <c r="HPZ157" s="46"/>
      <c r="HQA157" s="44"/>
      <c r="HQB157" s="7"/>
      <c r="HQC157" s="51"/>
      <c r="HQD157" s="52"/>
      <c r="HQE157" s="53"/>
      <c r="HQF157" s="54"/>
      <c r="HQG157" s="52"/>
      <c r="HQH157" s="53"/>
      <c r="HQI157" s="54"/>
      <c r="HQJ157" s="52"/>
      <c r="HQK157" s="53"/>
      <c r="HQL157" s="8"/>
      <c r="HQM157" s="45"/>
      <c r="HQN157" s="45"/>
      <c r="HQO157" s="46"/>
      <c r="HQP157" s="44"/>
      <c r="HQQ157" s="7"/>
      <c r="HQR157" s="51"/>
      <c r="HQS157" s="52"/>
      <c r="HQT157" s="53"/>
      <c r="HQU157" s="54"/>
      <c r="HQV157" s="52"/>
      <c r="HQW157" s="53"/>
      <c r="HQX157" s="54"/>
      <c r="HQY157" s="52"/>
      <c r="HQZ157" s="53"/>
      <c r="HRA157" s="8"/>
      <c r="HRB157" s="45"/>
      <c r="HRC157" s="45"/>
      <c r="HRD157" s="46"/>
      <c r="HRE157" s="44"/>
      <c r="HRF157" s="7"/>
      <c r="HRG157" s="51"/>
      <c r="HRH157" s="52"/>
      <c r="HRI157" s="53"/>
      <c r="HRJ157" s="54"/>
      <c r="HRK157" s="52"/>
      <c r="HRL157" s="53"/>
      <c r="HRM157" s="54"/>
      <c r="HRN157" s="52"/>
      <c r="HRO157" s="53"/>
      <c r="HRP157" s="8"/>
      <c r="HRQ157" s="45"/>
      <c r="HRR157" s="45"/>
      <c r="HRS157" s="46"/>
      <c r="HRT157" s="44"/>
      <c r="HRU157" s="7"/>
      <c r="HRV157" s="51"/>
      <c r="HRW157" s="52"/>
      <c r="HRX157" s="53"/>
      <c r="HRY157" s="54"/>
      <c r="HRZ157" s="52"/>
      <c r="HSA157" s="53"/>
      <c r="HSB157" s="54"/>
      <c r="HSC157" s="52"/>
      <c r="HSD157" s="53"/>
      <c r="HSE157" s="8"/>
      <c r="HSF157" s="45"/>
      <c r="HSG157" s="45"/>
      <c r="HSH157" s="46"/>
      <c r="HSI157" s="44"/>
      <c r="HSJ157" s="7"/>
      <c r="HSK157" s="51"/>
      <c r="HSL157" s="52"/>
      <c r="HSM157" s="53"/>
      <c r="HSN157" s="54"/>
      <c r="HSO157" s="52"/>
      <c r="HSP157" s="53"/>
      <c r="HSQ157" s="54"/>
      <c r="HSR157" s="52"/>
      <c r="HSS157" s="53"/>
      <c r="HST157" s="8"/>
      <c r="HSU157" s="45"/>
      <c r="HSV157" s="45"/>
      <c r="HSW157" s="46"/>
      <c r="HSX157" s="44"/>
      <c r="HSY157" s="7"/>
      <c r="HSZ157" s="51"/>
      <c r="HTA157" s="52"/>
      <c r="HTB157" s="53"/>
      <c r="HTC157" s="54"/>
      <c r="HTD157" s="52"/>
      <c r="HTE157" s="53"/>
      <c r="HTF157" s="54"/>
      <c r="HTG157" s="52"/>
      <c r="HTH157" s="53"/>
      <c r="HTI157" s="8"/>
      <c r="HTJ157" s="45"/>
      <c r="HTK157" s="45"/>
      <c r="HTL157" s="46"/>
      <c r="HTM157" s="44"/>
      <c r="HTN157" s="7"/>
      <c r="HTO157" s="51"/>
      <c r="HTP157" s="52"/>
      <c r="HTQ157" s="53"/>
      <c r="HTR157" s="54"/>
      <c r="HTS157" s="52"/>
      <c r="HTT157" s="53"/>
      <c r="HTU157" s="54"/>
      <c r="HTV157" s="52"/>
      <c r="HTW157" s="53"/>
      <c r="HTX157" s="8"/>
      <c r="HTY157" s="45"/>
      <c r="HTZ157" s="45"/>
      <c r="HUA157" s="46"/>
      <c r="HUB157" s="44"/>
      <c r="HUC157" s="7"/>
      <c r="HUD157" s="51"/>
      <c r="HUE157" s="52"/>
      <c r="HUF157" s="53"/>
      <c r="HUG157" s="54"/>
      <c r="HUH157" s="52"/>
      <c r="HUI157" s="53"/>
      <c r="HUJ157" s="54"/>
      <c r="HUK157" s="52"/>
      <c r="HUL157" s="53"/>
      <c r="HUM157" s="8"/>
      <c r="HUN157" s="45"/>
      <c r="HUO157" s="45"/>
      <c r="HUP157" s="46"/>
      <c r="HUQ157" s="44"/>
      <c r="HUR157" s="7"/>
      <c r="HUS157" s="51"/>
      <c r="HUT157" s="52"/>
      <c r="HUU157" s="53"/>
      <c r="HUV157" s="54"/>
      <c r="HUW157" s="52"/>
      <c r="HUX157" s="53"/>
      <c r="HUY157" s="54"/>
      <c r="HUZ157" s="52"/>
      <c r="HVA157" s="53"/>
      <c r="HVB157" s="8"/>
      <c r="HVC157" s="45"/>
      <c r="HVD157" s="45"/>
      <c r="HVE157" s="46"/>
      <c r="HVF157" s="44"/>
      <c r="HVG157" s="7"/>
      <c r="HVH157" s="51"/>
      <c r="HVI157" s="52"/>
      <c r="HVJ157" s="53"/>
      <c r="HVK157" s="54"/>
      <c r="HVL157" s="52"/>
      <c r="HVM157" s="53"/>
      <c r="HVN157" s="54"/>
      <c r="HVO157" s="52"/>
      <c r="HVP157" s="53"/>
      <c r="HVQ157" s="8"/>
      <c r="HVR157" s="45"/>
      <c r="HVS157" s="45"/>
      <c r="HVT157" s="46"/>
      <c r="HVU157" s="44"/>
      <c r="HVV157" s="7"/>
      <c r="HVW157" s="51"/>
      <c r="HVX157" s="52"/>
      <c r="HVY157" s="53"/>
      <c r="HVZ157" s="54"/>
      <c r="HWA157" s="52"/>
      <c r="HWB157" s="53"/>
      <c r="HWC157" s="54"/>
      <c r="HWD157" s="52"/>
      <c r="HWE157" s="53"/>
      <c r="HWF157" s="8"/>
      <c r="HWG157" s="45"/>
      <c r="HWH157" s="45"/>
      <c r="HWI157" s="46"/>
      <c r="HWJ157" s="44"/>
      <c r="HWK157" s="7"/>
      <c r="HWL157" s="51"/>
      <c r="HWM157" s="52"/>
      <c r="HWN157" s="53"/>
      <c r="HWO157" s="54"/>
      <c r="HWP157" s="52"/>
      <c r="HWQ157" s="53"/>
      <c r="HWR157" s="54"/>
      <c r="HWS157" s="52"/>
      <c r="HWT157" s="53"/>
      <c r="HWU157" s="8"/>
      <c r="HWV157" s="45"/>
      <c r="HWW157" s="45"/>
      <c r="HWX157" s="46"/>
      <c r="HWY157" s="44"/>
      <c r="HWZ157" s="7"/>
      <c r="HXA157" s="51"/>
      <c r="HXB157" s="52"/>
      <c r="HXC157" s="53"/>
      <c r="HXD157" s="54"/>
      <c r="HXE157" s="52"/>
      <c r="HXF157" s="53"/>
      <c r="HXG157" s="54"/>
      <c r="HXH157" s="52"/>
      <c r="HXI157" s="53"/>
      <c r="HXJ157" s="8"/>
      <c r="HXK157" s="45"/>
      <c r="HXL157" s="45"/>
      <c r="HXM157" s="46"/>
      <c r="HXN157" s="44"/>
      <c r="HXO157" s="7"/>
      <c r="HXP157" s="51"/>
      <c r="HXQ157" s="52"/>
      <c r="HXR157" s="53"/>
      <c r="HXS157" s="54"/>
      <c r="HXT157" s="52"/>
      <c r="HXU157" s="53"/>
      <c r="HXV157" s="54"/>
      <c r="HXW157" s="52"/>
      <c r="HXX157" s="53"/>
      <c r="HXY157" s="8"/>
      <c r="HXZ157" s="45"/>
      <c r="HYA157" s="45"/>
      <c r="HYB157" s="46"/>
      <c r="HYC157" s="44"/>
      <c r="HYD157" s="7"/>
      <c r="HYE157" s="51"/>
      <c r="HYF157" s="52"/>
      <c r="HYG157" s="53"/>
      <c r="HYH157" s="54"/>
      <c r="HYI157" s="52"/>
      <c r="HYJ157" s="53"/>
      <c r="HYK157" s="54"/>
      <c r="HYL157" s="52"/>
      <c r="HYM157" s="53"/>
      <c r="HYN157" s="8"/>
      <c r="HYO157" s="45"/>
      <c r="HYP157" s="45"/>
      <c r="HYQ157" s="46"/>
      <c r="HYR157" s="44"/>
      <c r="HYS157" s="7"/>
      <c r="HYT157" s="51"/>
      <c r="HYU157" s="52"/>
      <c r="HYV157" s="53"/>
      <c r="HYW157" s="54"/>
      <c r="HYX157" s="52"/>
      <c r="HYY157" s="53"/>
      <c r="HYZ157" s="54"/>
      <c r="HZA157" s="52"/>
      <c r="HZB157" s="53"/>
      <c r="HZC157" s="8"/>
      <c r="HZD157" s="45"/>
      <c r="HZE157" s="45"/>
      <c r="HZF157" s="46"/>
      <c r="HZG157" s="44"/>
      <c r="HZH157" s="7"/>
      <c r="HZI157" s="51"/>
      <c r="HZJ157" s="52"/>
      <c r="HZK157" s="53"/>
      <c r="HZL157" s="54"/>
      <c r="HZM157" s="52"/>
      <c r="HZN157" s="53"/>
      <c r="HZO157" s="54"/>
      <c r="HZP157" s="52"/>
      <c r="HZQ157" s="53"/>
      <c r="HZR157" s="8"/>
      <c r="HZS157" s="45"/>
      <c r="HZT157" s="45"/>
      <c r="HZU157" s="46"/>
      <c r="HZV157" s="44"/>
      <c r="HZW157" s="7"/>
      <c r="HZX157" s="51"/>
      <c r="HZY157" s="52"/>
      <c r="HZZ157" s="53"/>
      <c r="IAA157" s="54"/>
      <c r="IAB157" s="52"/>
      <c r="IAC157" s="53"/>
      <c r="IAD157" s="54"/>
      <c r="IAE157" s="52"/>
      <c r="IAF157" s="53"/>
      <c r="IAG157" s="8"/>
      <c r="IAH157" s="45"/>
      <c r="IAI157" s="45"/>
      <c r="IAJ157" s="46"/>
      <c r="IAK157" s="44"/>
      <c r="IAL157" s="7"/>
      <c r="IAM157" s="51"/>
      <c r="IAN157" s="52"/>
      <c r="IAO157" s="53"/>
      <c r="IAP157" s="54"/>
      <c r="IAQ157" s="52"/>
      <c r="IAR157" s="53"/>
      <c r="IAS157" s="54"/>
      <c r="IAT157" s="52"/>
      <c r="IAU157" s="53"/>
      <c r="IAV157" s="8"/>
      <c r="IAW157" s="45"/>
      <c r="IAX157" s="45"/>
      <c r="IAY157" s="46"/>
      <c r="IAZ157" s="44"/>
      <c r="IBA157" s="7"/>
      <c r="IBB157" s="51"/>
      <c r="IBC157" s="52"/>
      <c r="IBD157" s="53"/>
      <c r="IBE157" s="54"/>
      <c r="IBF157" s="52"/>
      <c r="IBG157" s="53"/>
      <c r="IBH157" s="54"/>
      <c r="IBI157" s="52"/>
      <c r="IBJ157" s="53"/>
      <c r="IBK157" s="8"/>
      <c r="IBL157" s="45"/>
      <c r="IBM157" s="45"/>
      <c r="IBN157" s="46"/>
      <c r="IBO157" s="44"/>
      <c r="IBP157" s="7"/>
      <c r="IBQ157" s="51"/>
      <c r="IBR157" s="52"/>
      <c r="IBS157" s="53"/>
      <c r="IBT157" s="54"/>
      <c r="IBU157" s="52"/>
      <c r="IBV157" s="53"/>
      <c r="IBW157" s="54"/>
      <c r="IBX157" s="52"/>
      <c r="IBY157" s="53"/>
      <c r="IBZ157" s="8"/>
      <c r="ICA157" s="45"/>
      <c r="ICB157" s="45"/>
      <c r="ICC157" s="46"/>
      <c r="ICD157" s="44"/>
      <c r="ICE157" s="7"/>
      <c r="ICF157" s="51"/>
      <c r="ICG157" s="52"/>
      <c r="ICH157" s="53"/>
      <c r="ICI157" s="54"/>
      <c r="ICJ157" s="52"/>
      <c r="ICK157" s="53"/>
      <c r="ICL157" s="54"/>
      <c r="ICM157" s="52"/>
      <c r="ICN157" s="53"/>
      <c r="ICO157" s="8"/>
      <c r="ICP157" s="45"/>
      <c r="ICQ157" s="45"/>
      <c r="ICR157" s="46"/>
      <c r="ICS157" s="44"/>
      <c r="ICT157" s="7"/>
      <c r="ICU157" s="51"/>
      <c r="ICV157" s="52"/>
      <c r="ICW157" s="53"/>
      <c r="ICX157" s="54"/>
      <c r="ICY157" s="52"/>
      <c r="ICZ157" s="53"/>
      <c r="IDA157" s="54"/>
      <c r="IDB157" s="52"/>
      <c r="IDC157" s="53"/>
      <c r="IDD157" s="8"/>
      <c r="IDE157" s="45"/>
      <c r="IDF157" s="45"/>
      <c r="IDG157" s="46"/>
      <c r="IDH157" s="44"/>
      <c r="IDI157" s="7"/>
      <c r="IDJ157" s="51"/>
      <c r="IDK157" s="52"/>
      <c r="IDL157" s="53"/>
      <c r="IDM157" s="54"/>
      <c r="IDN157" s="52"/>
      <c r="IDO157" s="53"/>
      <c r="IDP157" s="54"/>
      <c r="IDQ157" s="52"/>
      <c r="IDR157" s="53"/>
      <c r="IDS157" s="8"/>
      <c r="IDT157" s="45"/>
      <c r="IDU157" s="45"/>
      <c r="IDV157" s="46"/>
      <c r="IDW157" s="44"/>
      <c r="IDX157" s="7"/>
      <c r="IDY157" s="51"/>
      <c r="IDZ157" s="52"/>
      <c r="IEA157" s="53"/>
      <c r="IEB157" s="54"/>
      <c r="IEC157" s="52"/>
      <c r="IED157" s="53"/>
      <c r="IEE157" s="54"/>
      <c r="IEF157" s="52"/>
      <c r="IEG157" s="53"/>
      <c r="IEH157" s="8"/>
      <c r="IEI157" s="45"/>
      <c r="IEJ157" s="45"/>
      <c r="IEK157" s="46"/>
      <c r="IEL157" s="44"/>
      <c r="IEM157" s="7"/>
      <c r="IEN157" s="51"/>
      <c r="IEO157" s="52"/>
      <c r="IEP157" s="53"/>
      <c r="IEQ157" s="54"/>
      <c r="IER157" s="52"/>
      <c r="IES157" s="53"/>
      <c r="IET157" s="54"/>
      <c r="IEU157" s="52"/>
      <c r="IEV157" s="53"/>
      <c r="IEW157" s="8"/>
      <c r="IEX157" s="45"/>
      <c r="IEY157" s="45"/>
      <c r="IEZ157" s="46"/>
      <c r="IFA157" s="44"/>
      <c r="IFB157" s="7"/>
      <c r="IFC157" s="51"/>
      <c r="IFD157" s="52"/>
      <c r="IFE157" s="53"/>
      <c r="IFF157" s="54"/>
      <c r="IFG157" s="52"/>
      <c r="IFH157" s="53"/>
      <c r="IFI157" s="54"/>
      <c r="IFJ157" s="52"/>
      <c r="IFK157" s="53"/>
      <c r="IFL157" s="8"/>
      <c r="IFM157" s="45"/>
      <c r="IFN157" s="45"/>
      <c r="IFO157" s="46"/>
      <c r="IFP157" s="44"/>
      <c r="IFQ157" s="7"/>
      <c r="IFR157" s="51"/>
      <c r="IFS157" s="52"/>
      <c r="IFT157" s="53"/>
      <c r="IFU157" s="54"/>
      <c r="IFV157" s="52"/>
      <c r="IFW157" s="53"/>
      <c r="IFX157" s="54"/>
      <c r="IFY157" s="52"/>
      <c r="IFZ157" s="53"/>
      <c r="IGA157" s="8"/>
      <c r="IGB157" s="45"/>
      <c r="IGC157" s="45"/>
      <c r="IGD157" s="46"/>
      <c r="IGE157" s="44"/>
      <c r="IGF157" s="7"/>
      <c r="IGG157" s="51"/>
      <c r="IGH157" s="52"/>
      <c r="IGI157" s="53"/>
      <c r="IGJ157" s="54"/>
      <c r="IGK157" s="52"/>
      <c r="IGL157" s="53"/>
      <c r="IGM157" s="54"/>
      <c r="IGN157" s="52"/>
      <c r="IGO157" s="53"/>
      <c r="IGP157" s="8"/>
      <c r="IGQ157" s="45"/>
      <c r="IGR157" s="45"/>
      <c r="IGS157" s="46"/>
      <c r="IGT157" s="44"/>
      <c r="IGU157" s="7"/>
      <c r="IGV157" s="51"/>
      <c r="IGW157" s="52"/>
      <c r="IGX157" s="53"/>
      <c r="IGY157" s="54"/>
      <c r="IGZ157" s="52"/>
      <c r="IHA157" s="53"/>
      <c r="IHB157" s="54"/>
      <c r="IHC157" s="52"/>
      <c r="IHD157" s="53"/>
      <c r="IHE157" s="8"/>
      <c r="IHF157" s="45"/>
      <c r="IHG157" s="45"/>
      <c r="IHH157" s="46"/>
      <c r="IHI157" s="44"/>
      <c r="IHJ157" s="7"/>
      <c r="IHK157" s="51"/>
      <c r="IHL157" s="52"/>
      <c r="IHM157" s="53"/>
      <c r="IHN157" s="54"/>
      <c r="IHO157" s="52"/>
      <c r="IHP157" s="53"/>
      <c r="IHQ157" s="54"/>
      <c r="IHR157" s="52"/>
      <c r="IHS157" s="53"/>
      <c r="IHT157" s="8"/>
      <c r="IHU157" s="45"/>
      <c r="IHV157" s="45"/>
      <c r="IHW157" s="46"/>
      <c r="IHX157" s="44"/>
      <c r="IHY157" s="7"/>
      <c r="IHZ157" s="51"/>
      <c r="IIA157" s="52"/>
      <c r="IIB157" s="53"/>
      <c r="IIC157" s="54"/>
      <c r="IID157" s="52"/>
      <c r="IIE157" s="53"/>
      <c r="IIF157" s="54"/>
      <c r="IIG157" s="52"/>
      <c r="IIH157" s="53"/>
      <c r="III157" s="8"/>
      <c r="IIJ157" s="45"/>
      <c r="IIK157" s="45"/>
      <c r="IIL157" s="46"/>
      <c r="IIM157" s="44"/>
      <c r="IIN157" s="7"/>
      <c r="IIO157" s="51"/>
      <c r="IIP157" s="52"/>
      <c r="IIQ157" s="53"/>
      <c r="IIR157" s="54"/>
      <c r="IIS157" s="52"/>
      <c r="IIT157" s="53"/>
      <c r="IIU157" s="54"/>
      <c r="IIV157" s="52"/>
      <c r="IIW157" s="53"/>
      <c r="IIX157" s="8"/>
      <c r="IIY157" s="45"/>
      <c r="IIZ157" s="45"/>
      <c r="IJA157" s="46"/>
      <c r="IJB157" s="44"/>
      <c r="IJC157" s="7"/>
      <c r="IJD157" s="51"/>
      <c r="IJE157" s="52"/>
      <c r="IJF157" s="53"/>
      <c r="IJG157" s="54"/>
      <c r="IJH157" s="52"/>
      <c r="IJI157" s="53"/>
      <c r="IJJ157" s="54"/>
      <c r="IJK157" s="52"/>
      <c r="IJL157" s="53"/>
      <c r="IJM157" s="8"/>
      <c r="IJN157" s="45"/>
      <c r="IJO157" s="45"/>
      <c r="IJP157" s="46"/>
      <c r="IJQ157" s="44"/>
      <c r="IJR157" s="7"/>
      <c r="IJS157" s="51"/>
      <c r="IJT157" s="52"/>
      <c r="IJU157" s="53"/>
      <c r="IJV157" s="54"/>
      <c r="IJW157" s="52"/>
      <c r="IJX157" s="53"/>
      <c r="IJY157" s="54"/>
      <c r="IJZ157" s="52"/>
      <c r="IKA157" s="53"/>
      <c r="IKB157" s="8"/>
      <c r="IKC157" s="45"/>
      <c r="IKD157" s="45"/>
      <c r="IKE157" s="46"/>
      <c r="IKF157" s="44"/>
      <c r="IKG157" s="7"/>
      <c r="IKH157" s="51"/>
      <c r="IKI157" s="52"/>
      <c r="IKJ157" s="53"/>
      <c r="IKK157" s="54"/>
      <c r="IKL157" s="52"/>
      <c r="IKM157" s="53"/>
      <c r="IKN157" s="54"/>
      <c r="IKO157" s="52"/>
      <c r="IKP157" s="53"/>
      <c r="IKQ157" s="8"/>
      <c r="IKR157" s="45"/>
      <c r="IKS157" s="45"/>
      <c r="IKT157" s="46"/>
      <c r="IKU157" s="44"/>
      <c r="IKV157" s="7"/>
      <c r="IKW157" s="51"/>
      <c r="IKX157" s="52"/>
      <c r="IKY157" s="53"/>
      <c r="IKZ157" s="54"/>
      <c r="ILA157" s="52"/>
      <c r="ILB157" s="53"/>
      <c r="ILC157" s="54"/>
      <c r="ILD157" s="52"/>
      <c r="ILE157" s="53"/>
      <c r="ILF157" s="8"/>
      <c r="ILG157" s="45"/>
      <c r="ILH157" s="45"/>
      <c r="ILI157" s="46"/>
      <c r="ILJ157" s="44"/>
      <c r="ILK157" s="7"/>
      <c r="ILL157" s="51"/>
      <c r="ILM157" s="52"/>
      <c r="ILN157" s="53"/>
      <c r="ILO157" s="54"/>
      <c r="ILP157" s="52"/>
      <c r="ILQ157" s="53"/>
      <c r="ILR157" s="54"/>
      <c r="ILS157" s="52"/>
      <c r="ILT157" s="53"/>
      <c r="ILU157" s="8"/>
      <c r="ILV157" s="45"/>
      <c r="ILW157" s="45"/>
      <c r="ILX157" s="46"/>
      <c r="ILY157" s="44"/>
      <c r="ILZ157" s="7"/>
      <c r="IMA157" s="51"/>
      <c r="IMB157" s="52"/>
      <c r="IMC157" s="53"/>
      <c r="IMD157" s="54"/>
      <c r="IME157" s="52"/>
      <c r="IMF157" s="53"/>
      <c r="IMG157" s="54"/>
      <c r="IMH157" s="52"/>
      <c r="IMI157" s="53"/>
      <c r="IMJ157" s="8"/>
      <c r="IMK157" s="45"/>
      <c r="IML157" s="45"/>
      <c r="IMM157" s="46"/>
      <c r="IMN157" s="44"/>
      <c r="IMO157" s="7"/>
      <c r="IMP157" s="51"/>
      <c r="IMQ157" s="52"/>
      <c r="IMR157" s="53"/>
      <c r="IMS157" s="54"/>
      <c r="IMT157" s="52"/>
      <c r="IMU157" s="53"/>
      <c r="IMV157" s="54"/>
      <c r="IMW157" s="52"/>
      <c r="IMX157" s="53"/>
      <c r="IMY157" s="8"/>
      <c r="IMZ157" s="45"/>
      <c r="INA157" s="45"/>
      <c r="INB157" s="46"/>
      <c r="INC157" s="44"/>
      <c r="IND157" s="7"/>
      <c r="INE157" s="51"/>
      <c r="INF157" s="52"/>
      <c r="ING157" s="53"/>
      <c r="INH157" s="54"/>
      <c r="INI157" s="52"/>
      <c r="INJ157" s="53"/>
      <c r="INK157" s="54"/>
      <c r="INL157" s="52"/>
      <c r="INM157" s="53"/>
      <c r="INN157" s="8"/>
      <c r="INO157" s="45"/>
      <c r="INP157" s="45"/>
      <c r="INQ157" s="46"/>
      <c r="INR157" s="44"/>
      <c r="INS157" s="7"/>
      <c r="INT157" s="51"/>
      <c r="INU157" s="52"/>
      <c r="INV157" s="53"/>
      <c r="INW157" s="54"/>
      <c r="INX157" s="52"/>
      <c r="INY157" s="53"/>
      <c r="INZ157" s="54"/>
      <c r="IOA157" s="52"/>
      <c r="IOB157" s="53"/>
      <c r="IOC157" s="8"/>
      <c r="IOD157" s="45"/>
      <c r="IOE157" s="45"/>
      <c r="IOF157" s="46"/>
      <c r="IOG157" s="44"/>
      <c r="IOH157" s="7"/>
      <c r="IOI157" s="51"/>
      <c r="IOJ157" s="52"/>
      <c r="IOK157" s="53"/>
      <c r="IOL157" s="54"/>
      <c r="IOM157" s="52"/>
      <c r="ION157" s="53"/>
      <c r="IOO157" s="54"/>
      <c r="IOP157" s="52"/>
      <c r="IOQ157" s="53"/>
      <c r="IOR157" s="8"/>
      <c r="IOS157" s="45"/>
      <c r="IOT157" s="45"/>
      <c r="IOU157" s="46"/>
      <c r="IOV157" s="44"/>
      <c r="IOW157" s="7"/>
      <c r="IOX157" s="51"/>
      <c r="IOY157" s="52"/>
      <c r="IOZ157" s="53"/>
      <c r="IPA157" s="54"/>
      <c r="IPB157" s="52"/>
      <c r="IPC157" s="53"/>
      <c r="IPD157" s="54"/>
      <c r="IPE157" s="52"/>
      <c r="IPF157" s="53"/>
      <c r="IPG157" s="8"/>
      <c r="IPH157" s="45"/>
      <c r="IPI157" s="45"/>
      <c r="IPJ157" s="46"/>
      <c r="IPK157" s="44"/>
      <c r="IPL157" s="7"/>
      <c r="IPM157" s="51"/>
      <c r="IPN157" s="52"/>
      <c r="IPO157" s="53"/>
      <c r="IPP157" s="54"/>
      <c r="IPQ157" s="52"/>
      <c r="IPR157" s="53"/>
      <c r="IPS157" s="54"/>
      <c r="IPT157" s="52"/>
      <c r="IPU157" s="53"/>
      <c r="IPV157" s="8"/>
      <c r="IPW157" s="45"/>
      <c r="IPX157" s="45"/>
      <c r="IPY157" s="46"/>
      <c r="IPZ157" s="44"/>
      <c r="IQA157" s="7"/>
      <c r="IQB157" s="51"/>
      <c r="IQC157" s="52"/>
      <c r="IQD157" s="53"/>
      <c r="IQE157" s="54"/>
      <c r="IQF157" s="52"/>
      <c r="IQG157" s="53"/>
      <c r="IQH157" s="54"/>
      <c r="IQI157" s="52"/>
      <c r="IQJ157" s="53"/>
      <c r="IQK157" s="8"/>
      <c r="IQL157" s="45"/>
      <c r="IQM157" s="45"/>
      <c r="IQN157" s="46"/>
      <c r="IQO157" s="44"/>
      <c r="IQP157" s="7"/>
      <c r="IQQ157" s="51"/>
      <c r="IQR157" s="52"/>
      <c r="IQS157" s="53"/>
      <c r="IQT157" s="54"/>
      <c r="IQU157" s="52"/>
      <c r="IQV157" s="53"/>
      <c r="IQW157" s="54"/>
      <c r="IQX157" s="52"/>
      <c r="IQY157" s="53"/>
      <c r="IQZ157" s="8"/>
      <c r="IRA157" s="45"/>
      <c r="IRB157" s="45"/>
      <c r="IRC157" s="46"/>
      <c r="IRD157" s="44"/>
      <c r="IRE157" s="7"/>
      <c r="IRF157" s="51"/>
      <c r="IRG157" s="52"/>
      <c r="IRH157" s="53"/>
      <c r="IRI157" s="54"/>
      <c r="IRJ157" s="52"/>
      <c r="IRK157" s="53"/>
      <c r="IRL157" s="54"/>
      <c r="IRM157" s="52"/>
      <c r="IRN157" s="53"/>
      <c r="IRO157" s="8"/>
      <c r="IRP157" s="45"/>
      <c r="IRQ157" s="45"/>
      <c r="IRR157" s="46"/>
      <c r="IRS157" s="44"/>
      <c r="IRT157" s="7"/>
      <c r="IRU157" s="51"/>
      <c r="IRV157" s="52"/>
      <c r="IRW157" s="53"/>
      <c r="IRX157" s="54"/>
      <c r="IRY157" s="52"/>
      <c r="IRZ157" s="53"/>
      <c r="ISA157" s="54"/>
      <c r="ISB157" s="52"/>
      <c r="ISC157" s="53"/>
      <c r="ISD157" s="8"/>
      <c r="ISE157" s="45"/>
      <c r="ISF157" s="45"/>
      <c r="ISG157" s="46"/>
      <c r="ISH157" s="44"/>
      <c r="ISI157" s="7"/>
      <c r="ISJ157" s="51"/>
      <c r="ISK157" s="52"/>
      <c r="ISL157" s="53"/>
      <c r="ISM157" s="54"/>
      <c r="ISN157" s="52"/>
      <c r="ISO157" s="53"/>
      <c r="ISP157" s="54"/>
      <c r="ISQ157" s="52"/>
      <c r="ISR157" s="53"/>
      <c r="ISS157" s="8"/>
      <c r="IST157" s="45"/>
      <c r="ISU157" s="45"/>
      <c r="ISV157" s="46"/>
      <c r="ISW157" s="44"/>
      <c r="ISX157" s="7"/>
      <c r="ISY157" s="51"/>
      <c r="ISZ157" s="52"/>
      <c r="ITA157" s="53"/>
      <c r="ITB157" s="54"/>
      <c r="ITC157" s="52"/>
      <c r="ITD157" s="53"/>
      <c r="ITE157" s="54"/>
      <c r="ITF157" s="52"/>
      <c r="ITG157" s="53"/>
      <c r="ITH157" s="8"/>
      <c r="ITI157" s="45"/>
      <c r="ITJ157" s="45"/>
      <c r="ITK157" s="46"/>
      <c r="ITL157" s="44"/>
      <c r="ITM157" s="7"/>
      <c r="ITN157" s="51"/>
      <c r="ITO157" s="52"/>
      <c r="ITP157" s="53"/>
      <c r="ITQ157" s="54"/>
      <c r="ITR157" s="52"/>
      <c r="ITS157" s="53"/>
      <c r="ITT157" s="54"/>
      <c r="ITU157" s="52"/>
      <c r="ITV157" s="53"/>
      <c r="ITW157" s="8"/>
      <c r="ITX157" s="45"/>
      <c r="ITY157" s="45"/>
      <c r="ITZ157" s="46"/>
      <c r="IUA157" s="44"/>
      <c r="IUB157" s="7"/>
      <c r="IUC157" s="51"/>
      <c r="IUD157" s="52"/>
      <c r="IUE157" s="53"/>
      <c r="IUF157" s="54"/>
      <c r="IUG157" s="52"/>
      <c r="IUH157" s="53"/>
      <c r="IUI157" s="54"/>
      <c r="IUJ157" s="52"/>
      <c r="IUK157" s="53"/>
      <c r="IUL157" s="8"/>
      <c r="IUM157" s="45"/>
      <c r="IUN157" s="45"/>
      <c r="IUO157" s="46"/>
      <c r="IUP157" s="44"/>
      <c r="IUQ157" s="7"/>
      <c r="IUR157" s="51"/>
      <c r="IUS157" s="52"/>
      <c r="IUT157" s="53"/>
      <c r="IUU157" s="54"/>
      <c r="IUV157" s="52"/>
      <c r="IUW157" s="53"/>
      <c r="IUX157" s="54"/>
      <c r="IUY157" s="52"/>
      <c r="IUZ157" s="53"/>
      <c r="IVA157" s="8"/>
      <c r="IVB157" s="45"/>
      <c r="IVC157" s="45"/>
      <c r="IVD157" s="46"/>
      <c r="IVE157" s="44"/>
      <c r="IVF157" s="7"/>
      <c r="IVG157" s="51"/>
      <c r="IVH157" s="52"/>
      <c r="IVI157" s="53"/>
      <c r="IVJ157" s="54"/>
      <c r="IVK157" s="52"/>
      <c r="IVL157" s="53"/>
      <c r="IVM157" s="54"/>
      <c r="IVN157" s="52"/>
      <c r="IVO157" s="53"/>
      <c r="IVP157" s="8"/>
      <c r="IVQ157" s="45"/>
      <c r="IVR157" s="45"/>
      <c r="IVS157" s="46"/>
      <c r="IVT157" s="44"/>
      <c r="IVU157" s="7"/>
      <c r="IVV157" s="51"/>
      <c r="IVW157" s="52"/>
      <c r="IVX157" s="53"/>
      <c r="IVY157" s="54"/>
      <c r="IVZ157" s="52"/>
      <c r="IWA157" s="53"/>
      <c r="IWB157" s="54"/>
      <c r="IWC157" s="52"/>
      <c r="IWD157" s="53"/>
      <c r="IWE157" s="8"/>
      <c r="IWF157" s="45"/>
      <c r="IWG157" s="45"/>
      <c r="IWH157" s="46"/>
      <c r="IWI157" s="44"/>
      <c r="IWJ157" s="7"/>
      <c r="IWK157" s="51"/>
      <c r="IWL157" s="52"/>
      <c r="IWM157" s="53"/>
      <c r="IWN157" s="54"/>
      <c r="IWO157" s="52"/>
      <c r="IWP157" s="53"/>
      <c r="IWQ157" s="54"/>
      <c r="IWR157" s="52"/>
      <c r="IWS157" s="53"/>
      <c r="IWT157" s="8"/>
      <c r="IWU157" s="45"/>
      <c r="IWV157" s="45"/>
      <c r="IWW157" s="46"/>
      <c r="IWX157" s="44"/>
      <c r="IWY157" s="7"/>
      <c r="IWZ157" s="51"/>
      <c r="IXA157" s="52"/>
      <c r="IXB157" s="53"/>
      <c r="IXC157" s="54"/>
      <c r="IXD157" s="52"/>
      <c r="IXE157" s="53"/>
      <c r="IXF157" s="54"/>
      <c r="IXG157" s="52"/>
      <c r="IXH157" s="53"/>
      <c r="IXI157" s="8"/>
      <c r="IXJ157" s="45"/>
      <c r="IXK157" s="45"/>
      <c r="IXL157" s="46"/>
      <c r="IXM157" s="44"/>
      <c r="IXN157" s="7"/>
      <c r="IXO157" s="51"/>
      <c r="IXP157" s="52"/>
      <c r="IXQ157" s="53"/>
      <c r="IXR157" s="54"/>
      <c r="IXS157" s="52"/>
      <c r="IXT157" s="53"/>
      <c r="IXU157" s="54"/>
      <c r="IXV157" s="52"/>
      <c r="IXW157" s="53"/>
      <c r="IXX157" s="8"/>
      <c r="IXY157" s="45"/>
      <c r="IXZ157" s="45"/>
      <c r="IYA157" s="46"/>
      <c r="IYB157" s="44"/>
      <c r="IYC157" s="7"/>
      <c r="IYD157" s="51"/>
      <c r="IYE157" s="52"/>
      <c r="IYF157" s="53"/>
      <c r="IYG157" s="54"/>
      <c r="IYH157" s="52"/>
      <c r="IYI157" s="53"/>
      <c r="IYJ157" s="54"/>
      <c r="IYK157" s="52"/>
      <c r="IYL157" s="53"/>
      <c r="IYM157" s="8"/>
      <c r="IYN157" s="45"/>
      <c r="IYO157" s="45"/>
      <c r="IYP157" s="46"/>
      <c r="IYQ157" s="44"/>
      <c r="IYR157" s="7"/>
      <c r="IYS157" s="51"/>
      <c r="IYT157" s="52"/>
      <c r="IYU157" s="53"/>
      <c r="IYV157" s="54"/>
      <c r="IYW157" s="52"/>
      <c r="IYX157" s="53"/>
      <c r="IYY157" s="54"/>
      <c r="IYZ157" s="52"/>
      <c r="IZA157" s="53"/>
      <c r="IZB157" s="8"/>
      <c r="IZC157" s="45"/>
      <c r="IZD157" s="45"/>
      <c r="IZE157" s="46"/>
      <c r="IZF157" s="44"/>
      <c r="IZG157" s="7"/>
      <c r="IZH157" s="51"/>
      <c r="IZI157" s="52"/>
      <c r="IZJ157" s="53"/>
      <c r="IZK157" s="54"/>
      <c r="IZL157" s="52"/>
      <c r="IZM157" s="53"/>
      <c r="IZN157" s="54"/>
      <c r="IZO157" s="52"/>
      <c r="IZP157" s="53"/>
      <c r="IZQ157" s="8"/>
      <c r="IZR157" s="45"/>
      <c r="IZS157" s="45"/>
      <c r="IZT157" s="46"/>
      <c r="IZU157" s="44"/>
      <c r="IZV157" s="7"/>
      <c r="IZW157" s="51"/>
      <c r="IZX157" s="52"/>
      <c r="IZY157" s="53"/>
      <c r="IZZ157" s="54"/>
      <c r="JAA157" s="52"/>
      <c r="JAB157" s="53"/>
      <c r="JAC157" s="54"/>
      <c r="JAD157" s="52"/>
      <c r="JAE157" s="53"/>
      <c r="JAF157" s="8"/>
      <c r="JAG157" s="45"/>
      <c r="JAH157" s="45"/>
      <c r="JAI157" s="46"/>
      <c r="JAJ157" s="44"/>
      <c r="JAK157" s="7"/>
      <c r="JAL157" s="51"/>
      <c r="JAM157" s="52"/>
      <c r="JAN157" s="53"/>
      <c r="JAO157" s="54"/>
      <c r="JAP157" s="52"/>
      <c r="JAQ157" s="53"/>
      <c r="JAR157" s="54"/>
      <c r="JAS157" s="52"/>
      <c r="JAT157" s="53"/>
      <c r="JAU157" s="8"/>
      <c r="JAV157" s="45"/>
      <c r="JAW157" s="45"/>
      <c r="JAX157" s="46"/>
      <c r="JAY157" s="44"/>
      <c r="JAZ157" s="7"/>
      <c r="JBA157" s="51"/>
      <c r="JBB157" s="52"/>
      <c r="JBC157" s="53"/>
      <c r="JBD157" s="54"/>
      <c r="JBE157" s="52"/>
      <c r="JBF157" s="53"/>
      <c r="JBG157" s="54"/>
      <c r="JBH157" s="52"/>
      <c r="JBI157" s="53"/>
      <c r="JBJ157" s="8"/>
      <c r="JBK157" s="45"/>
      <c r="JBL157" s="45"/>
      <c r="JBM157" s="46"/>
      <c r="JBN157" s="44"/>
      <c r="JBO157" s="7"/>
      <c r="JBP157" s="51"/>
      <c r="JBQ157" s="52"/>
      <c r="JBR157" s="53"/>
      <c r="JBS157" s="54"/>
      <c r="JBT157" s="52"/>
      <c r="JBU157" s="53"/>
      <c r="JBV157" s="54"/>
      <c r="JBW157" s="52"/>
      <c r="JBX157" s="53"/>
      <c r="JBY157" s="8"/>
      <c r="JBZ157" s="45"/>
      <c r="JCA157" s="45"/>
      <c r="JCB157" s="46"/>
      <c r="JCC157" s="44"/>
      <c r="JCD157" s="7"/>
      <c r="JCE157" s="51"/>
      <c r="JCF157" s="52"/>
      <c r="JCG157" s="53"/>
      <c r="JCH157" s="54"/>
      <c r="JCI157" s="52"/>
      <c r="JCJ157" s="53"/>
      <c r="JCK157" s="54"/>
      <c r="JCL157" s="52"/>
      <c r="JCM157" s="53"/>
      <c r="JCN157" s="8"/>
      <c r="JCO157" s="45"/>
      <c r="JCP157" s="45"/>
      <c r="JCQ157" s="46"/>
      <c r="JCR157" s="44"/>
      <c r="JCS157" s="7"/>
      <c r="JCT157" s="51"/>
      <c r="JCU157" s="52"/>
      <c r="JCV157" s="53"/>
      <c r="JCW157" s="54"/>
      <c r="JCX157" s="52"/>
      <c r="JCY157" s="53"/>
      <c r="JCZ157" s="54"/>
      <c r="JDA157" s="52"/>
      <c r="JDB157" s="53"/>
      <c r="JDC157" s="8"/>
      <c r="JDD157" s="45"/>
      <c r="JDE157" s="45"/>
      <c r="JDF157" s="46"/>
      <c r="JDG157" s="44"/>
      <c r="JDH157" s="7"/>
      <c r="JDI157" s="51"/>
      <c r="JDJ157" s="52"/>
      <c r="JDK157" s="53"/>
      <c r="JDL157" s="54"/>
      <c r="JDM157" s="52"/>
      <c r="JDN157" s="53"/>
      <c r="JDO157" s="54"/>
      <c r="JDP157" s="52"/>
      <c r="JDQ157" s="53"/>
      <c r="JDR157" s="8"/>
      <c r="JDS157" s="45"/>
      <c r="JDT157" s="45"/>
      <c r="JDU157" s="46"/>
      <c r="JDV157" s="44"/>
      <c r="JDW157" s="7"/>
      <c r="JDX157" s="51"/>
      <c r="JDY157" s="52"/>
      <c r="JDZ157" s="53"/>
      <c r="JEA157" s="54"/>
      <c r="JEB157" s="52"/>
      <c r="JEC157" s="53"/>
      <c r="JED157" s="54"/>
      <c r="JEE157" s="52"/>
      <c r="JEF157" s="53"/>
      <c r="JEG157" s="8"/>
      <c r="JEH157" s="45"/>
      <c r="JEI157" s="45"/>
      <c r="JEJ157" s="46"/>
      <c r="JEK157" s="44"/>
      <c r="JEL157" s="7"/>
      <c r="JEM157" s="51"/>
      <c r="JEN157" s="52"/>
      <c r="JEO157" s="53"/>
      <c r="JEP157" s="54"/>
      <c r="JEQ157" s="52"/>
      <c r="JER157" s="53"/>
      <c r="JES157" s="54"/>
      <c r="JET157" s="52"/>
      <c r="JEU157" s="53"/>
      <c r="JEV157" s="8"/>
      <c r="JEW157" s="45"/>
      <c r="JEX157" s="45"/>
      <c r="JEY157" s="46"/>
      <c r="JEZ157" s="44"/>
      <c r="JFA157" s="7"/>
      <c r="JFB157" s="51"/>
      <c r="JFC157" s="52"/>
      <c r="JFD157" s="53"/>
      <c r="JFE157" s="54"/>
      <c r="JFF157" s="52"/>
      <c r="JFG157" s="53"/>
      <c r="JFH157" s="54"/>
      <c r="JFI157" s="52"/>
      <c r="JFJ157" s="53"/>
      <c r="JFK157" s="8"/>
      <c r="JFL157" s="45"/>
      <c r="JFM157" s="45"/>
      <c r="JFN157" s="46"/>
      <c r="JFO157" s="44"/>
      <c r="JFP157" s="7"/>
      <c r="JFQ157" s="51"/>
      <c r="JFR157" s="52"/>
      <c r="JFS157" s="53"/>
      <c r="JFT157" s="54"/>
      <c r="JFU157" s="52"/>
      <c r="JFV157" s="53"/>
      <c r="JFW157" s="54"/>
      <c r="JFX157" s="52"/>
      <c r="JFY157" s="53"/>
      <c r="JFZ157" s="8"/>
      <c r="JGA157" s="45"/>
      <c r="JGB157" s="45"/>
      <c r="JGC157" s="46"/>
      <c r="JGD157" s="44"/>
      <c r="JGE157" s="7"/>
      <c r="JGF157" s="51"/>
      <c r="JGG157" s="52"/>
      <c r="JGH157" s="53"/>
      <c r="JGI157" s="54"/>
      <c r="JGJ157" s="52"/>
      <c r="JGK157" s="53"/>
      <c r="JGL157" s="54"/>
      <c r="JGM157" s="52"/>
      <c r="JGN157" s="53"/>
      <c r="JGO157" s="8"/>
      <c r="JGP157" s="45"/>
      <c r="JGQ157" s="45"/>
      <c r="JGR157" s="46"/>
      <c r="JGS157" s="44"/>
      <c r="JGT157" s="7"/>
      <c r="JGU157" s="51"/>
      <c r="JGV157" s="52"/>
      <c r="JGW157" s="53"/>
      <c r="JGX157" s="54"/>
      <c r="JGY157" s="52"/>
      <c r="JGZ157" s="53"/>
      <c r="JHA157" s="54"/>
      <c r="JHB157" s="52"/>
      <c r="JHC157" s="53"/>
      <c r="JHD157" s="8"/>
      <c r="JHE157" s="45"/>
      <c r="JHF157" s="45"/>
      <c r="JHG157" s="46"/>
      <c r="JHH157" s="44"/>
      <c r="JHI157" s="7"/>
      <c r="JHJ157" s="51"/>
      <c r="JHK157" s="52"/>
      <c r="JHL157" s="53"/>
      <c r="JHM157" s="54"/>
      <c r="JHN157" s="52"/>
      <c r="JHO157" s="53"/>
      <c r="JHP157" s="54"/>
      <c r="JHQ157" s="52"/>
      <c r="JHR157" s="53"/>
      <c r="JHS157" s="8"/>
      <c r="JHT157" s="45"/>
      <c r="JHU157" s="45"/>
      <c r="JHV157" s="46"/>
      <c r="JHW157" s="44"/>
      <c r="JHX157" s="7"/>
      <c r="JHY157" s="51"/>
      <c r="JHZ157" s="52"/>
      <c r="JIA157" s="53"/>
      <c r="JIB157" s="54"/>
      <c r="JIC157" s="52"/>
      <c r="JID157" s="53"/>
      <c r="JIE157" s="54"/>
      <c r="JIF157" s="52"/>
      <c r="JIG157" s="53"/>
      <c r="JIH157" s="8"/>
      <c r="JII157" s="45"/>
      <c r="JIJ157" s="45"/>
      <c r="JIK157" s="46"/>
      <c r="JIL157" s="44"/>
      <c r="JIM157" s="7"/>
      <c r="JIN157" s="51"/>
      <c r="JIO157" s="52"/>
      <c r="JIP157" s="53"/>
      <c r="JIQ157" s="54"/>
      <c r="JIR157" s="52"/>
      <c r="JIS157" s="53"/>
      <c r="JIT157" s="54"/>
      <c r="JIU157" s="52"/>
      <c r="JIV157" s="53"/>
      <c r="JIW157" s="8"/>
      <c r="JIX157" s="45"/>
      <c r="JIY157" s="45"/>
      <c r="JIZ157" s="46"/>
      <c r="JJA157" s="44"/>
      <c r="JJB157" s="7"/>
      <c r="JJC157" s="51"/>
      <c r="JJD157" s="52"/>
      <c r="JJE157" s="53"/>
      <c r="JJF157" s="54"/>
      <c r="JJG157" s="52"/>
      <c r="JJH157" s="53"/>
      <c r="JJI157" s="54"/>
      <c r="JJJ157" s="52"/>
      <c r="JJK157" s="53"/>
      <c r="JJL157" s="8"/>
      <c r="JJM157" s="45"/>
      <c r="JJN157" s="45"/>
      <c r="JJO157" s="46"/>
      <c r="JJP157" s="44"/>
      <c r="JJQ157" s="7"/>
      <c r="JJR157" s="51"/>
      <c r="JJS157" s="52"/>
      <c r="JJT157" s="53"/>
      <c r="JJU157" s="54"/>
      <c r="JJV157" s="52"/>
      <c r="JJW157" s="53"/>
      <c r="JJX157" s="54"/>
      <c r="JJY157" s="52"/>
      <c r="JJZ157" s="53"/>
      <c r="JKA157" s="8"/>
      <c r="JKB157" s="45"/>
      <c r="JKC157" s="45"/>
      <c r="JKD157" s="46"/>
      <c r="JKE157" s="44"/>
      <c r="JKF157" s="7"/>
      <c r="JKG157" s="51"/>
      <c r="JKH157" s="52"/>
      <c r="JKI157" s="53"/>
      <c r="JKJ157" s="54"/>
      <c r="JKK157" s="52"/>
      <c r="JKL157" s="53"/>
      <c r="JKM157" s="54"/>
      <c r="JKN157" s="52"/>
      <c r="JKO157" s="53"/>
      <c r="JKP157" s="8"/>
      <c r="JKQ157" s="45"/>
      <c r="JKR157" s="45"/>
      <c r="JKS157" s="46"/>
      <c r="JKT157" s="44"/>
      <c r="JKU157" s="7"/>
      <c r="JKV157" s="51"/>
      <c r="JKW157" s="52"/>
      <c r="JKX157" s="53"/>
      <c r="JKY157" s="54"/>
      <c r="JKZ157" s="52"/>
      <c r="JLA157" s="53"/>
      <c r="JLB157" s="54"/>
      <c r="JLC157" s="52"/>
      <c r="JLD157" s="53"/>
      <c r="JLE157" s="8"/>
      <c r="JLF157" s="45"/>
      <c r="JLG157" s="45"/>
      <c r="JLH157" s="46"/>
      <c r="JLI157" s="44"/>
      <c r="JLJ157" s="7"/>
      <c r="JLK157" s="51"/>
      <c r="JLL157" s="52"/>
      <c r="JLM157" s="53"/>
      <c r="JLN157" s="54"/>
      <c r="JLO157" s="52"/>
      <c r="JLP157" s="53"/>
      <c r="JLQ157" s="54"/>
      <c r="JLR157" s="52"/>
      <c r="JLS157" s="53"/>
      <c r="JLT157" s="8"/>
      <c r="JLU157" s="45"/>
      <c r="JLV157" s="45"/>
      <c r="JLW157" s="46"/>
      <c r="JLX157" s="44"/>
      <c r="JLY157" s="7"/>
      <c r="JLZ157" s="51"/>
      <c r="JMA157" s="52"/>
      <c r="JMB157" s="53"/>
      <c r="JMC157" s="54"/>
      <c r="JMD157" s="52"/>
      <c r="JME157" s="53"/>
      <c r="JMF157" s="54"/>
      <c r="JMG157" s="52"/>
      <c r="JMH157" s="53"/>
      <c r="JMI157" s="8"/>
      <c r="JMJ157" s="45"/>
      <c r="JMK157" s="45"/>
      <c r="JML157" s="46"/>
      <c r="JMM157" s="44"/>
      <c r="JMN157" s="7"/>
      <c r="JMO157" s="51"/>
      <c r="JMP157" s="52"/>
      <c r="JMQ157" s="53"/>
      <c r="JMR157" s="54"/>
      <c r="JMS157" s="52"/>
      <c r="JMT157" s="53"/>
      <c r="JMU157" s="54"/>
      <c r="JMV157" s="52"/>
      <c r="JMW157" s="53"/>
      <c r="JMX157" s="8"/>
      <c r="JMY157" s="45"/>
      <c r="JMZ157" s="45"/>
      <c r="JNA157" s="46"/>
      <c r="JNB157" s="44"/>
      <c r="JNC157" s="7"/>
      <c r="JND157" s="51"/>
      <c r="JNE157" s="52"/>
      <c r="JNF157" s="53"/>
      <c r="JNG157" s="54"/>
      <c r="JNH157" s="52"/>
      <c r="JNI157" s="53"/>
      <c r="JNJ157" s="54"/>
      <c r="JNK157" s="52"/>
      <c r="JNL157" s="53"/>
      <c r="JNM157" s="8"/>
      <c r="JNN157" s="45"/>
      <c r="JNO157" s="45"/>
      <c r="JNP157" s="46"/>
      <c r="JNQ157" s="44"/>
      <c r="JNR157" s="7"/>
      <c r="JNS157" s="51"/>
      <c r="JNT157" s="52"/>
      <c r="JNU157" s="53"/>
      <c r="JNV157" s="54"/>
      <c r="JNW157" s="52"/>
      <c r="JNX157" s="53"/>
      <c r="JNY157" s="54"/>
      <c r="JNZ157" s="52"/>
      <c r="JOA157" s="53"/>
      <c r="JOB157" s="8"/>
      <c r="JOC157" s="45"/>
      <c r="JOD157" s="45"/>
      <c r="JOE157" s="46"/>
      <c r="JOF157" s="44"/>
      <c r="JOG157" s="7"/>
      <c r="JOH157" s="51"/>
      <c r="JOI157" s="52"/>
      <c r="JOJ157" s="53"/>
      <c r="JOK157" s="54"/>
      <c r="JOL157" s="52"/>
      <c r="JOM157" s="53"/>
      <c r="JON157" s="54"/>
      <c r="JOO157" s="52"/>
      <c r="JOP157" s="53"/>
      <c r="JOQ157" s="8"/>
      <c r="JOR157" s="45"/>
      <c r="JOS157" s="45"/>
      <c r="JOT157" s="46"/>
      <c r="JOU157" s="44"/>
      <c r="JOV157" s="7"/>
      <c r="JOW157" s="51"/>
      <c r="JOX157" s="52"/>
      <c r="JOY157" s="53"/>
      <c r="JOZ157" s="54"/>
      <c r="JPA157" s="52"/>
      <c r="JPB157" s="53"/>
      <c r="JPC157" s="54"/>
      <c r="JPD157" s="52"/>
      <c r="JPE157" s="53"/>
      <c r="JPF157" s="8"/>
      <c r="JPG157" s="45"/>
      <c r="JPH157" s="45"/>
      <c r="JPI157" s="46"/>
      <c r="JPJ157" s="44"/>
      <c r="JPK157" s="7"/>
      <c r="JPL157" s="51"/>
      <c r="JPM157" s="52"/>
      <c r="JPN157" s="53"/>
      <c r="JPO157" s="54"/>
      <c r="JPP157" s="52"/>
      <c r="JPQ157" s="53"/>
      <c r="JPR157" s="54"/>
      <c r="JPS157" s="52"/>
      <c r="JPT157" s="53"/>
      <c r="JPU157" s="8"/>
      <c r="JPV157" s="45"/>
      <c r="JPW157" s="45"/>
      <c r="JPX157" s="46"/>
      <c r="JPY157" s="44"/>
      <c r="JPZ157" s="7"/>
      <c r="JQA157" s="51"/>
      <c r="JQB157" s="52"/>
      <c r="JQC157" s="53"/>
      <c r="JQD157" s="54"/>
      <c r="JQE157" s="52"/>
      <c r="JQF157" s="53"/>
      <c r="JQG157" s="54"/>
      <c r="JQH157" s="52"/>
      <c r="JQI157" s="53"/>
      <c r="JQJ157" s="8"/>
      <c r="JQK157" s="45"/>
      <c r="JQL157" s="45"/>
      <c r="JQM157" s="46"/>
      <c r="JQN157" s="44"/>
      <c r="JQO157" s="7"/>
      <c r="JQP157" s="51"/>
      <c r="JQQ157" s="52"/>
      <c r="JQR157" s="53"/>
      <c r="JQS157" s="54"/>
      <c r="JQT157" s="52"/>
      <c r="JQU157" s="53"/>
      <c r="JQV157" s="54"/>
      <c r="JQW157" s="52"/>
      <c r="JQX157" s="53"/>
      <c r="JQY157" s="8"/>
      <c r="JQZ157" s="45"/>
      <c r="JRA157" s="45"/>
      <c r="JRB157" s="46"/>
      <c r="JRC157" s="44"/>
      <c r="JRD157" s="7"/>
      <c r="JRE157" s="51"/>
      <c r="JRF157" s="52"/>
      <c r="JRG157" s="53"/>
      <c r="JRH157" s="54"/>
      <c r="JRI157" s="52"/>
      <c r="JRJ157" s="53"/>
      <c r="JRK157" s="54"/>
      <c r="JRL157" s="52"/>
      <c r="JRM157" s="53"/>
      <c r="JRN157" s="8"/>
      <c r="JRO157" s="45"/>
      <c r="JRP157" s="45"/>
      <c r="JRQ157" s="46"/>
      <c r="JRR157" s="44"/>
      <c r="JRS157" s="7"/>
      <c r="JRT157" s="51"/>
      <c r="JRU157" s="52"/>
      <c r="JRV157" s="53"/>
      <c r="JRW157" s="54"/>
      <c r="JRX157" s="52"/>
      <c r="JRY157" s="53"/>
      <c r="JRZ157" s="54"/>
      <c r="JSA157" s="52"/>
      <c r="JSB157" s="53"/>
      <c r="JSC157" s="8"/>
      <c r="JSD157" s="45"/>
      <c r="JSE157" s="45"/>
      <c r="JSF157" s="46"/>
      <c r="JSG157" s="44"/>
      <c r="JSH157" s="7"/>
      <c r="JSI157" s="51"/>
      <c r="JSJ157" s="52"/>
      <c r="JSK157" s="53"/>
      <c r="JSL157" s="54"/>
      <c r="JSM157" s="52"/>
      <c r="JSN157" s="53"/>
      <c r="JSO157" s="54"/>
      <c r="JSP157" s="52"/>
      <c r="JSQ157" s="53"/>
      <c r="JSR157" s="8"/>
      <c r="JSS157" s="45"/>
      <c r="JST157" s="45"/>
      <c r="JSU157" s="46"/>
      <c r="JSV157" s="44"/>
      <c r="JSW157" s="7"/>
      <c r="JSX157" s="51"/>
      <c r="JSY157" s="52"/>
      <c r="JSZ157" s="53"/>
      <c r="JTA157" s="54"/>
      <c r="JTB157" s="52"/>
      <c r="JTC157" s="53"/>
      <c r="JTD157" s="54"/>
      <c r="JTE157" s="52"/>
      <c r="JTF157" s="53"/>
      <c r="JTG157" s="8"/>
      <c r="JTH157" s="45"/>
      <c r="JTI157" s="45"/>
      <c r="JTJ157" s="46"/>
      <c r="JTK157" s="44"/>
      <c r="JTL157" s="7"/>
      <c r="JTM157" s="51"/>
      <c r="JTN157" s="52"/>
      <c r="JTO157" s="53"/>
      <c r="JTP157" s="54"/>
      <c r="JTQ157" s="52"/>
      <c r="JTR157" s="53"/>
      <c r="JTS157" s="54"/>
      <c r="JTT157" s="52"/>
      <c r="JTU157" s="53"/>
      <c r="JTV157" s="8"/>
      <c r="JTW157" s="45"/>
      <c r="JTX157" s="45"/>
      <c r="JTY157" s="46"/>
      <c r="JTZ157" s="44"/>
      <c r="JUA157" s="7"/>
      <c r="JUB157" s="51"/>
      <c r="JUC157" s="52"/>
      <c r="JUD157" s="53"/>
      <c r="JUE157" s="54"/>
      <c r="JUF157" s="52"/>
      <c r="JUG157" s="53"/>
      <c r="JUH157" s="54"/>
      <c r="JUI157" s="52"/>
      <c r="JUJ157" s="53"/>
      <c r="JUK157" s="8"/>
      <c r="JUL157" s="45"/>
      <c r="JUM157" s="45"/>
      <c r="JUN157" s="46"/>
      <c r="JUO157" s="44"/>
      <c r="JUP157" s="7"/>
      <c r="JUQ157" s="51"/>
      <c r="JUR157" s="52"/>
      <c r="JUS157" s="53"/>
      <c r="JUT157" s="54"/>
      <c r="JUU157" s="52"/>
      <c r="JUV157" s="53"/>
      <c r="JUW157" s="54"/>
      <c r="JUX157" s="52"/>
      <c r="JUY157" s="53"/>
      <c r="JUZ157" s="8"/>
      <c r="JVA157" s="45"/>
      <c r="JVB157" s="45"/>
      <c r="JVC157" s="46"/>
      <c r="JVD157" s="44"/>
      <c r="JVE157" s="7"/>
      <c r="JVF157" s="51"/>
      <c r="JVG157" s="52"/>
      <c r="JVH157" s="53"/>
      <c r="JVI157" s="54"/>
      <c r="JVJ157" s="52"/>
      <c r="JVK157" s="53"/>
      <c r="JVL157" s="54"/>
      <c r="JVM157" s="52"/>
      <c r="JVN157" s="53"/>
      <c r="JVO157" s="8"/>
      <c r="JVP157" s="45"/>
      <c r="JVQ157" s="45"/>
      <c r="JVR157" s="46"/>
      <c r="JVS157" s="44"/>
      <c r="JVT157" s="7"/>
      <c r="JVU157" s="51"/>
      <c r="JVV157" s="52"/>
      <c r="JVW157" s="53"/>
      <c r="JVX157" s="54"/>
      <c r="JVY157" s="52"/>
      <c r="JVZ157" s="53"/>
      <c r="JWA157" s="54"/>
      <c r="JWB157" s="52"/>
      <c r="JWC157" s="53"/>
      <c r="JWD157" s="8"/>
      <c r="JWE157" s="45"/>
      <c r="JWF157" s="45"/>
      <c r="JWG157" s="46"/>
      <c r="JWH157" s="44"/>
      <c r="JWI157" s="7"/>
      <c r="JWJ157" s="51"/>
      <c r="JWK157" s="52"/>
      <c r="JWL157" s="53"/>
      <c r="JWM157" s="54"/>
      <c r="JWN157" s="52"/>
      <c r="JWO157" s="53"/>
      <c r="JWP157" s="54"/>
      <c r="JWQ157" s="52"/>
      <c r="JWR157" s="53"/>
      <c r="JWS157" s="8"/>
      <c r="JWT157" s="45"/>
      <c r="JWU157" s="45"/>
      <c r="JWV157" s="46"/>
      <c r="JWW157" s="44"/>
      <c r="JWX157" s="7"/>
      <c r="JWY157" s="51"/>
      <c r="JWZ157" s="52"/>
      <c r="JXA157" s="53"/>
      <c r="JXB157" s="54"/>
      <c r="JXC157" s="52"/>
      <c r="JXD157" s="53"/>
      <c r="JXE157" s="54"/>
      <c r="JXF157" s="52"/>
      <c r="JXG157" s="53"/>
      <c r="JXH157" s="8"/>
      <c r="JXI157" s="45"/>
      <c r="JXJ157" s="45"/>
      <c r="JXK157" s="46"/>
      <c r="JXL157" s="44"/>
      <c r="JXM157" s="7"/>
      <c r="JXN157" s="51"/>
      <c r="JXO157" s="52"/>
      <c r="JXP157" s="53"/>
      <c r="JXQ157" s="54"/>
      <c r="JXR157" s="52"/>
      <c r="JXS157" s="53"/>
      <c r="JXT157" s="54"/>
      <c r="JXU157" s="52"/>
      <c r="JXV157" s="53"/>
      <c r="JXW157" s="8"/>
      <c r="JXX157" s="45"/>
      <c r="JXY157" s="45"/>
      <c r="JXZ157" s="46"/>
      <c r="JYA157" s="44"/>
      <c r="JYB157" s="7"/>
      <c r="JYC157" s="51"/>
      <c r="JYD157" s="52"/>
      <c r="JYE157" s="53"/>
      <c r="JYF157" s="54"/>
      <c r="JYG157" s="52"/>
      <c r="JYH157" s="53"/>
      <c r="JYI157" s="54"/>
      <c r="JYJ157" s="52"/>
      <c r="JYK157" s="53"/>
      <c r="JYL157" s="8"/>
      <c r="JYM157" s="45"/>
      <c r="JYN157" s="45"/>
      <c r="JYO157" s="46"/>
      <c r="JYP157" s="44"/>
      <c r="JYQ157" s="7"/>
      <c r="JYR157" s="51"/>
      <c r="JYS157" s="52"/>
      <c r="JYT157" s="53"/>
      <c r="JYU157" s="54"/>
      <c r="JYV157" s="52"/>
      <c r="JYW157" s="53"/>
      <c r="JYX157" s="54"/>
      <c r="JYY157" s="52"/>
      <c r="JYZ157" s="53"/>
      <c r="JZA157" s="8"/>
      <c r="JZB157" s="45"/>
      <c r="JZC157" s="45"/>
      <c r="JZD157" s="46"/>
      <c r="JZE157" s="44"/>
      <c r="JZF157" s="7"/>
      <c r="JZG157" s="51"/>
      <c r="JZH157" s="52"/>
      <c r="JZI157" s="53"/>
      <c r="JZJ157" s="54"/>
      <c r="JZK157" s="52"/>
      <c r="JZL157" s="53"/>
      <c r="JZM157" s="54"/>
      <c r="JZN157" s="52"/>
      <c r="JZO157" s="53"/>
      <c r="JZP157" s="8"/>
      <c r="JZQ157" s="45"/>
      <c r="JZR157" s="45"/>
      <c r="JZS157" s="46"/>
      <c r="JZT157" s="44"/>
      <c r="JZU157" s="7"/>
      <c r="JZV157" s="51"/>
      <c r="JZW157" s="52"/>
      <c r="JZX157" s="53"/>
      <c r="JZY157" s="54"/>
      <c r="JZZ157" s="52"/>
      <c r="KAA157" s="53"/>
      <c r="KAB157" s="54"/>
      <c r="KAC157" s="52"/>
      <c r="KAD157" s="53"/>
      <c r="KAE157" s="8"/>
      <c r="KAF157" s="45"/>
      <c r="KAG157" s="45"/>
      <c r="KAH157" s="46"/>
      <c r="KAI157" s="44"/>
      <c r="KAJ157" s="7"/>
      <c r="KAK157" s="51"/>
      <c r="KAL157" s="52"/>
      <c r="KAM157" s="53"/>
      <c r="KAN157" s="54"/>
      <c r="KAO157" s="52"/>
      <c r="KAP157" s="53"/>
      <c r="KAQ157" s="54"/>
      <c r="KAR157" s="52"/>
      <c r="KAS157" s="53"/>
      <c r="KAT157" s="8"/>
      <c r="KAU157" s="45"/>
      <c r="KAV157" s="45"/>
      <c r="KAW157" s="46"/>
      <c r="KAX157" s="44"/>
      <c r="KAY157" s="7"/>
      <c r="KAZ157" s="51"/>
      <c r="KBA157" s="52"/>
      <c r="KBB157" s="53"/>
      <c r="KBC157" s="54"/>
      <c r="KBD157" s="52"/>
      <c r="KBE157" s="53"/>
      <c r="KBF157" s="54"/>
      <c r="KBG157" s="52"/>
      <c r="KBH157" s="53"/>
      <c r="KBI157" s="8"/>
      <c r="KBJ157" s="45"/>
      <c r="KBK157" s="45"/>
      <c r="KBL157" s="46"/>
      <c r="KBM157" s="44"/>
      <c r="KBN157" s="7"/>
      <c r="KBO157" s="51"/>
      <c r="KBP157" s="52"/>
      <c r="KBQ157" s="53"/>
      <c r="KBR157" s="54"/>
      <c r="KBS157" s="52"/>
      <c r="KBT157" s="53"/>
      <c r="KBU157" s="54"/>
      <c r="KBV157" s="52"/>
      <c r="KBW157" s="53"/>
      <c r="KBX157" s="8"/>
      <c r="KBY157" s="45"/>
      <c r="KBZ157" s="45"/>
      <c r="KCA157" s="46"/>
      <c r="KCB157" s="44"/>
      <c r="KCC157" s="7"/>
      <c r="KCD157" s="51"/>
      <c r="KCE157" s="52"/>
      <c r="KCF157" s="53"/>
      <c r="KCG157" s="54"/>
      <c r="KCH157" s="52"/>
      <c r="KCI157" s="53"/>
      <c r="KCJ157" s="54"/>
      <c r="KCK157" s="52"/>
      <c r="KCL157" s="53"/>
      <c r="KCM157" s="8"/>
      <c r="KCN157" s="45"/>
      <c r="KCO157" s="45"/>
      <c r="KCP157" s="46"/>
      <c r="KCQ157" s="44"/>
      <c r="KCR157" s="7"/>
      <c r="KCS157" s="51"/>
      <c r="KCT157" s="52"/>
      <c r="KCU157" s="53"/>
      <c r="KCV157" s="54"/>
      <c r="KCW157" s="52"/>
      <c r="KCX157" s="53"/>
      <c r="KCY157" s="54"/>
      <c r="KCZ157" s="52"/>
      <c r="KDA157" s="53"/>
      <c r="KDB157" s="8"/>
      <c r="KDC157" s="45"/>
      <c r="KDD157" s="45"/>
      <c r="KDE157" s="46"/>
      <c r="KDF157" s="44"/>
      <c r="KDG157" s="7"/>
      <c r="KDH157" s="51"/>
      <c r="KDI157" s="52"/>
      <c r="KDJ157" s="53"/>
      <c r="KDK157" s="54"/>
      <c r="KDL157" s="52"/>
      <c r="KDM157" s="53"/>
      <c r="KDN157" s="54"/>
      <c r="KDO157" s="52"/>
      <c r="KDP157" s="53"/>
      <c r="KDQ157" s="8"/>
      <c r="KDR157" s="45"/>
      <c r="KDS157" s="45"/>
      <c r="KDT157" s="46"/>
      <c r="KDU157" s="44"/>
      <c r="KDV157" s="7"/>
      <c r="KDW157" s="51"/>
      <c r="KDX157" s="52"/>
      <c r="KDY157" s="53"/>
      <c r="KDZ157" s="54"/>
      <c r="KEA157" s="52"/>
      <c r="KEB157" s="53"/>
      <c r="KEC157" s="54"/>
      <c r="KED157" s="52"/>
      <c r="KEE157" s="53"/>
      <c r="KEF157" s="8"/>
      <c r="KEG157" s="45"/>
      <c r="KEH157" s="45"/>
      <c r="KEI157" s="46"/>
      <c r="KEJ157" s="44"/>
      <c r="KEK157" s="7"/>
      <c r="KEL157" s="51"/>
      <c r="KEM157" s="52"/>
      <c r="KEN157" s="53"/>
      <c r="KEO157" s="54"/>
      <c r="KEP157" s="52"/>
      <c r="KEQ157" s="53"/>
      <c r="KER157" s="54"/>
      <c r="KES157" s="52"/>
      <c r="KET157" s="53"/>
      <c r="KEU157" s="8"/>
      <c r="KEV157" s="45"/>
      <c r="KEW157" s="45"/>
      <c r="KEX157" s="46"/>
      <c r="KEY157" s="44"/>
      <c r="KEZ157" s="7"/>
      <c r="KFA157" s="51"/>
      <c r="KFB157" s="52"/>
      <c r="KFC157" s="53"/>
      <c r="KFD157" s="54"/>
      <c r="KFE157" s="52"/>
      <c r="KFF157" s="53"/>
      <c r="KFG157" s="54"/>
      <c r="KFH157" s="52"/>
      <c r="KFI157" s="53"/>
      <c r="KFJ157" s="8"/>
      <c r="KFK157" s="45"/>
      <c r="KFL157" s="45"/>
      <c r="KFM157" s="46"/>
      <c r="KFN157" s="44"/>
      <c r="KFO157" s="7"/>
      <c r="KFP157" s="51"/>
      <c r="KFQ157" s="52"/>
      <c r="KFR157" s="53"/>
      <c r="KFS157" s="54"/>
      <c r="KFT157" s="52"/>
      <c r="KFU157" s="53"/>
      <c r="KFV157" s="54"/>
      <c r="KFW157" s="52"/>
      <c r="KFX157" s="53"/>
      <c r="KFY157" s="8"/>
      <c r="KFZ157" s="45"/>
      <c r="KGA157" s="45"/>
      <c r="KGB157" s="46"/>
      <c r="KGC157" s="44"/>
      <c r="KGD157" s="7"/>
      <c r="KGE157" s="51"/>
      <c r="KGF157" s="52"/>
      <c r="KGG157" s="53"/>
      <c r="KGH157" s="54"/>
      <c r="KGI157" s="52"/>
      <c r="KGJ157" s="53"/>
      <c r="KGK157" s="54"/>
      <c r="KGL157" s="52"/>
      <c r="KGM157" s="53"/>
      <c r="KGN157" s="8"/>
      <c r="KGO157" s="45"/>
      <c r="KGP157" s="45"/>
      <c r="KGQ157" s="46"/>
      <c r="KGR157" s="44"/>
      <c r="KGS157" s="7"/>
      <c r="KGT157" s="51"/>
      <c r="KGU157" s="52"/>
      <c r="KGV157" s="53"/>
      <c r="KGW157" s="54"/>
      <c r="KGX157" s="52"/>
      <c r="KGY157" s="53"/>
      <c r="KGZ157" s="54"/>
      <c r="KHA157" s="52"/>
      <c r="KHB157" s="53"/>
      <c r="KHC157" s="8"/>
      <c r="KHD157" s="45"/>
      <c r="KHE157" s="45"/>
      <c r="KHF157" s="46"/>
      <c r="KHG157" s="44"/>
      <c r="KHH157" s="7"/>
      <c r="KHI157" s="51"/>
      <c r="KHJ157" s="52"/>
      <c r="KHK157" s="53"/>
      <c r="KHL157" s="54"/>
      <c r="KHM157" s="52"/>
      <c r="KHN157" s="53"/>
      <c r="KHO157" s="54"/>
      <c r="KHP157" s="52"/>
      <c r="KHQ157" s="53"/>
      <c r="KHR157" s="8"/>
      <c r="KHS157" s="45"/>
      <c r="KHT157" s="45"/>
      <c r="KHU157" s="46"/>
      <c r="KHV157" s="44"/>
      <c r="KHW157" s="7"/>
      <c r="KHX157" s="51"/>
      <c r="KHY157" s="52"/>
      <c r="KHZ157" s="53"/>
      <c r="KIA157" s="54"/>
      <c r="KIB157" s="52"/>
      <c r="KIC157" s="53"/>
      <c r="KID157" s="54"/>
      <c r="KIE157" s="52"/>
      <c r="KIF157" s="53"/>
      <c r="KIG157" s="8"/>
      <c r="KIH157" s="45"/>
      <c r="KII157" s="45"/>
      <c r="KIJ157" s="46"/>
      <c r="KIK157" s="44"/>
      <c r="KIL157" s="7"/>
      <c r="KIM157" s="51"/>
      <c r="KIN157" s="52"/>
      <c r="KIO157" s="53"/>
      <c r="KIP157" s="54"/>
      <c r="KIQ157" s="52"/>
      <c r="KIR157" s="53"/>
      <c r="KIS157" s="54"/>
      <c r="KIT157" s="52"/>
      <c r="KIU157" s="53"/>
      <c r="KIV157" s="8"/>
      <c r="KIW157" s="45"/>
      <c r="KIX157" s="45"/>
      <c r="KIY157" s="46"/>
      <c r="KIZ157" s="44"/>
      <c r="KJA157" s="7"/>
      <c r="KJB157" s="51"/>
      <c r="KJC157" s="52"/>
      <c r="KJD157" s="53"/>
      <c r="KJE157" s="54"/>
      <c r="KJF157" s="52"/>
      <c r="KJG157" s="53"/>
      <c r="KJH157" s="54"/>
      <c r="KJI157" s="52"/>
      <c r="KJJ157" s="53"/>
      <c r="KJK157" s="8"/>
      <c r="KJL157" s="45"/>
      <c r="KJM157" s="45"/>
      <c r="KJN157" s="46"/>
      <c r="KJO157" s="44"/>
      <c r="KJP157" s="7"/>
      <c r="KJQ157" s="51"/>
      <c r="KJR157" s="52"/>
      <c r="KJS157" s="53"/>
      <c r="KJT157" s="54"/>
      <c r="KJU157" s="52"/>
      <c r="KJV157" s="53"/>
      <c r="KJW157" s="54"/>
      <c r="KJX157" s="52"/>
      <c r="KJY157" s="53"/>
      <c r="KJZ157" s="8"/>
      <c r="KKA157" s="45"/>
      <c r="KKB157" s="45"/>
      <c r="KKC157" s="46"/>
      <c r="KKD157" s="44"/>
      <c r="KKE157" s="7"/>
      <c r="KKF157" s="51"/>
      <c r="KKG157" s="52"/>
      <c r="KKH157" s="53"/>
      <c r="KKI157" s="54"/>
      <c r="KKJ157" s="52"/>
      <c r="KKK157" s="53"/>
      <c r="KKL157" s="54"/>
      <c r="KKM157" s="52"/>
      <c r="KKN157" s="53"/>
      <c r="KKO157" s="8"/>
      <c r="KKP157" s="45"/>
      <c r="KKQ157" s="45"/>
      <c r="KKR157" s="46"/>
      <c r="KKS157" s="44"/>
      <c r="KKT157" s="7"/>
      <c r="KKU157" s="51"/>
      <c r="KKV157" s="52"/>
      <c r="KKW157" s="53"/>
      <c r="KKX157" s="54"/>
      <c r="KKY157" s="52"/>
      <c r="KKZ157" s="53"/>
      <c r="KLA157" s="54"/>
      <c r="KLB157" s="52"/>
      <c r="KLC157" s="53"/>
      <c r="KLD157" s="8"/>
      <c r="KLE157" s="45"/>
      <c r="KLF157" s="45"/>
      <c r="KLG157" s="46"/>
      <c r="KLH157" s="44"/>
      <c r="KLI157" s="7"/>
      <c r="KLJ157" s="51"/>
      <c r="KLK157" s="52"/>
      <c r="KLL157" s="53"/>
      <c r="KLM157" s="54"/>
      <c r="KLN157" s="52"/>
      <c r="KLO157" s="53"/>
      <c r="KLP157" s="54"/>
      <c r="KLQ157" s="52"/>
      <c r="KLR157" s="53"/>
      <c r="KLS157" s="8"/>
      <c r="KLT157" s="45"/>
      <c r="KLU157" s="45"/>
      <c r="KLV157" s="46"/>
      <c r="KLW157" s="44"/>
      <c r="KLX157" s="7"/>
      <c r="KLY157" s="51"/>
      <c r="KLZ157" s="52"/>
      <c r="KMA157" s="53"/>
      <c r="KMB157" s="54"/>
      <c r="KMC157" s="52"/>
      <c r="KMD157" s="53"/>
      <c r="KME157" s="54"/>
      <c r="KMF157" s="52"/>
      <c r="KMG157" s="53"/>
      <c r="KMH157" s="8"/>
      <c r="KMI157" s="45"/>
      <c r="KMJ157" s="45"/>
      <c r="KMK157" s="46"/>
      <c r="KML157" s="44"/>
      <c r="KMM157" s="7"/>
      <c r="KMN157" s="51"/>
      <c r="KMO157" s="52"/>
      <c r="KMP157" s="53"/>
      <c r="KMQ157" s="54"/>
      <c r="KMR157" s="52"/>
      <c r="KMS157" s="53"/>
      <c r="KMT157" s="54"/>
      <c r="KMU157" s="52"/>
      <c r="KMV157" s="53"/>
      <c r="KMW157" s="8"/>
      <c r="KMX157" s="45"/>
      <c r="KMY157" s="45"/>
      <c r="KMZ157" s="46"/>
      <c r="KNA157" s="44"/>
      <c r="KNB157" s="7"/>
      <c r="KNC157" s="51"/>
      <c r="KND157" s="52"/>
      <c r="KNE157" s="53"/>
      <c r="KNF157" s="54"/>
      <c r="KNG157" s="52"/>
      <c r="KNH157" s="53"/>
      <c r="KNI157" s="54"/>
      <c r="KNJ157" s="52"/>
      <c r="KNK157" s="53"/>
      <c r="KNL157" s="8"/>
      <c r="KNM157" s="45"/>
      <c r="KNN157" s="45"/>
      <c r="KNO157" s="46"/>
      <c r="KNP157" s="44"/>
      <c r="KNQ157" s="7"/>
      <c r="KNR157" s="51"/>
      <c r="KNS157" s="52"/>
      <c r="KNT157" s="53"/>
      <c r="KNU157" s="54"/>
      <c r="KNV157" s="52"/>
      <c r="KNW157" s="53"/>
      <c r="KNX157" s="54"/>
      <c r="KNY157" s="52"/>
      <c r="KNZ157" s="53"/>
      <c r="KOA157" s="8"/>
      <c r="KOB157" s="45"/>
      <c r="KOC157" s="45"/>
      <c r="KOD157" s="46"/>
      <c r="KOE157" s="44"/>
      <c r="KOF157" s="7"/>
      <c r="KOG157" s="51"/>
      <c r="KOH157" s="52"/>
      <c r="KOI157" s="53"/>
      <c r="KOJ157" s="54"/>
      <c r="KOK157" s="52"/>
      <c r="KOL157" s="53"/>
      <c r="KOM157" s="54"/>
      <c r="KON157" s="52"/>
      <c r="KOO157" s="53"/>
      <c r="KOP157" s="8"/>
      <c r="KOQ157" s="45"/>
      <c r="KOR157" s="45"/>
      <c r="KOS157" s="46"/>
      <c r="KOT157" s="44"/>
      <c r="KOU157" s="7"/>
      <c r="KOV157" s="51"/>
      <c r="KOW157" s="52"/>
      <c r="KOX157" s="53"/>
      <c r="KOY157" s="54"/>
      <c r="KOZ157" s="52"/>
      <c r="KPA157" s="53"/>
      <c r="KPB157" s="54"/>
      <c r="KPC157" s="52"/>
      <c r="KPD157" s="53"/>
      <c r="KPE157" s="8"/>
      <c r="KPF157" s="45"/>
      <c r="KPG157" s="45"/>
      <c r="KPH157" s="46"/>
      <c r="KPI157" s="44"/>
      <c r="KPJ157" s="7"/>
      <c r="KPK157" s="51"/>
      <c r="KPL157" s="52"/>
      <c r="KPM157" s="53"/>
      <c r="KPN157" s="54"/>
      <c r="KPO157" s="52"/>
      <c r="KPP157" s="53"/>
      <c r="KPQ157" s="54"/>
      <c r="KPR157" s="52"/>
      <c r="KPS157" s="53"/>
      <c r="KPT157" s="8"/>
      <c r="KPU157" s="45"/>
      <c r="KPV157" s="45"/>
      <c r="KPW157" s="46"/>
      <c r="KPX157" s="44"/>
      <c r="KPY157" s="7"/>
      <c r="KPZ157" s="51"/>
      <c r="KQA157" s="52"/>
      <c r="KQB157" s="53"/>
      <c r="KQC157" s="54"/>
      <c r="KQD157" s="52"/>
      <c r="KQE157" s="53"/>
      <c r="KQF157" s="54"/>
      <c r="KQG157" s="52"/>
      <c r="KQH157" s="53"/>
      <c r="KQI157" s="8"/>
      <c r="KQJ157" s="45"/>
      <c r="KQK157" s="45"/>
      <c r="KQL157" s="46"/>
      <c r="KQM157" s="44"/>
      <c r="KQN157" s="7"/>
      <c r="KQO157" s="51"/>
      <c r="KQP157" s="52"/>
      <c r="KQQ157" s="53"/>
      <c r="KQR157" s="54"/>
      <c r="KQS157" s="52"/>
      <c r="KQT157" s="53"/>
      <c r="KQU157" s="54"/>
      <c r="KQV157" s="52"/>
      <c r="KQW157" s="53"/>
      <c r="KQX157" s="8"/>
      <c r="KQY157" s="45"/>
      <c r="KQZ157" s="45"/>
      <c r="KRA157" s="46"/>
      <c r="KRB157" s="44"/>
      <c r="KRC157" s="7"/>
      <c r="KRD157" s="51"/>
      <c r="KRE157" s="52"/>
      <c r="KRF157" s="53"/>
      <c r="KRG157" s="54"/>
      <c r="KRH157" s="52"/>
      <c r="KRI157" s="53"/>
      <c r="KRJ157" s="54"/>
      <c r="KRK157" s="52"/>
      <c r="KRL157" s="53"/>
      <c r="KRM157" s="8"/>
      <c r="KRN157" s="45"/>
      <c r="KRO157" s="45"/>
      <c r="KRP157" s="46"/>
      <c r="KRQ157" s="44"/>
      <c r="KRR157" s="7"/>
      <c r="KRS157" s="51"/>
      <c r="KRT157" s="52"/>
      <c r="KRU157" s="53"/>
      <c r="KRV157" s="54"/>
      <c r="KRW157" s="52"/>
      <c r="KRX157" s="53"/>
      <c r="KRY157" s="54"/>
      <c r="KRZ157" s="52"/>
      <c r="KSA157" s="53"/>
      <c r="KSB157" s="8"/>
      <c r="KSC157" s="45"/>
      <c r="KSD157" s="45"/>
      <c r="KSE157" s="46"/>
      <c r="KSF157" s="44"/>
      <c r="KSG157" s="7"/>
      <c r="KSH157" s="51"/>
      <c r="KSI157" s="52"/>
      <c r="KSJ157" s="53"/>
      <c r="KSK157" s="54"/>
      <c r="KSL157" s="52"/>
      <c r="KSM157" s="53"/>
      <c r="KSN157" s="54"/>
      <c r="KSO157" s="52"/>
      <c r="KSP157" s="53"/>
      <c r="KSQ157" s="8"/>
      <c r="KSR157" s="45"/>
      <c r="KSS157" s="45"/>
      <c r="KST157" s="46"/>
      <c r="KSU157" s="44"/>
      <c r="KSV157" s="7"/>
      <c r="KSW157" s="51"/>
      <c r="KSX157" s="52"/>
      <c r="KSY157" s="53"/>
      <c r="KSZ157" s="54"/>
      <c r="KTA157" s="52"/>
      <c r="KTB157" s="53"/>
      <c r="KTC157" s="54"/>
      <c r="KTD157" s="52"/>
      <c r="KTE157" s="53"/>
      <c r="KTF157" s="8"/>
      <c r="KTG157" s="45"/>
      <c r="KTH157" s="45"/>
      <c r="KTI157" s="46"/>
      <c r="KTJ157" s="44"/>
      <c r="KTK157" s="7"/>
      <c r="KTL157" s="51"/>
      <c r="KTM157" s="52"/>
      <c r="KTN157" s="53"/>
      <c r="KTO157" s="54"/>
      <c r="KTP157" s="52"/>
      <c r="KTQ157" s="53"/>
      <c r="KTR157" s="54"/>
      <c r="KTS157" s="52"/>
      <c r="KTT157" s="53"/>
      <c r="KTU157" s="8"/>
      <c r="KTV157" s="45"/>
      <c r="KTW157" s="45"/>
      <c r="KTX157" s="46"/>
      <c r="KTY157" s="44"/>
      <c r="KTZ157" s="7"/>
      <c r="KUA157" s="51"/>
      <c r="KUB157" s="52"/>
      <c r="KUC157" s="53"/>
      <c r="KUD157" s="54"/>
      <c r="KUE157" s="52"/>
      <c r="KUF157" s="53"/>
      <c r="KUG157" s="54"/>
      <c r="KUH157" s="52"/>
      <c r="KUI157" s="53"/>
      <c r="KUJ157" s="8"/>
      <c r="KUK157" s="45"/>
      <c r="KUL157" s="45"/>
      <c r="KUM157" s="46"/>
      <c r="KUN157" s="44"/>
      <c r="KUO157" s="7"/>
      <c r="KUP157" s="51"/>
      <c r="KUQ157" s="52"/>
      <c r="KUR157" s="53"/>
      <c r="KUS157" s="54"/>
      <c r="KUT157" s="52"/>
      <c r="KUU157" s="53"/>
      <c r="KUV157" s="54"/>
      <c r="KUW157" s="52"/>
      <c r="KUX157" s="53"/>
      <c r="KUY157" s="8"/>
      <c r="KUZ157" s="45"/>
      <c r="KVA157" s="45"/>
      <c r="KVB157" s="46"/>
      <c r="KVC157" s="44"/>
      <c r="KVD157" s="7"/>
      <c r="KVE157" s="51"/>
      <c r="KVF157" s="52"/>
      <c r="KVG157" s="53"/>
      <c r="KVH157" s="54"/>
      <c r="KVI157" s="52"/>
      <c r="KVJ157" s="53"/>
      <c r="KVK157" s="54"/>
      <c r="KVL157" s="52"/>
      <c r="KVM157" s="53"/>
      <c r="KVN157" s="8"/>
      <c r="KVO157" s="45"/>
      <c r="KVP157" s="45"/>
      <c r="KVQ157" s="46"/>
      <c r="KVR157" s="44"/>
      <c r="KVS157" s="7"/>
      <c r="KVT157" s="51"/>
      <c r="KVU157" s="52"/>
      <c r="KVV157" s="53"/>
      <c r="KVW157" s="54"/>
      <c r="KVX157" s="52"/>
      <c r="KVY157" s="53"/>
      <c r="KVZ157" s="54"/>
      <c r="KWA157" s="52"/>
      <c r="KWB157" s="53"/>
      <c r="KWC157" s="8"/>
      <c r="KWD157" s="45"/>
      <c r="KWE157" s="45"/>
      <c r="KWF157" s="46"/>
      <c r="KWG157" s="44"/>
      <c r="KWH157" s="7"/>
      <c r="KWI157" s="51"/>
      <c r="KWJ157" s="52"/>
      <c r="KWK157" s="53"/>
      <c r="KWL157" s="54"/>
      <c r="KWM157" s="52"/>
      <c r="KWN157" s="53"/>
      <c r="KWO157" s="54"/>
      <c r="KWP157" s="52"/>
      <c r="KWQ157" s="53"/>
      <c r="KWR157" s="8"/>
      <c r="KWS157" s="45"/>
      <c r="KWT157" s="45"/>
      <c r="KWU157" s="46"/>
      <c r="KWV157" s="44"/>
      <c r="KWW157" s="7"/>
      <c r="KWX157" s="51"/>
      <c r="KWY157" s="52"/>
      <c r="KWZ157" s="53"/>
      <c r="KXA157" s="54"/>
      <c r="KXB157" s="52"/>
      <c r="KXC157" s="53"/>
      <c r="KXD157" s="54"/>
      <c r="KXE157" s="52"/>
      <c r="KXF157" s="53"/>
      <c r="KXG157" s="8"/>
      <c r="KXH157" s="45"/>
      <c r="KXI157" s="45"/>
      <c r="KXJ157" s="46"/>
      <c r="KXK157" s="44"/>
      <c r="KXL157" s="7"/>
      <c r="KXM157" s="51"/>
      <c r="KXN157" s="52"/>
      <c r="KXO157" s="53"/>
      <c r="KXP157" s="54"/>
      <c r="KXQ157" s="52"/>
      <c r="KXR157" s="53"/>
      <c r="KXS157" s="54"/>
      <c r="KXT157" s="52"/>
      <c r="KXU157" s="53"/>
      <c r="KXV157" s="8"/>
      <c r="KXW157" s="45"/>
      <c r="KXX157" s="45"/>
      <c r="KXY157" s="46"/>
      <c r="KXZ157" s="44"/>
      <c r="KYA157" s="7"/>
      <c r="KYB157" s="51"/>
      <c r="KYC157" s="52"/>
      <c r="KYD157" s="53"/>
      <c r="KYE157" s="54"/>
      <c r="KYF157" s="52"/>
      <c r="KYG157" s="53"/>
      <c r="KYH157" s="54"/>
      <c r="KYI157" s="52"/>
      <c r="KYJ157" s="53"/>
      <c r="KYK157" s="8"/>
      <c r="KYL157" s="45"/>
      <c r="KYM157" s="45"/>
      <c r="KYN157" s="46"/>
      <c r="KYO157" s="44"/>
      <c r="KYP157" s="7"/>
      <c r="KYQ157" s="51"/>
      <c r="KYR157" s="52"/>
      <c r="KYS157" s="53"/>
      <c r="KYT157" s="54"/>
      <c r="KYU157" s="52"/>
      <c r="KYV157" s="53"/>
      <c r="KYW157" s="54"/>
      <c r="KYX157" s="52"/>
      <c r="KYY157" s="53"/>
      <c r="KYZ157" s="8"/>
      <c r="KZA157" s="45"/>
      <c r="KZB157" s="45"/>
      <c r="KZC157" s="46"/>
      <c r="KZD157" s="44"/>
      <c r="KZE157" s="7"/>
      <c r="KZF157" s="51"/>
      <c r="KZG157" s="52"/>
      <c r="KZH157" s="53"/>
      <c r="KZI157" s="54"/>
      <c r="KZJ157" s="52"/>
      <c r="KZK157" s="53"/>
      <c r="KZL157" s="54"/>
      <c r="KZM157" s="52"/>
      <c r="KZN157" s="53"/>
      <c r="KZO157" s="8"/>
      <c r="KZP157" s="45"/>
      <c r="KZQ157" s="45"/>
      <c r="KZR157" s="46"/>
      <c r="KZS157" s="44"/>
      <c r="KZT157" s="7"/>
      <c r="KZU157" s="51"/>
      <c r="KZV157" s="52"/>
      <c r="KZW157" s="53"/>
      <c r="KZX157" s="54"/>
      <c r="KZY157" s="52"/>
      <c r="KZZ157" s="53"/>
      <c r="LAA157" s="54"/>
      <c r="LAB157" s="52"/>
      <c r="LAC157" s="53"/>
      <c r="LAD157" s="8"/>
      <c r="LAE157" s="45"/>
      <c r="LAF157" s="45"/>
      <c r="LAG157" s="46"/>
      <c r="LAH157" s="44"/>
      <c r="LAI157" s="7"/>
      <c r="LAJ157" s="51"/>
      <c r="LAK157" s="52"/>
      <c r="LAL157" s="53"/>
      <c r="LAM157" s="54"/>
      <c r="LAN157" s="52"/>
      <c r="LAO157" s="53"/>
      <c r="LAP157" s="54"/>
      <c r="LAQ157" s="52"/>
      <c r="LAR157" s="53"/>
      <c r="LAS157" s="8"/>
      <c r="LAT157" s="45"/>
      <c r="LAU157" s="45"/>
      <c r="LAV157" s="46"/>
      <c r="LAW157" s="44"/>
      <c r="LAX157" s="7"/>
      <c r="LAY157" s="51"/>
      <c r="LAZ157" s="52"/>
      <c r="LBA157" s="53"/>
      <c r="LBB157" s="54"/>
      <c r="LBC157" s="52"/>
      <c r="LBD157" s="53"/>
      <c r="LBE157" s="54"/>
      <c r="LBF157" s="52"/>
      <c r="LBG157" s="53"/>
      <c r="LBH157" s="8"/>
      <c r="LBI157" s="45"/>
      <c r="LBJ157" s="45"/>
      <c r="LBK157" s="46"/>
      <c r="LBL157" s="44"/>
      <c r="LBM157" s="7"/>
      <c r="LBN157" s="51"/>
      <c r="LBO157" s="52"/>
      <c r="LBP157" s="53"/>
      <c r="LBQ157" s="54"/>
      <c r="LBR157" s="52"/>
      <c r="LBS157" s="53"/>
      <c r="LBT157" s="54"/>
      <c r="LBU157" s="52"/>
      <c r="LBV157" s="53"/>
      <c r="LBW157" s="8"/>
      <c r="LBX157" s="45"/>
      <c r="LBY157" s="45"/>
      <c r="LBZ157" s="46"/>
      <c r="LCA157" s="44"/>
      <c r="LCB157" s="7"/>
      <c r="LCC157" s="51"/>
      <c r="LCD157" s="52"/>
      <c r="LCE157" s="53"/>
      <c r="LCF157" s="54"/>
      <c r="LCG157" s="52"/>
      <c r="LCH157" s="53"/>
      <c r="LCI157" s="54"/>
      <c r="LCJ157" s="52"/>
      <c r="LCK157" s="53"/>
      <c r="LCL157" s="8"/>
      <c r="LCM157" s="45"/>
      <c r="LCN157" s="45"/>
      <c r="LCO157" s="46"/>
      <c r="LCP157" s="44"/>
      <c r="LCQ157" s="7"/>
      <c r="LCR157" s="51"/>
      <c r="LCS157" s="52"/>
      <c r="LCT157" s="53"/>
      <c r="LCU157" s="54"/>
      <c r="LCV157" s="52"/>
      <c r="LCW157" s="53"/>
      <c r="LCX157" s="54"/>
      <c r="LCY157" s="52"/>
      <c r="LCZ157" s="53"/>
      <c r="LDA157" s="8"/>
      <c r="LDB157" s="45"/>
      <c r="LDC157" s="45"/>
      <c r="LDD157" s="46"/>
      <c r="LDE157" s="44"/>
      <c r="LDF157" s="7"/>
      <c r="LDG157" s="51"/>
      <c r="LDH157" s="52"/>
      <c r="LDI157" s="53"/>
      <c r="LDJ157" s="54"/>
      <c r="LDK157" s="52"/>
      <c r="LDL157" s="53"/>
      <c r="LDM157" s="54"/>
      <c r="LDN157" s="52"/>
      <c r="LDO157" s="53"/>
      <c r="LDP157" s="8"/>
      <c r="LDQ157" s="45"/>
      <c r="LDR157" s="45"/>
      <c r="LDS157" s="46"/>
      <c r="LDT157" s="44"/>
      <c r="LDU157" s="7"/>
      <c r="LDV157" s="51"/>
      <c r="LDW157" s="52"/>
      <c r="LDX157" s="53"/>
      <c r="LDY157" s="54"/>
      <c r="LDZ157" s="52"/>
      <c r="LEA157" s="53"/>
      <c r="LEB157" s="54"/>
      <c r="LEC157" s="52"/>
      <c r="LED157" s="53"/>
      <c r="LEE157" s="8"/>
      <c r="LEF157" s="45"/>
      <c r="LEG157" s="45"/>
      <c r="LEH157" s="46"/>
      <c r="LEI157" s="44"/>
      <c r="LEJ157" s="7"/>
      <c r="LEK157" s="51"/>
      <c r="LEL157" s="52"/>
      <c r="LEM157" s="53"/>
      <c r="LEN157" s="54"/>
      <c r="LEO157" s="52"/>
      <c r="LEP157" s="53"/>
      <c r="LEQ157" s="54"/>
      <c r="LER157" s="52"/>
      <c r="LES157" s="53"/>
      <c r="LET157" s="8"/>
      <c r="LEU157" s="45"/>
      <c r="LEV157" s="45"/>
      <c r="LEW157" s="46"/>
      <c r="LEX157" s="44"/>
      <c r="LEY157" s="7"/>
      <c r="LEZ157" s="51"/>
      <c r="LFA157" s="52"/>
      <c r="LFB157" s="53"/>
      <c r="LFC157" s="54"/>
      <c r="LFD157" s="52"/>
      <c r="LFE157" s="53"/>
      <c r="LFF157" s="54"/>
      <c r="LFG157" s="52"/>
      <c r="LFH157" s="53"/>
      <c r="LFI157" s="8"/>
      <c r="LFJ157" s="45"/>
      <c r="LFK157" s="45"/>
      <c r="LFL157" s="46"/>
      <c r="LFM157" s="44"/>
      <c r="LFN157" s="7"/>
      <c r="LFO157" s="51"/>
      <c r="LFP157" s="52"/>
      <c r="LFQ157" s="53"/>
      <c r="LFR157" s="54"/>
      <c r="LFS157" s="52"/>
      <c r="LFT157" s="53"/>
      <c r="LFU157" s="54"/>
      <c r="LFV157" s="52"/>
      <c r="LFW157" s="53"/>
      <c r="LFX157" s="8"/>
      <c r="LFY157" s="45"/>
      <c r="LFZ157" s="45"/>
      <c r="LGA157" s="46"/>
      <c r="LGB157" s="44"/>
      <c r="LGC157" s="7"/>
      <c r="LGD157" s="51"/>
      <c r="LGE157" s="52"/>
      <c r="LGF157" s="53"/>
      <c r="LGG157" s="54"/>
      <c r="LGH157" s="52"/>
      <c r="LGI157" s="53"/>
      <c r="LGJ157" s="54"/>
      <c r="LGK157" s="52"/>
      <c r="LGL157" s="53"/>
      <c r="LGM157" s="8"/>
      <c r="LGN157" s="45"/>
      <c r="LGO157" s="45"/>
      <c r="LGP157" s="46"/>
      <c r="LGQ157" s="44"/>
      <c r="LGR157" s="7"/>
      <c r="LGS157" s="51"/>
      <c r="LGT157" s="52"/>
      <c r="LGU157" s="53"/>
      <c r="LGV157" s="54"/>
      <c r="LGW157" s="52"/>
      <c r="LGX157" s="53"/>
      <c r="LGY157" s="54"/>
      <c r="LGZ157" s="52"/>
      <c r="LHA157" s="53"/>
      <c r="LHB157" s="8"/>
      <c r="LHC157" s="45"/>
      <c r="LHD157" s="45"/>
      <c r="LHE157" s="46"/>
      <c r="LHF157" s="44"/>
      <c r="LHG157" s="7"/>
      <c r="LHH157" s="51"/>
      <c r="LHI157" s="52"/>
      <c r="LHJ157" s="53"/>
      <c r="LHK157" s="54"/>
      <c r="LHL157" s="52"/>
      <c r="LHM157" s="53"/>
      <c r="LHN157" s="54"/>
      <c r="LHO157" s="52"/>
      <c r="LHP157" s="53"/>
      <c r="LHQ157" s="8"/>
      <c r="LHR157" s="45"/>
      <c r="LHS157" s="45"/>
      <c r="LHT157" s="46"/>
      <c r="LHU157" s="44"/>
      <c r="LHV157" s="7"/>
      <c r="LHW157" s="51"/>
      <c r="LHX157" s="52"/>
      <c r="LHY157" s="53"/>
      <c r="LHZ157" s="54"/>
      <c r="LIA157" s="52"/>
      <c r="LIB157" s="53"/>
      <c r="LIC157" s="54"/>
      <c r="LID157" s="52"/>
      <c r="LIE157" s="53"/>
      <c r="LIF157" s="8"/>
      <c r="LIG157" s="45"/>
      <c r="LIH157" s="45"/>
      <c r="LII157" s="46"/>
      <c r="LIJ157" s="44"/>
      <c r="LIK157" s="7"/>
      <c r="LIL157" s="51"/>
      <c r="LIM157" s="52"/>
      <c r="LIN157" s="53"/>
      <c r="LIO157" s="54"/>
      <c r="LIP157" s="52"/>
      <c r="LIQ157" s="53"/>
      <c r="LIR157" s="54"/>
      <c r="LIS157" s="52"/>
      <c r="LIT157" s="53"/>
      <c r="LIU157" s="8"/>
      <c r="LIV157" s="45"/>
      <c r="LIW157" s="45"/>
      <c r="LIX157" s="46"/>
      <c r="LIY157" s="44"/>
      <c r="LIZ157" s="7"/>
      <c r="LJA157" s="51"/>
      <c r="LJB157" s="52"/>
      <c r="LJC157" s="53"/>
      <c r="LJD157" s="54"/>
      <c r="LJE157" s="52"/>
      <c r="LJF157" s="53"/>
      <c r="LJG157" s="54"/>
      <c r="LJH157" s="52"/>
      <c r="LJI157" s="53"/>
      <c r="LJJ157" s="8"/>
      <c r="LJK157" s="45"/>
      <c r="LJL157" s="45"/>
      <c r="LJM157" s="46"/>
      <c r="LJN157" s="44"/>
      <c r="LJO157" s="7"/>
      <c r="LJP157" s="51"/>
      <c r="LJQ157" s="52"/>
      <c r="LJR157" s="53"/>
      <c r="LJS157" s="54"/>
      <c r="LJT157" s="52"/>
      <c r="LJU157" s="53"/>
      <c r="LJV157" s="54"/>
      <c r="LJW157" s="52"/>
      <c r="LJX157" s="53"/>
      <c r="LJY157" s="8"/>
      <c r="LJZ157" s="45"/>
      <c r="LKA157" s="45"/>
      <c r="LKB157" s="46"/>
      <c r="LKC157" s="44"/>
      <c r="LKD157" s="7"/>
      <c r="LKE157" s="51"/>
      <c r="LKF157" s="52"/>
      <c r="LKG157" s="53"/>
      <c r="LKH157" s="54"/>
      <c r="LKI157" s="52"/>
      <c r="LKJ157" s="53"/>
      <c r="LKK157" s="54"/>
      <c r="LKL157" s="52"/>
      <c r="LKM157" s="53"/>
      <c r="LKN157" s="8"/>
      <c r="LKO157" s="45"/>
      <c r="LKP157" s="45"/>
      <c r="LKQ157" s="46"/>
      <c r="LKR157" s="44"/>
      <c r="LKS157" s="7"/>
      <c r="LKT157" s="51"/>
      <c r="LKU157" s="52"/>
      <c r="LKV157" s="53"/>
      <c r="LKW157" s="54"/>
      <c r="LKX157" s="52"/>
      <c r="LKY157" s="53"/>
      <c r="LKZ157" s="54"/>
      <c r="LLA157" s="52"/>
      <c r="LLB157" s="53"/>
      <c r="LLC157" s="8"/>
      <c r="LLD157" s="45"/>
      <c r="LLE157" s="45"/>
      <c r="LLF157" s="46"/>
      <c r="LLG157" s="44"/>
      <c r="LLH157" s="7"/>
      <c r="LLI157" s="51"/>
      <c r="LLJ157" s="52"/>
      <c r="LLK157" s="53"/>
      <c r="LLL157" s="54"/>
      <c r="LLM157" s="52"/>
      <c r="LLN157" s="53"/>
      <c r="LLO157" s="54"/>
      <c r="LLP157" s="52"/>
      <c r="LLQ157" s="53"/>
      <c r="LLR157" s="8"/>
      <c r="LLS157" s="45"/>
      <c r="LLT157" s="45"/>
      <c r="LLU157" s="46"/>
      <c r="LLV157" s="44"/>
      <c r="LLW157" s="7"/>
      <c r="LLX157" s="51"/>
      <c r="LLY157" s="52"/>
      <c r="LLZ157" s="53"/>
      <c r="LMA157" s="54"/>
      <c r="LMB157" s="52"/>
      <c r="LMC157" s="53"/>
      <c r="LMD157" s="54"/>
      <c r="LME157" s="52"/>
      <c r="LMF157" s="53"/>
      <c r="LMG157" s="8"/>
      <c r="LMH157" s="45"/>
      <c r="LMI157" s="45"/>
      <c r="LMJ157" s="46"/>
      <c r="LMK157" s="44"/>
      <c r="LML157" s="7"/>
      <c r="LMM157" s="51"/>
      <c r="LMN157" s="52"/>
      <c r="LMO157" s="53"/>
      <c r="LMP157" s="54"/>
      <c r="LMQ157" s="52"/>
      <c r="LMR157" s="53"/>
      <c r="LMS157" s="54"/>
      <c r="LMT157" s="52"/>
      <c r="LMU157" s="53"/>
      <c r="LMV157" s="8"/>
      <c r="LMW157" s="45"/>
      <c r="LMX157" s="45"/>
      <c r="LMY157" s="46"/>
      <c r="LMZ157" s="44"/>
      <c r="LNA157" s="7"/>
      <c r="LNB157" s="51"/>
      <c r="LNC157" s="52"/>
      <c r="LND157" s="53"/>
      <c r="LNE157" s="54"/>
      <c r="LNF157" s="52"/>
      <c r="LNG157" s="53"/>
      <c r="LNH157" s="54"/>
      <c r="LNI157" s="52"/>
      <c r="LNJ157" s="53"/>
      <c r="LNK157" s="8"/>
      <c r="LNL157" s="45"/>
      <c r="LNM157" s="45"/>
      <c r="LNN157" s="46"/>
      <c r="LNO157" s="44"/>
      <c r="LNP157" s="7"/>
      <c r="LNQ157" s="51"/>
      <c r="LNR157" s="52"/>
      <c r="LNS157" s="53"/>
      <c r="LNT157" s="54"/>
      <c r="LNU157" s="52"/>
      <c r="LNV157" s="53"/>
      <c r="LNW157" s="54"/>
      <c r="LNX157" s="52"/>
      <c r="LNY157" s="53"/>
      <c r="LNZ157" s="8"/>
      <c r="LOA157" s="45"/>
      <c r="LOB157" s="45"/>
      <c r="LOC157" s="46"/>
      <c r="LOD157" s="44"/>
      <c r="LOE157" s="7"/>
      <c r="LOF157" s="51"/>
      <c r="LOG157" s="52"/>
      <c r="LOH157" s="53"/>
      <c r="LOI157" s="54"/>
      <c r="LOJ157" s="52"/>
      <c r="LOK157" s="53"/>
      <c r="LOL157" s="54"/>
      <c r="LOM157" s="52"/>
      <c r="LON157" s="53"/>
      <c r="LOO157" s="8"/>
      <c r="LOP157" s="45"/>
      <c r="LOQ157" s="45"/>
      <c r="LOR157" s="46"/>
      <c r="LOS157" s="44"/>
      <c r="LOT157" s="7"/>
      <c r="LOU157" s="51"/>
      <c r="LOV157" s="52"/>
      <c r="LOW157" s="53"/>
      <c r="LOX157" s="54"/>
      <c r="LOY157" s="52"/>
      <c r="LOZ157" s="53"/>
      <c r="LPA157" s="54"/>
      <c r="LPB157" s="52"/>
      <c r="LPC157" s="53"/>
      <c r="LPD157" s="8"/>
      <c r="LPE157" s="45"/>
      <c r="LPF157" s="45"/>
      <c r="LPG157" s="46"/>
      <c r="LPH157" s="44"/>
      <c r="LPI157" s="7"/>
      <c r="LPJ157" s="51"/>
      <c r="LPK157" s="52"/>
      <c r="LPL157" s="53"/>
      <c r="LPM157" s="54"/>
      <c r="LPN157" s="52"/>
      <c r="LPO157" s="53"/>
      <c r="LPP157" s="54"/>
      <c r="LPQ157" s="52"/>
      <c r="LPR157" s="53"/>
      <c r="LPS157" s="8"/>
      <c r="LPT157" s="45"/>
      <c r="LPU157" s="45"/>
      <c r="LPV157" s="46"/>
      <c r="LPW157" s="44"/>
      <c r="LPX157" s="7"/>
      <c r="LPY157" s="51"/>
      <c r="LPZ157" s="52"/>
      <c r="LQA157" s="53"/>
      <c r="LQB157" s="54"/>
      <c r="LQC157" s="52"/>
      <c r="LQD157" s="53"/>
      <c r="LQE157" s="54"/>
      <c r="LQF157" s="52"/>
      <c r="LQG157" s="53"/>
      <c r="LQH157" s="8"/>
      <c r="LQI157" s="45"/>
      <c r="LQJ157" s="45"/>
      <c r="LQK157" s="46"/>
      <c r="LQL157" s="44"/>
      <c r="LQM157" s="7"/>
      <c r="LQN157" s="51"/>
      <c r="LQO157" s="52"/>
      <c r="LQP157" s="53"/>
      <c r="LQQ157" s="54"/>
      <c r="LQR157" s="52"/>
      <c r="LQS157" s="53"/>
      <c r="LQT157" s="54"/>
      <c r="LQU157" s="52"/>
      <c r="LQV157" s="53"/>
      <c r="LQW157" s="8"/>
      <c r="LQX157" s="45"/>
      <c r="LQY157" s="45"/>
      <c r="LQZ157" s="46"/>
      <c r="LRA157" s="44"/>
      <c r="LRB157" s="7"/>
      <c r="LRC157" s="51"/>
      <c r="LRD157" s="52"/>
      <c r="LRE157" s="53"/>
      <c r="LRF157" s="54"/>
      <c r="LRG157" s="52"/>
      <c r="LRH157" s="53"/>
      <c r="LRI157" s="54"/>
      <c r="LRJ157" s="52"/>
      <c r="LRK157" s="53"/>
      <c r="LRL157" s="8"/>
      <c r="LRM157" s="45"/>
      <c r="LRN157" s="45"/>
      <c r="LRO157" s="46"/>
      <c r="LRP157" s="44"/>
      <c r="LRQ157" s="7"/>
      <c r="LRR157" s="51"/>
      <c r="LRS157" s="52"/>
      <c r="LRT157" s="53"/>
      <c r="LRU157" s="54"/>
      <c r="LRV157" s="52"/>
      <c r="LRW157" s="53"/>
      <c r="LRX157" s="54"/>
      <c r="LRY157" s="52"/>
      <c r="LRZ157" s="53"/>
      <c r="LSA157" s="8"/>
      <c r="LSB157" s="45"/>
      <c r="LSC157" s="45"/>
      <c r="LSD157" s="46"/>
      <c r="LSE157" s="44"/>
      <c r="LSF157" s="7"/>
      <c r="LSG157" s="51"/>
      <c r="LSH157" s="52"/>
      <c r="LSI157" s="53"/>
      <c r="LSJ157" s="54"/>
      <c r="LSK157" s="52"/>
      <c r="LSL157" s="53"/>
      <c r="LSM157" s="54"/>
      <c r="LSN157" s="52"/>
      <c r="LSO157" s="53"/>
      <c r="LSP157" s="8"/>
      <c r="LSQ157" s="45"/>
      <c r="LSR157" s="45"/>
      <c r="LSS157" s="46"/>
      <c r="LST157" s="44"/>
      <c r="LSU157" s="7"/>
      <c r="LSV157" s="51"/>
      <c r="LSW157" s="52"/>
      <c r="LSX157" s="53"/>
      <c r="LSY157" s="54"/>
      <c r="LSZ157" s="52"/>
      <c r="LTA157" s="53"/>
      <c r="LTB157" s="54"/>
      <c r="LTC157" s="52"/>
      <c r="LTD157" s="53"/>
      <c r="LTE157" s="8"/>
      <c r="LTF157" s="45"/>
      <c r="LTG157" s="45"/>
      <c r="LTH157" s="46"/>
      <c r="LTI157" s="44"/>
      <c r="LTJ157" s="7"/>
      <c r="LTK157" s="51"/>
      <c r="LTL157" s="52"/>
      <c r="LTM157" s="53"/>
      <c r="LTN157" s="54"/>
      <c r="LTO157" s="52"/>
      <c r="LTP157" s="53"/>
      <c r="LTQ157" s="54"/>
      <c r="LTR157" s="52"/>
      <c r="LTS157" s="53"/>
      <c r="LTT157" s="8"/>
      <c r="LTU157" s="45"/>
      <c r="LTV157" s="45"/>
      <c r="LTW157" s="46"/>
      <c r="LTX157" s="44"/>
      <c r="LTY157" s="7"/>
      <c r="LTZ157" s="51"/>
      <c r="LUA157" s="52"/>
      <c r="LUB157" s="53"/>
      <c r="LUC157" s="54"/>
      <c r="LUD157" s="52"/>
      <c r="LUE157" s="53"/>
      <c r="LUF157" s="54"/>
      <c r="LUG157" s="52"/>
      <c r="LUH157" s="53"/>
      <c r="LUI157" s="8"/>
      <c r="LUJ157" s="45"/>
      <c r="LUK157" s="45"/>
      <c r="LUL157" s="46"/>
      <c r="LUM157" s="44"/>
      <c r="LUN157" s="7"/>
      <c r="LUO157" s="51"/>
      <c r="LUP157" s="52"/>
      <c r="LUQ157" s="53"/>
      <c r="LUR157" s="54"/>
      <c r="LUS157" s="52"/>
      <c r="LUT157" s="53"/>
      <c r="LUU157" s="54"/>
      <c r="LUV157" s="52"/>
      <c r="LUW157" s="53"/>
      <c r="LUX157" s="8"/>
      <c r="LUY157" s="45"/>
      <c r="LUZ157" s="45"/>
      <c r="LVA157" s="46"/>
      <c r="LVB157" s="44"/>
      <c r="LVC157" s="7"/>
      <c r="LVD157" s="51"/>
      <c r="LVE157" s="52"/>
      <c r="LVF157" s="53"/>
      <c r="LVG157" s="54"/>
      <c r="LVH157" s="52"/>
      <c r="LVI157" s="53"/>
      <c r="LVJ157" s="54"/>
      <c r="LVK157" s="52"/>
      <c r="LVL157" s="53"/>
      <c r="LVM157" s="8"/>
      <c r="LVN157" s="45"/>
      <c r="LVO157" s="45"/>
      <c r="LVP157" s="46"/>
      <c r="LVQ157" s="44"/>
      <c r="LVR157" s="7"/>
      <c r="LVS157" s="51"/>
      <c r="LVT157" s="52"/>
      <c r="LVU157" s="53"/>
      <c r="LVV157" s="54"/>
      <c r="LVW157" s="52"/>
      <c r="LVX157" s="53"/>
      <c r="LVY157" s="54"/>
      <c r="LVZ157" s="52"/>
      <c r="LWA157" s="53"/>
      <c r="LWB157" s="8"/>
      <c r="LWC157" s="45"/>
      <c r="LWD157" s="45"/>
      <c r="LWE157" s="46"/>
      <c r="LWF157" s="44"/>
      <c r="LWG157" s="7"/>
      <c r="LWH157" s="51"/>
      <c r="LWI157" s="52"/>
      <c r="LWJ157" s="53"/>
      <c r="LWK157" s="54"/>
      <c r="LWL157" s="52"/>
      <c r="LWM157" s="53"/>
      <c r="LWN157" s="54"/>
      <c r="LWO157" s="52"/>
      <c r="LWP157" s="53"/>
      <c r="LWQ157" s="8"/>
      <c r="LWR157" s="45"/>
      <c r="LWS157" s="45"/>
      <c r="LWT157" s="46"/>
      <c r="LWU157" s="44"/>
      <c r="LWV157" s="7"/>
      <c r="LWW157" s="51"/>
      <c r="LWX157" s="52"/>
      <c r="LWY157" s="53"/>
      <c r="LWZ157" s="54"/>
      <c r="LXA157" s="52"/>
      <c r="LXB157" s="53"/>
      <c r="LXC157" s="54"/>
      <c r="LXD157" s="52"/>
      <c r="LXE157" s="53"/>
      <c r="LXF157" s="8"/>
      <c r="LXG157" s="45"/>
      <c r="LXH157" s="45"/>
      <c r="LXI157" s="46"/>
      <c r="LXJ157" s="44"/>
      <c r="LXK157" s="7"/>
      <c r="LXL157" s="51"/>
      <c r="LXM157" s="52"/>
      <c r="LXN157" s="53"/>
      <c r="LXO157" s="54"/>
      <c r="LXP157" s="52"/>
      <c r="LXQ157" s="53"/>
      <c r="LXR157" s="54"/>
      <c r="LXS157" s="52"/>
      <c r="LXT157" s="53"/>
      <c r="LXU157" s="8"/>
      <c r="LXV157" s="45"/>
      <c r="LXW157" s="45"/>
      <c r="LXX157" s="46"/>
      <c r="LXY157" s="44"/>
      <c r="LXZ157" s="7"/>
      <c r="LYA157" s="51"/>
      <c r="LYB157" s="52"/>
      <c r="LYC157" s="53"/>
      <c r="LYD157" s="54"/>
      <c r="LYE157" s="52"/>
      <c r="LYF157" s="53"/>
      <c r="LYG157" s="54"/>
      <c r="LYH157" s="52"/>
      <c r="LYI157" s="53"/>
      <c r="LYJ157" s="8"/>
      <c r="LYK157" s="45"/>
      <c r="LYL157" s="45"/>
      <c r="LYM157" s="46"/>
      <c r="LYN157" s="44"/>
      <c r="LYO157" s="7"/>
      <c r="LYP157" s="51"/>
      <c r="LYQ157" s="52"/>
      <c r="LYR157" s="53"/>
      <c r="LYS157" s="54"/>
      <c r="LYT157" s="52"/>
      <c r="LYU157" s="53"/>
      <c r="LYV157" s="54"/>
      <c r="LYW157" s="52"/>
      <c r="LYX157" s="53"/>
      <c r="LYY157" s="8"/>
      <c r="LYZ157" s="45"/>
      <c r="LZA157" s="45"/>
      <c r="LZB157" s="46"/>
      <c r="LZC157" s="44"/>
      <c r="LZD157" s="7"/>
      <c r="LZE157" s="51"/>
      <c r="LZF157" s="52"/>
      <c r="LZG157" s="53"/>
      <c r="LZH157" s="54"/>
      <c r="LZI157" s="52"/>
      <c r="LZJ157" s="53"/>
      <c r="LZK157" s="54"/>
      <c r="LZL157" s="52"/>
      <c r="LZM157" s="53"/>
      <c r="LZN157" s="8"/>
      <c r="LZO157" s="45"/>
      <c r="LZP157" s="45"/>
      <c r="LZQ157" s="46"/>
      <c r="LZR157" s="44"/>
      <c r="LZS157" s="7"/>
      <c r="LZT157" s="51"/>
      <c r="LZU157" s="52"/>
      <c r="LZV157" s="53"/>
      <c r="LZW157" s="54"/>
      <c r="LZX157" s="52"/>
      <c r="LZY157" s="53"/>
      <c r="LZZ157" s="54"/>
      <c r="MAA157" s="52"/>
      <c r="MAB157" s="53"/>
      <c r="MAC157" s="8"/>
      <c r="MAD157" s="45"/>
      <c r="MAE157" s="45"/>
      <c r="MAF157" s="46"/>
      <c r="MAG157" s="44"/>
      <c r="MAH157" s="7"/>
      <c r="MAI157" s="51"/>
      <c r="MAJ157" s="52"/>
      <c r="MAK157" s="53"/>
      <c r="MAL157" s="54"/>
      <c r="MAM157" s="52"/>
      <c r="MAN157" s="53"/>
      <c r="MAO157" s="54"/>
      <c r="MAP157" s="52"/>
      <c r="MAQ157" s="53"/>
      <c r="MAR157" s="8"/>
      <c r="MAS157" s="45"/>
      <c r="MAT157" s="45"/>
      <c r="MAU157" s="46"/>
      <c r="MAV157" s="44"/>
      <c r="MAW157" s="7"/>
      <c r="MAX157" s="51"/>
      <c r="MAY157" s="52"/>
      <c r="MAZ157" s="53"/>
      <c r="MBA157" s="54"/>
      <c r="MBB157" s="52"/>
      <c r="MBC157" s="53"/>
      <c r="MBD157" s="54"/>
      <c r="MBE157" s="52"/>
      <c r="MBF157" s="53"/>
      <c r="MBG157" s="8"/>
      <c r="MBH157" s="45"/>
      <c r="MBI157" s="45"/>
      <c r="MBJ157" s="46"/>
      <c r="MBK157" s="44"/>
      <c r="MBL157" s="7"/>
      <c r="MBM157" s="51"/>
      <c r="MBN157" s="52"/>
      <c r="MBO157" s="53"/>
      <c r="MBP157" s="54"/>
      <c r="MBQ157" s="52"/>
      <c r="MBR157" s="53"/>
      <c r="MBS157" s="54"/>
      <c r="MBT157" s="52"/>
      <c r="MBU157" s="53"/>
      <c r="MBV157" s="8"/>
      <c r="MBW157" s="45"/>
      <c r="MBX157" s="45"/>
      <c r="MBY157" s="46"/>
      <c r="MBZ157" s="44"/>
      <c r="MCA157" s="7"/>
      <c r="MCB157" s="51"/>
      <c r="MCC157" s="52"/>
      <c r="MCD157" s="53"/>
      <c r="MCE157" s="54"/>
      <c r="MCF157" s="52"/>
      <c r="MCG157" s="53"/>
      <c r="MCH157" s="54"/>
      <c r="MCI157" s="52"/>
      <c r="MCJ157" s="53"/>
      <c r="MCK157" s="8"/>
      <c r="MCL157" s="45"/>
      <c r="MCM157" s="45"/>
      <c r="MCN157" s="46"/>
      <c r="MCO157" s="44"/>
      <c r="MCP157" s="7"/>
      <c r="MCQ157" s="51"/>
      <c r="MCR157" s="52"/>
      <c r="MCS157" s="53"/>
      <c r="MCT157" s="54"/>
      <c r="MCU157" s="52"/>
      <c r="MCV157" s="53"/>
      <c r="MCW157" s="54"/>
      <c r="MCX157" s="52"/>
      <c r="MCY157" s="53"/>
      <c r="MCZ157" s="8"/>
      <c r="MDA157" s="45"/>
      <c r="MDB157" s="45"/>
      <c r="MDC157" s="46"/>
      <c r="MDD157" s="44"/>
      <c r="MDE157" s="7"/>
      <c r="MDF157" s="51"/>
      <c r="MDG157" s="52"/>
      <c r="MDH157" s="53"/>
      <c r="MDI157" s="54"/>
      <c r="MDJ157" s="52"/>
      <c r="MDK157" s="53"/>
      <c r="MDL157" s="54"/>
      <c r="MDM157" s="52"/>
      <c r="MDN157" s="53"/>
      <c r="MDO157" s="8"/>
      <c r="MDP157" s="45"/>
      <c r="MDQ157" s="45"/>
      <c r="MDR157" s="46"/>
      <c r="MDS157" s="44"/>
      <c r="MDT157" s="7"/>
      <c r="MDU157" s="51"/>
      <c r="MDV157" s="52"/>
      <c r="MDW157" s="53"/>
      <c r="MDX157" s="54"/>
      <c r="MDY157" s="52"/>
      <c r="MDZ157" s="53"/>
      <c r="MEA157" s="54"/>
      <c r="MEB157" s="52"/>
      <c r="MEC157" s="53"/>
      <c r="MED157" s="8"/>
      <c r="MEE157" s="45"/>
      <c r="MEF157" s="45"/>
      <c r="MEG157" s="46"/>
      <c r="MEH157" s="44"/>
      <c r="MEI157" s="7"/>
      <c r="MEJ157" s="51"/>
      <c r="MEK157" s="52"/>
      <c r="MEL157" s="53"/>
      <c r="MEM157" s="54"/>
      <c r="MEN157" s="52"/>
      <c r="MEO157" s="53"/>
      <c r="MEP157" s="54"/>
      <c r="MEQ157" s="52"/>
      <c r="MER157" s="53"/>
      <c r="MES157" s="8"/>
      <c r="MET157" s="45"/>
      <c r="MEU157" s="45"/>
      <c r="MEV157" s="46"/>
      <c r="MEW157" s="44"/>
      <c r="MEX157" s="7"/>
      <c r="MEY157" s="51"/>
      <c r="MEZ157" s="52"/>
      <c r="MFA157" s="53"/>
      <c r="MFB157" s="54"/>
      <c r="MFC157" s="52"/>
      <c r="MFD157" s="53"/>
      <c r="MFE157" s="54"/>
      <c r="MFF157" s="52"/>
      <c r="MFG157" s="53"/>
      <c r="MFH157" s="8"/>
      <c r="MFI157" s="45"/>
      <c r="MFJ157" s="45"/>
      <c r="MFK157" s="46"/>
      <c r="MFL157" s="44"/>
      <c r="MFM157" s="7"/>
      <c r="MFN157" s="51"/>
      <c r="MFO157" s="52"/>
      <c r="MFP157" s="53"/>
      <c r="MFQ157" s="54"/>
      <c r="MFR157" s="52"/>
      <c r="MFS157" s="53"/>
      <c r="MFT157" s="54"/>
      <c r="MFU157" s="52"/>
      <c r="MFV157" s="53"/>
      <c r="MFW157" s="8"/>
      <c r="MFX157" s="45"/>
      <c r="MFY157" s="45"/>
      <c r="MFZ157" s="46"/>
      <c r="MGA157" s="44"/>
      <c r="MGB157" s="7"/>
      <c r="MGC157" s="51"/>
      <c r="MGD157" s="52"/>
      <c r="MGE157" s="53"/>
      <c r="MGF157" s="54"/>
      <c r="MGG157" s="52"/>
      <c r="MGH157" s="53"/>
      <c r="MGI157" s="54"/>
      <c r="MGJ157" s="52"/>
      <c r="MGK157" s="53"/>
      <c r="MGL157" s="8"/>
      <c r="MGM157" s="45"/>
      <c r="MGN157" s="45"/>
      <c r="MGO157" s="46"/>
      <c r="MGP157" s="44"/>
      <c r="MGQ157" s="7"/>
      <c r="MGR157" s="51"/>
      <c r="MGS157" s="52"/>
      <c r="MGT157" s="53"/>
      <c r="MGU157" s="54"/>
      <c r="MGV157" s="52"/>
      <c r="MGW157" s="53"/>
      <c r="MGX157" s="54"/>
      <c r="MGY157" s="52"/>
      <c r="MGZ157" s="53"/>
      <c r="MHA157" s="8"/>
      <c r="MHB157" s="45"/>
      <c r="MHC157" s="45"/>
      <c r="MHD157" s="46"/>
      <c r="MHE157" s="44"/>
      <c r="MHF157" s="7"/>
      <c r="MHG157" s="51"/>
      <c r="MHH157" s="52"/>
      <c r="MHI157" s="53"/>
      <c r="MHJ157" s="54"/>
      <c r="MHK157" s="52"/>
      <c r="MHL157" s="53"/>
      <c r="MHM157" s="54"/>
      <c r="MHN157" s="52"/>
      <c r="MHO157" s="53"/>
      <c r="MHP157" s="8"/>
      <c r="MHQ157" s="45"/>
      <c r="MHR157" s="45"/>
      <c r="MHS157" s="46"/>
      <c r="MHT157" s="44"/>
      <c r="MHU157" s="7"/>
      <c r="MHV157" s="51"/>
      <c r="MHW157" s="52"/>
      <c r="MHX157" s="53"/>
      <c r="MHY157" s="54"/>
      <c r="MHZ157" s="52"/>
      <c r="MIA157" s="53"/>
      <c r="MIB157" s="54"/>
      <c r="MIC157" s="52"/>
      <c r="MID157" s="53"/>
      <c r="MIE157" s="8"/>
      <c r="MIF157" s="45"/>
      <c r="MIG157" s="45"/>
      <c r="MIH157" s="46"/>
      <c r="MII157" s="44"/>
      <c r="MIJ157" s="7"/>
      <c r="MIK157" s="51"/>
      <c r="MIL157" s="52"/>
      <c r="MIM157" s="53"/>
      <c r="MIN157" s="54"/>
      <c r="MIO157" s="52"/>
      <c r="MIP157" s="53"/>
      <c r="MIQ157" s="54"/>
      <c r="MIR157" s="52"/>
      <c r="MIS157" s="53"/>
      <c r="MIT157" s="8"/>
      <c r="MIU157" s="45"/>
      <c r="MIV157" s="45"/>
      <c r="MIW157" s="46"/>
      <c r="MIX157" s="44"/>
      <c r="MIY157" s="7"/>
      <c r="MIZ157" s="51"/>
      <c r="MJA157" s="52"/>
      <c r="MJB157" s="53"/>
      <c r="MJC157" s="54"/>
      <c r="MJD157" s="52"/>
      <c r="MJE157" s="53"/>
      <c r="MJF157" s="54"/>
      <c r="MJG157" s="52"/>
      <c r="MJH157" s="53"/>
      <c r="MJI157" s="8"/>
      <c r="MJJ157" s="45"/>
      <c r="MJK157" s="45"/>
      <c r="MJL157" s="46"/>
      <c r="MJM157" s="44"/>
      <c r="MJN157" s="7"/>
      <c r="MJO157" s="51"/>
      <c r="MJP157" s="52"/>
      <c r="MJQ157" s="53"/>
      <c r="MJR157" s="54"/>
      <c r="MJS157" s="52"/>
      <c r="MJT157" s="53"/>
      <c r="MJU157" s="54"/>
      <c r="MJV157" s="52"/>
      <c r="MJW157" s="53"/>
      <c r="MJX157" s="8"/>
      <c r="MJY157" s="45"/>
      <c r="MJZ157" s="45"/>
      <c r="MKA157" s="46"/>
      <c r="MKB157" s="44"/>
      <c r="MKC157" s="7"/>
      <c r="MKD157" s="51"/>
      <c r="MKE157" s="52"/>
      <c r="MKF157" s="53"/>
    </row>
    <row r="158" spans="1:9080">
      <c r="A158" s="44"/>
      <c r="B158" s="7"/>
      <c r="C158" s="51"/>
      <c r="D158" s="52"/>
      <c r="E158" s="53"/>
      <c r="F158" s="54"/>
      <c r="G158" s="52"/>
      <c r="H158" s="53"/>
      <c r="I158" s="54"/>
      <c r="J158" s="52"/>
      <c r="K158" s="53"/>
      <c r="L158" s="8"/>
      <c r="M158" s="45"/>
      <c r="N158" s="45"/>
      <c r="O158" s="46"/>
      <c r="NB158" s="54"/>
      <c r="NC158" s="52"/>
      <c r="ND158" s="53"/>
      <c r="NE158" s="54"/>
      <c r="NF158" s="52"/>
      <c r="NG158" s="53"/>
      <c r="NH158" s="8"/>
      <c r="NI158" s="45"/>
      <c r="NJ158" s="45"/>
      <c r="NK158" s="46"/>
      <c r="NL158" s="44"/>
      <c r="NM158" s="7"/>
      <c r="NN158" s="51"/>
      <c r="NO158" s="52"/>
      <c r="NP158" s="53"/>
      <c r="NQ158" s="54"/>
      <c r="NR158" s="52"/>
      <c r="NS158" s="53"/>
      <c r="NT158" s="54"/>
      <c r="NU158" s="52"/>
      <c r="NV158" s="53"/>
      <c r="NW158" s="8"/>
      <c r="NX158" s="45"/>
      <c r="NY158" s="45"/>
      <c r="NZ158" s="46"/>
      <c r="OA158" s="44"/>
      <c r="OB158" s="7"/>
      <c r="OC158" s="51"/>
      <c r="OD158" s="52"/>
      <c r="OE158" s="53"/>
      <c r="OF158" s="54"/>
      <c r="OG158" s="52"/>
      <c r="OH158" s="53"/>
      <c r="OI158" s="54"/>
      <c r="OJ158" s="52"/>
      <c r="OK158" s="53"/>
      <c r="OL158" s="8"/>
      <c r="OM158" s="45"/>
      <c r="ON158" s="45"/>
      <c r="OO158" s="46"/>
      <c r="OP158" s="44"/>
      <c r="OQ158" s="7"/>
      <c r="OR158" s="51"/>
      <c r="OS158" s="52"/>
      <c r="OT158" s="53"/>
      <c r="OU158" s="54"/>
      <c r="OV158" s="52"/>
      <c r="OW158" s="53"/>
      <c r="OX158" s="54"/>
      <c r="OY158" s="52"/>
      <c r="OZ158" s="53"/>
      <c r="PA158" s="8"/>
      <c r="PB158" s="45"/>
      <c r="PC158" s="45"/>
      <c r="PD158" s="46"/>
      <c r="PE158" s="44"/>
      <c r="PF158" s="7"/>
      <c r="PG158" s="51"/>
      <c r="PH158" s="52"/>
      <c r="PI158" s="53"/>
      <c r="PJ158" s="54"/>
      <c r="PK158" s="52"/>
      <c r="PL158" s="53"/>
      <c r="PM158" s="54"/>
      <c r="PN158" s="52"/>
      <c r="PO158" s="53"/>
      <c r="PP158" s="8"/>
      <c r="PQ158" s="45"/>
      <c r="PR158" s="45"/>
      <c r="PS158" s="46"/>
      <c r="PT158" s="44"/>
      <c r="PU158" s="7"/>
      <c r="PV158" s="51"/>
      <c r="PW158" s="52"/>
      <c r="PX158" s="53"/>
      <c r="PY158" s="54"/>
      <c r="PZ158" s="52"/>
      <c r="QA158" s="53"/>
      <c r="QB158" s="54"/>
      <c r="QC158" s="52"/>
      <c r="QD158" s="53"/>
      <c r="QE158" s="8"/>
      <c r="QF158" s="45"/>
      <c r="QG158" s="45"/>
      <c r="QH158" s="46"/>
      <c r="QI158" s="44"/>
      <c r="QJ158" s="7"/>
      <c r="QK158" s="51"/>
      <c r="QL158" s="52"/>
      <c r="QM158" s="53"/>
      <c r="QN158" s="54"/>
      <c r="QO158" s="52"/>
      <c r="QP158" s="53"/>
      <c r="QQ158" s="54"/>
      <c r="QR158" s="52"/>
      <c r="QS158" s="53"/>
      <c r="QT158" s="8"/>
      <c r="QU158" s="45"/>
      <c r="QV158" s="45"/>
      <c r="QW158" s="46"/>
      <c r="QX158" s="44"/>
      <c r="QY158" s="7"/>
      <c r="QZ158" s="51"/>
      <c r="RA158" s="52"/>
      <c r="RB158" s="53"/>
      <c r="RC158" s="54"/>
      <c r="RD158" s="52"/>
      <c r="RE158" s="53"/>
      <c r="RF158" s="54"/>
      <c r="RG158" s="52"/>
      <c r="RH158" s="53"/>
      <c r="RI158" s="8"/>
      <c r="RJ158" s="45"/>
      <c r="RK158" s="45"/>
      <c r="RL158" s="46"/>
      <c r="RM158" s="44"/>
      <c r="RN158" s="7"/>
      <c r="RO158" s="51"/>
      <c r="RP158" s="52"/>
      <c r="RQ158" s="53"/>
      <c r="RR158" s="54"/>
      <c r="RS158" s="52"/>
      <c r="RT158" s="53"/>
      <c r="RU158" s="54"/>
      <c r="RV158" s="52"/>
      <c r="RW158" s="53"/>
      <c r="RX158" s="8"/>
      <c r="RY158" s="45"/>
      <c r="RZ158" s="45"/>
      <c r="SA158" s="46"/>
      <c r="SB158" s="44"/>
      <c r="SC158" s="7"/>
      <c r="SD158" s="51"/>
      <c r="SE158" s="52"/>
      <c r="SF158" s="53"/>
      <c r="SG158" s="54"/>
      <c r="SH158" s="52"/>
      <c r="SI158" s="53"/>
      <c r="SJ158" s="54"/>
      <c r="SK158" s="52"/>
      <c r="SL158" s="53"/>
      <c r="SM158" s="8"/>
      <c r="SN158" s="45"/>
      <c r="SO158" s="45"/>
      <c r="SP158" s="46"/>
      <c r="SQ158" s="44"/>
      <c r="SR158" s="7"/>
      <c r="SS158" s="51"/>
      <c r="ST158" s="52"/>
      <c r="SU158" s="53"/>
      <c r="SV158" s="54"/>
      <c r="SW158" s="52"/>
      <c r="SX158" s="53"/>
      <c r="SY158" s="54"/>
      <c r="SZ158" s="52"/>
      <c r="TA158" s="53"/>
      <c r="TB158" s="8"/>
      <c r="TC158" s="45"/>
      <c r="TD158" s="45"/>
      <c r="TE158" s="46"/>
      <c r="TF158" s="44"/>
      <c r="TG158" s="7"/>
      <c r="TH158" s="51"/>
      <c r="TI158" s="52"/>
      <c r="TJ158" s="53"/>
      <c r="TK158" s="54"/>
      <c r="TL158" s="52"/>
      <c r="TM158" s="53"/>
      <c r="TN158" s="54"/>
      <c r="TO158" s="52"/>
      <c r="TP158" s="53"/>
      <c r="TQ158" s="8"/>
      <c r="TR158" s="45"/>
      <c r="TS158" s="45"/>
      <c r="TT158" s="46"/>
      <c r="TU158" s="44"/>
      <c r="TV158" s="7"/>
      <c r="TW158" s="51"/>
      <c r="TX158" s="52"/>
      <c r="TY158" s="53"/>
      <c r="TZ158" s="54"/>
      <c r="UA158" s="52"/>
      <c r="UB158" s="53"/>
      <c r="UC158" s="54"/>
      <c r="UD158" s="52"/>
      <c r="UE158" s="53"/>
      <c r="UF158" s="8"/>
      <c r="UG158" s="45"/>
      <c r="UH158" s="45"/>
      <c r="UI158" s="46"/>
      <c r="UJ158" s="44"/>
      <c r="UK158" s="7"/>
      <c r="UL158" s="51"/>
      <c r="UM158" s="52"/>
      <c r="UN158" s="53"/>
      <c r="UO158" s="54"/>
      <c r="UP158" s="52"/>
      <c r="UQ158" s="53"/>
      <c r="UR158" s="54"/>
      <c r="US158" s="52"/>
      <c r="UT158" s="53"/>
      <c r="UU158" s="8"/>
      <c r="UV158" s="45"/>
      <c r="UW158" s="45"/>
      <c r="UX158" s="46"/>
      <c r="UY158" s="44"/>
      <c r="UZ158" s="7"/>
      <c r="VA158" s="51"/>
      <c r="VB158" s="52"/>
      <c r="VC158" s="53"/>
      <c r="VD158" s="54"/>
      <c r="VE158" s="52"/>
      <c r="VF158" s="53"/>
      <c r="VG158" s="54"/>
      <c r="VH158" s="52"/>
      <c r="VI158" s="53"/>
      <c r="VJ158" s="8"/>
      <c r="VK158" s="45"/>
      <c r="VL158" s="45"/>
      <c r="VM158" s="46"/>
      <c r="VN158" s="44"/>
      <c r="VO158" s="7"/>
      <c r="VP158" s="51"/>
      <c r="VQ158" s="52"/>
      <c r="VR158" s="53"/>
      <c r="VS158" s="54"/>
      <c r="VT158" s="52"/>
      <c r="VU158" s="53"/>
      <c r="VV158" s="54"/>
      <c r="VW158" s="52"/>
      <c r="VX158" s="53"/>
      <c r="VY158" s="8"/>
      <c r="VZ158" s="45"/>
      <c r="WA158" s="45"/>
      <c r="WB158" s="46"/>
      <c r="WC158" s="44"/>
      <c r="WD158" s="7"/>
      <c r="WE158" s="51"/>
      <c r="WF158" s="52"/>
      <c r="WG158" s="53"/>
      <c r="WH158" s="54"/>
      <c r="WI158" s="52"/>
      <c r="WJ158" s="53"/>
      <c r="WK158" s="54"/>
      <c r="WL158" s="52"/>
      <c r="WM158" s="53"/>
      <c r="WN158" s="8"/>
      <c r="WO158" s="45"/>
      <c r="WP158" s="45"/>
      <c r="WQ158" s="46"/>
      <c r="WR158" s="44"/>
      <c r="WS158" s="7"/>
      <c r="WT158" s="51"/>
      <c r="WU158" s="52"/>
      <c r="WV158" s="53"/>
      <c r="WW158" s="54"/>
      <c r="WX158" s="52"/>
      <c r="WY158" s="53"/>
      <c r="WZ158" s="54"/>
      <c r="XA158" s="52"/>
      <c r="XB158" s="53"/>
      <c r="XC158" s="8"/>
      <c r="XD158" s="45"/>
      <c r="XE158" s="45"/>
      <c r="XF158" s="46"/>
      <c r="XG158" s="44"/>
      <c r="XH158" s="7"/>
      <c r="XI158" s="51"/>
      <c r="XJ158" s="52"/>
      <c r="XK158" s="53"/>
      <c r="XL158" s="54"/>
      <c r="XM158" s="52"/>
      <c r="XN158" s="53"/>
      <c r="XO158" s="54"/>
      <c r="XP158" s="52"/>
      <c r="XQ158" s="53"/>
      <c r="XR158" s="8"/>
      <c r="XS158" s="45"/>
      <c r="XT158" s="45"/>
      <c r="XU158" s="46"/>
      <c r="XV158" s="44"/>
      <c r="XW158" s="7"/>
      <c r="XX158" s="51"/>
      <c r="XY158" s="52"/>
      <c r="XZ158" s="53"/>
      <c r="YA158" s="54"/>
      <c r="YB158" s="52"/>
      <c r="YC158" s="53"/>
      <c r="YD158" s="54"/>
      <c r="YE158" s="52"/>
      <c r="YF158" s="53"/>
      <c r="YG158" s="8"/>
      <c r="YH158" s="45"/>
      <c r="YI158" s="45"/>
      <c r="YJ158" s="46"/>
      <c r="YK158" s="44"/>
      <c r="YL158" s="7"/>
      <c r="YM158" s="51"/>
      <c r="YN158" s="52"/>
      <c r="YO158" s="53"/>
      <c r="YP158" s="54"/>
      <c r="YQ158" s="52"/>
      <c r="YR158" s="53"/>
      <c r="YS158" s="54"/>
      <c r="YT158" s="52"/>
      <c r="YU158" s="53"/>
      <c r="YV158" s="8"/>
      <c r="YW158" s="45"/>
      <c r="YX158" s="45"/>
      <c r="YY158" s="46"/>
      <c r="YZ158" s="44"/>
      <c r="ZA158" s="7"/>
      <c r="ZB158" s="51"/>
      <c r="ZC158" s="52"/>
      <c r="ZD158" s="53"/>
      <c r="ZE158" s="54"/>
      <c r="ZF158" s="52"/>
      <c r="ZG158" s="53"/>
      <c r="ZH158" s="54"/>
      <c r="ZI158" s="52"/>
      <c r="ZJ158" s="53"/>
      <c r="ZK158" s="8"/>
      <c r="ZL158" s="45"/>
      <c r="ZM158" s="45"/>
      <c r="ZN158" s="46"/>
      <c r="ZO158" s="44"/>
      <c r="ZP158" s="7"/>
      <c r="ZQ158" s="51"/>
      <c r="ZR158" s="52"/>
      <c r="ZS158" s="53"/>
      <c r="ZT158" s="54"/>
      <c r="ZU158" s="52"/>
      <c r="ZV158" s="53"/>
      <c r="ZW158" s="54"/>
      <c r="ZX158" s="52"/>
      <c r="ZY158" s="53"/>
      <c r="ZZ158" s="8"/>
      <c r="AAA158" s="45"/>
      <c r="AAB158" s="45"/>
      <c r="AAC158" s="46"/>
      <c r="AAD158" s="44"/>
      <c r="AAE158" s="7"/>
      <c r="AAF158" s="51"/>
      <c r="AAG158" s="52"/>
      <c r="AAH158" s="53"/>
      <c r="AAI158" s="54"/>
      <c r="AAJ158" s="52"/>
      <c r="AAK158" s="53"/>
      <c r="AAL158" s="54"/>
      <c r="AAM158" s="52"/>
      <c r="AAN158" s="53"/>
      <c r="AAO158" s="8"/>
      <c r="AAP158" s="45"/>
      <c r="AAQ158" s="45"/>
      <c r="AAR158" s="46"/>
      <c r="AAS158" s="44"/>
      <c r="AAT158" s="7"/>
      <c r="AAU158" s="51"/>
      <c r="AAV158" s="52"/>
      <c r="AAW158" s="53"/>
      <c r="AAX158" s="54"/>
      <c r="AAY158" s="52"/>
      <c r="AAZ158" s="53"/>
      <c r="ABA158" s="54"/>
      <c r="ABB158" s="52"/>
      <c r="ABC158" s="53"/>
      <c r="ABD158" s="8"/>
      <c r="ABE158" s="45"/>
      <c r="ABF158" s="45"/>
      <c r="ABG158" s="46"/>
      <c r="ABH158" s="44"/>
      <c r="ABI158" s="7"/>
      <c r="ABJ158" s="51"/>
      <c r="ABK158" s="52"/>
      <c r="ABL158" s="53"/>
      <c r="ABM158" s="54"/>
      <c r="ABN158" s="52"/>
      <c r="ABO158" s="53"/>
      <c r="ABP158" s="54"/>
      <c r="ABQ158" s="52"/>
      <c r="ABR158" s="53"/>
      <c r="ABS158" s="8"/>
      <c r="ABT158" s="45"/>
      <c r="ABU158" s="45"/>
      <c r="ABV158" s="46"/>
      <c r="ABW158" s="44"/>
      <c r="ABX158" s="7"/>
      <c r="ABY158" s="51"/>
      <c r="ABZ158" s="52"/>
      <c r="ACA158" s="53"/>
      <c r="ACB158" s="54"/>
      <c r="ACC158" s="52"/>
      <c r="ACD158" s="53"/>
      <c r="ACE158" s="54"/>
      <c r="ACF158" s="52"/>
      <c r="ACG158" s="53"/>
      <c r="ACH158" s="8"/>
      <c r="ACI158" s="45"/>
      <c r="ACJ158" s="45"/>
      <c r="ACK158" s="46"/>
      <c r="ACL158" s="44"/>
      <c r="ACM158" s="7"/>
      <c r="ACN158" s="51"/>
      <c r="ACO158" s="52"/>
      <c r="ACP158" s="53"/>
      <c r="ACQ158" s="54"/>
      <c r="ACR158" s="52"/>
      <c r="ACS158" s="53"/>
      <c r="ACT158" s="54"/>
      <c r="ACU158" s="52"/>
      <c r="ACV158" s="53"/>
      <c r="ACW158" s="8"/>
      <c r="ACX158" s="45"/>
      <c r="ACY158" s="45"/>
      <c r="ACZ158" s="46"/>
      <c r="ADA158" s="44"/>
      <c r="ADB158" s="7"/>
      <c r="ADC158" s="51"/>
      <c r="ADD158" s="52"/>
      <c r="ADE158" s="53"/>
      <c r="ADF158" s="54"/>
      <c r="ADG158" s="52"/>
      <c r="ADH158" s="53"/>
      <c r="ADI158" s="54"/>
      <c r="ADJ158" s="52"/>
      <c r="ADK158" s="53"/>
      <c r="ADL158" s="8"/>
      <c r="ADM158" s="45"/>
      <c r="ADN158" s="45"/>
      <c r="ADO158" s="46"/>
      <c r="ADP158" s="44"/>
      <c r="ADQ158" s="7"/>
      <c r="ADR158" s="51"/>
      <c r="ADS158" s="52"/>
      <c r="ADT158" s="53"/>
      <c r="ADU158" s="54"/>
      <c r="ADV158" s="52"/>
      <c r="ADW158" s="53"/>
      <c r="ADX158" s="54"/>
      <c r="ADY158" s="52"/>
      <c r="ADZ158" s="53"/>
      <c r="AEA158" s="8"/>
      <c r="AEB158" s="45"/>
      <c r="AEC158" s="45"/>
      <c r="AED158" s="46"/>
      <c r="AEE158" s="44"/>
      <c r="AEF158" s="7"/>
      <c r="AEG158" s="51"/>
      <c r="AEH158" s="52"/>
      <c r="AEI158" s="53"/>
      <c r="AEJ158" s="54"/>
      <c r="AEK158" s="52"/>
      <c r="AEL158" s="53"/>
      <c r="AEM158" s="54"/>
      <c r="AEN158" s="52"/>
      <c r="AEO158" s="53"/>
      <c r="AEP158" s="8"/>
      <c r="AEQ158" s="45"/>
      <c r="AER158" s="45"/>
      <c r="AES158" s="46"/>
      <c r="AET158" s="44"/>
      <c r="AEU158" s="7"/>
      <c r="AEV158" s="51"/>
      <c r="AEW158" s="52"/>
      <c r="AEX158" s="53"/>
      <c r="AEY158" s="54"/>
      <c r="AEZ158" s="52"/>
      <c r="AFA158" s="53"/>
      <c r="AFB158" s="54"/>
      <c r="AFC158" s="52"/>
      <c r="AFD158" s="53"/>
      <c r="AFE158" s="8"/>
      <c r="AFF158" s="45"/>
      <c r="AFG158" s="45"/>
      <c r="AFH158" s="46"/>
      <c r="AFI158" s="44"/>
      <c r="AFJ158" s="7"/>
      <c r="AFK158" s="51"/>
      <c r="AFL158" s="52"/>
      <c r="AFM158" s="53"/>
      <c r="AFN158" s="54"/>
      <c r="AFO158" s="52"/>
      <c r="AFP158" s="53"/>
      <c r="AFQ158" s="54"/>
      <c r="AFR158" s="52"/>
      <c r="AFS158" s="53"/>
      <c r="AFT158" s="8"/>
      <c r="AFU158" s="45"/>
      <c r="AFV158" s="45"/>
      <c r="AFW158" s="46"/>
      <c r="AFX158" s="44"/>
      <c r="AFY158" s="7"/>
      <c r="AFZ158" s="51"/>
      <c r="AGA158" s="52"/>
      <c r="AGB158" s="53"/>
      <c r="AGC158" s="54"/>
      <c r="AGD158" s="52"/>
      <c r="AGE158" s="53"/>
      <c r="AGF158" s="54"/>
      <c r="AGG158" s="52"/>
      <c r="AGH158" s="53"/>
      <c r="AGI158" s="8"/>
      <c r="AGJ158" s="45"/>
      <c r="AGK158" s="45"/>
      <c r="AGL158" s="46"/>
      <c r="AGM158" s="44"/>
      <c r="AGN158" s="7"/>
      <c r="AGO158" s="51"/>
      <c r="AGP158" s="52"/>
      <c r="AGQ158" s="53"/>
      <c r="AGR158" s="54"/>
      <c r="AGS158" s="52"/>
      <c r="AGT158" s="53"/>
      <c r="AGU158" s="54"/>
      <c r="AGV158" s="52"/>
      <c r="AGW158" s="53"/>
      <c r="AGX158" s="8"/>
      <c r="AGY158" s="45"/>
      <c r="AGZ158" s="45"/>
      <c r="AHA158" s="46"/>
      <c r="AHB158" s="44"/>
      <c r="AHC158" s="7"/>
      <c r="AHD158" s="51"/>
      <c r="AHE158" s="52"/>
      <c r="AHF158" s="53"/>
      <c r="AHG158" s="54"/>
      <c r="AHH158" s="52"/>
      <c r="AHI158" s="53"/>
      <c r="AHJ158" s="54"/>
      <c r="AHK158" s="52"/>
      <c r="AHL158" s="53"/>
      <c r="AHM158" s="8"/>
      <c r="AHN158" s="45"/>
      <c r="AHO158" s="45"/>
      <c r="AHP158" s="46"/>
      <c r="AHQ158" s="44"/>
      <c r="AHR158" s="7"/>
      <c r="AHS158" s="51"/>
      <c r="AHT158" s="52"/>
      <c r="AHU158" s="53"/>
      <c r="AHV158" s="54"/>
      <c r="AHW158" s="52"/>
      <c r="AHX158" s="53"/>
      <c r="AHY158" s="54"/>
      <c r="AHZ158" s="52"/>
      <c r="AIA158" s="53"/>
      <c r="AIB158" s="8"/>
      <c r="AIC158" s="45"/>
      <c r="AID158" s="45"/>
      <c r="AIE158" s="46"/>
      <c r="AIF158" s="44"/>
      <c r="AIG158" s="7"/>
      <c r="AIH158" s="51"/>
      <c r="AII158" s="52"/>
      <c r="AIJ158" s="53"/>
      <c r="AIK158" s="54"/>
      <c r="AIL158" s="52"/>
      <c r="AIM158" s="53"/>
      <c r="AIN158" s="54"/>
      <c r="AIO158" s="52"/>
      <c r="AIP158" s="53"/>
      <c r="AIQ158" s="8"/>
      <c r="AIR158" s="45"/>
      <c r="AIS158" s="45"/>
      <c r="AIT158" s="46"/>
      <c r="AIU158" s="44"/>
      <c r="AIV158" s="7"/>
      <c r="AIW158" s="51"/>
      <c r="AIX158" s="52"/>
      <c r="AIY158" s="53"/>
      <c r="AIZ158" s="54"/>
      <c r="AJA158" s="52"/>
      <c r="AJB158" s="53"/>
      <c r="AJC158" s="54"/>
      <c r="AJD158" s="52"/>
      <c r="AJE158" s="53"/>
      <c r="AJF158" s="8"/>
      <c r="AJG158" s="45"/>
      <c r="AJH158" s="45"/>
      <c r="AJI158" s="46"/>
      <c r="AJJ158" s="44"/>
      <c r="AJK158" s="7"/>
      <c r="AJL158" s="51"/>
      <c r="AJM158" s="52"/>
      <c r="AJN158" s="53"/>
      <c r="AJO158" s="54"/>
      <c r="AJP158" s="52"/>
      <c r="AJQ158" s="53"/>
      <c r="AJR158" s="54"/>
      <c r="AJS158" s="52"/>
      <c r="AJT158" s="53"/>
      <c r="AJU158" s="8"/>
      <c r="AJV158" s="45"/>
      <c r="AJW158" s="45"/>
      <c r="AJX158" s="46"/>
      <c r="AJY158" s="44"/>
      <c r="AJZ158" s="7"/>
      <c r="AKA158" s="51"/>
      <c r="AKB158" s="52"/>
      <c r="AKC158" s="53"/>
      <c r="AKD158" s="54"/>
      <c r="AKE158" s="52"/>
      <c r="AKF158" s="53"/>
      <c r="AKG158" s="54"/>
      <c r="AKH158" s="52"/>
      <c r="AKI158" s="53"/>
      <c r="AKJ158" s="8"/>
      <c r="AKK158" s="45"/>
      <c r="AKL158" s="45"/>
      <c r="AKM158" s="46"/>
      <c r="AKN158" s="44"/>
      <c r="AKO158" s="7"/>
      <c r="AKP158" s="51"/>
      <c r="AKQ158" s="52"/>
      <c r="AKR158" s="53"/>
      <c r="AKS158" s="54"/>
      <c r="AKT158" s="52"/>
      <c r="AKU158" s="53"/>
      <c r="AKV158" s="54"/>
      <c r="AKW158" s="52"/>
      <c r="AKX158" s="53"/>
      <c r="AKY158" s="8"/>
      <c r="AKZ158" s="45"/>
      <c r="ALA158" s="45"/>
      <c r="ALB158" s="46"/>
      <c r="ALC158" s="44"/>
      <c r="ALD158" s="7"/>
      <c r="ALE158" s="51"/>
      <c r="ALF158" s="52"/>
      <c r="ALG158" s="53"/>
      <c r="ALH158" s="54"/>
      <c r="ALI158" s="52"/>
      <c r="ALJ158" s="53"/>
      <c r="ALK158" s="54"/>
      <c r="ALL158" s="52"/>
      <c r="ALM158" s="53"/>
      <c r="ALN158" s="8"/>
      <c r="ALO158" s="45"/>
      <c r="ALP158" s="45"/>
      <c r="ALQ158" s="46"/>
      <c r="ALR158" s="44"/>
      <c r="ALS158" s="7"/>
      <c r="ALT158" s="51"/>
      <c r="ALU158" s="52"/>
      <c r="ALV158" s="53"/>
      <c r="ALW158" s="54"/>
      <c r="ALX158" s="52"/>
      <c r="ALY158" s="53"/>
      <c r="ALZ158" s="54"/>
      <c r="AMA158" s="52"/>
      <c r="AMB158" s="53"/>
      <c r="AMC158" s="8"/>
      <c r="AMD158" s="45"/>
      <c r="AME158" s="45"/>
      <c r="AMF158" s="46"/>
      <c r="AMG158" s="44"/>
      <c r="AMH158" s="7"/>
      <c r="AMI158" s="51"/>
      <c r="AMJ158" s="52"/>
      <c r="AMK158" s="53"/>
      <c r="AML158" s="54"/>
      <c r="AMM158" s="52"/>
      <c r="AMN158" s="53"/>
      <c r="AMO158" s="54"/>
      <c r="AMP158" s="52"/>
      <c r="AMQ158" s="53"/>
      <c r="AMR158" s="8"/>
      <c r="AMS158" s="45"/>
      <c r="AMT158" s="45"/>
      <c r="AMU158" s="46"/>
      <c r="AMV158" s="44"/>
      <c r="AMW158" s="7"/>
      <c r="AMX158" s="51"/>
      <c r="AMY158" s="52"/>
      <c r="AMZ158" s="53"/>
      <c r="ANA158" s="54"/>
      <c r="ANB158" s="52"/>
      <c r="ANC158" s="53"/>
      <c r="AND158" s="54"/>
      <c r="ANE158" s="52"/>
      <c r="ANF158" s="53"/>
      <c r="ANG158" s="8"/>
      <c r="ANH158" s="45"/>
      <c r="ANI158" s="45"/>
      <c r="ANJ158" s="46"/>
      <c r="ANK158" s="44"/>
      <c r="ANL158" s="7"/>
      <c r="ANM158" s="51"/>
      <c r="ANN158" s="52"/>
      <c r="ANO158" s="53"/>
      <c r="ANP158" s="54"/>
      <c r="ANQ158" s="52"/>
      <c r="ANR158" s="53"/>
      <c r="ANS158" s="54"/>
      <c r="ANT158" s="52"/>
      <c r="ANU158" s="53"/>
      <c r="ANV158" s="8"/>
      <c r="ANW158" s="45"/>
      <c r="ANX158" s="45"/>
      <c r="ANY158" s="46"/>
      <c r="ANZ158" s="44"/>
      <c r="AOA158" s="7"/>
      <c r="AOB158" s="51"/>
      <c r="AOC158" s="52"/>
      <c r="AOD158" s="53"/>
      <c r="AOE158" s="54"/>
      <c r="AOF158" s="52"/>
      <c r="AOG158" s="53"/>
      <c r="AOH158" s="54"/>
      <c r="AOI158" s="52"/>
      <c r="AOJ158" s="53"/>
      <c r="AOK158" s="8"/>
      <c r="AOL158" s="45"/>
      <c r="AOM158" s="45"/>
      <c r="AON158" s="46"/>
      <c r="AOO158" s="44"/>
      <c r="AOP158" s="7"/>
      <c r="AOQ158" s="51"/>
      <c r="AOR158" s="52"/>
      <c r="AOS158" s="53"/>
      <c r="AOT158" s="54"/>
      <c r="AOU158" s="52"/>
      <c r="AOV158" s="53"/>
      <c r="AOW158" s="54"/>
      <c r="AOX158" s="52"/>
      <c r="AOY158" s="53"/>
      <c r="AOZ158" s="8"/>
      <c r="APA158" s="45"/>
      <c r="APB158" s="45"/>
      <c r="APC158" s="46"/>
      <c r="APD158" s="44"/>
      <c r="APE158" s="7"/>
      <c r="APF158" s="51"/>
      <c r="APG158" s="52"/>
      <c r="APH158" s="53"/>
      <c r="API158" s="54"/>
      <c r="APJ158" s="52"/>
      <c r="APK158" s="53"/>
      <c r="APL158" s="54"/>
      <c r="APM158" s="52"/>
      <c r="APN158" s="53"/>
      <c r="APO158" s="8"/>
      <c r="APP158" s="45"/>
      <c r="APQ158" s="45"/>
      <c r="APR158" s="46"/>
      <c r="APS158" s="44"/>
      <c r="APT158" s="7"/>
      <c r="APU158" s="51"/>
      <c r="APV158" s="52"/>
      <c r="APW158" s="53"/>
      <c r="APX158" s="54"/>
      <c r="APY158" s="52"/>
      <c r="APZ158" s="53"/>
      <c r="AQA158" s="54"/>
      <c r="AQB158" s="52"/>
      <c r="AQC158" s="53"/>
      <c r="AQD158" s="8"/>
      <c r="AQE158" s="45"/>
      <c r="AQF158" s="45"/>
      <c r="AQG158" s="46"/>
      <c r="AQH158" s="44"/>
      <c r="AQI158" s="7"/>
      <c r="AQJ158" s="51"/>
      <c r="AQK158" s="52"/>
      <c r="AQL158" s="53"/>
      <c r="AQM158" s="54"/>
      <c r="AQN158" s="52"/>
      <c r="AQO158" s="53"/>
      <c r="AQP158" s="54"/>
      <c r="AQQ158" s="52"/>
      <c r="AQR158" s="53"/>
      <c r="AQS158" s="8"/>
      <c r="AQT158" s="45"/>
      <c r="AQU158" s="45"/>
      <c r="AQV158" s="46"/>
      <c r="AQW158" s="44"/>
      <c r="AQX158" s="7"/>
      <c r="AQY158" s="51"/>
      <c r="AQZ158" s="52"/>
      <c r="ARA158" s="53"/>
      <c r="ARB158" s="54"/>
      <c r="ARC158" s="52"/>
      <c r="ARD158" s="53"/>
      <c r="ARE158" s="54"/>
      <c r="ARF158" s="52"/>
      <c r="ARG158" s="53"/>
      <c r="ARH158" s="8"/>
      <c r="ARI158" s="45"/>
      <c r="ARJ158" s="45"/>
      <c r="ARK158" s="46"/>
      <c r="ARL158" s="44"/>
      <c r="ARM158" s="7"/>
      <c r="ARN158" s="51"/>
      <c r="ARO158" s="52"/>
      <c r="ARP158" s="53"/>
      <c r="ARQ158" s="54"/>
      <c r="ARR158" s="52"/>
      <c r="ARS158" s="53"/>
      <c r="ART158" s="54"/>
      <c r="ARU158" s="52"/>
      <c r="ARV158" s="53"/>
      <c r="ARW158" s="8"/>
      <c r="ARX158" s="45"/>
      <c r="ARY158" s="45"/>
      <c r="ARZ158" s="46"/>
      <c r="ASA158" s="44"/>
      <c r="ASB158" s="7"/>
      <c r="ASC158" s="51"/>
      <c r="ASD158" s="52"/>
      <c r="ASE158" s="53"/>
      <c r="ASF158" s="54"/>
      <c r="ASG158" s="52"/>
      <c r="ASH158" s="53"/>
      <c r="ASI158" s="54"/>
      <c r="ASJ158" s="52"/>
      <c r="ASK158" s="53"/>
      <c r="ASL158" s="8"/>
      <c r="ASM158" s="45"/>
      <c r="ASN158" s="45"/>
      <c r="ASO158" s="46"/>
      <c r="ASP158" s="44"/>
      <c r="ASQ158" s="7"/>
      <c r="ASR158" s="51"/>
      <c r="ASS158" s="52"/>
      <c r="AST158" s="53"/>
      <c r="ASU158" s="54"/>
      <c r="ASV158" s="52"/>
      <c r="ASW158" s="53"/>
      <c r="ASX158" s="54"/>
      <c r="ASY158" s="52"/>
      <c r="ASZ158" s="53"/>
      <c r="ATA158" s="8"/>
      <c r="ATB158" s="45"/>
      <c r="ATC158" s="45"/>
      <c r="ATD158" s="46"/>
      <c r="ATE158" s="44"/>
      <c r="ATF158" s="7"/>
      <c r="ATG158" s="51"/>
      <c r="ATH158" s="52"/>
      <c r="ATI158" s="53"/>
      <c r="ATJ158" s="54"/>
      <c r="ATK158" s="52"/>
      <c r="ATL158" s="53"/>
      <c r="ATM158" s="54"/>
      <c r="ATN158" s="52"/>
      <c r="ATO158" s="53"/>
      <c r="ATP158" s="8"/>
      <c r="ATQ158" s="45"/>
      <c r="ATR158" s="45"/>
      <c r="ATS158" s="46"/>
      <c r="ATT158" s="44"/>
      <c r="ATU158" s="7"/>
      <c r="ATV158" s="51"/>
      <c r="ATW158" s="52"/>
      <c r="ATX158" s="53"/>
      <c r="ATY158" s="54"/>
      <c r="ATZ158" s="52"/>
      <c r="AUA158" s="53"/>
      <c r="AUB158" s="54"/>
      <c r="AUC158" s="52"/>
      <c r="AUD158" s="53"/>
      <c r="AUE158" s="8"/>
      <c r="AUF158" s="45"/>
      <c r="AUG158" s="45"/>
      <c r="AUH158" s="46"/>
      <c r="AUI158" s="44"/>
      <c r="AUJ158" s="7"/>
      <c r="AUK158" s="51"/>
      <c r="AUL158" s="52"/>
      <c r="AUM158" s="53"/>
      <c r="AUN158" s="54"/>
      <c r="AUO158" s="52"/>
      <c r="AUP158" s="53"/>
      <c r="AUQ158" s="54"/>
      <c r="AUR158" s="52"/>
      <c r="AUS158" s="53"/>
      <c r="AUT158" s="8"/>
      <c r="AUU158" s="45"/>
      <c r="AUV158" s="45"/>
      <c r="AUW158" s="46"/>
      <c r="AUX158" s="44"/>
      <c r="AUY158" s="7"/>
      <c r="AUZ158" s="51"/>
      <c r="AVA158" s="52"/>
      <c r="AVB158" s="53"/>
      <c r="AVC158" s="54"/>
      <c r="AVD158" s="52"/>
      <c r="AVE158" s="53"/>
      <c r="AVF158" s="54"/>
      <c r="AVG158" s="52"/>
      <c r="AVH158" s="53"/>
      <c r="AVI158" s="8"/>
      <c r="AVJ158" s="45"/>
      <c r="AVK158" s="45"/>
      <c r="AVL158" s="46"/>
      <c r="AVM158" s="44"/>
      <c r="AVN158" s="7"/>
      <c r="AVO158" s="51"/>
      <c r="AVP158" s="52"/>
      <c r="AVQ158" s="53"/>
      <c r="AVR158" s="54"/>
      <c r="AVS158" s="52"/>
      <c r="AVT158" s="53"/>
      <c r="AVU158" s="54"/>
      <c r="AVV158" s="52"/>
      <c r="AVW158" s="53"/>
      <c r="AVX158" s="8"/>
      <c r="AVY158" s="45"/>
      <c r="AVZ158" s="45"/>
      <c r="AWA158" s="46"/>
      <c r="AWB158" s="44"/>
      <c r="AWC158" s="7"/>
      <c r="AWD158" s="51"/>
      <c r="AWE158" s="52"/>
      <c r="AWF158" s="53"/>
      <c r="AWG158" s="54"/>
      <c r="AWH158" s="52"/>
      <c r="AWI158" s="53"/>
      <c r="AWJ158" s="54"/>
      <c r="AWK158" s="52"/>
      <c r="AWL158" s="53"/>
      <c r="AWM158" s="8"/>
      <c r="AWN158" s="45"/>
      <c r="AWO158" s="45"/>
      <c r="AWP158" s="46"/>
      <c r="AWQ158" s="44"/>
      <c r="AWR158" s="7"/>
      <c r="AWS158" s="51"/>
      <c r="AWT158" s="52"/>
      <c r="AWU158" s="53"/>
      <c r="AWV158" s="54"/>
      <c r="AWW158" s="52"/>
      <c r="AWX158" s="53"/>
      <c r="AWY158" s="54"/>
      <c r="AWZ158" s="52"/>
      <c r="AXA158" s="53"/>
      <c r="AXB158" s="8"/>
      <c r="AXC158" s="45"/>
      <c r="AXD158" s="45"/>
      <c r="AXE158" s="46"/>
      <c r="AXF158" s="44"/>
      <c r="AXG158" s="7"/>
      <c r="AXH158" s="51"/>
      <c r="AXI158" s="52"/>
      <c r="AXJ158" s="53"/>
      <c r="AXK158" s="54"/>
      <c r="AXL158" s="52"/>
      <c r="AXM158" s="53"/>
      <c r="AXN158" s="54"/>
      <c r="AXO158" s="52"/>
      <c r="AXP158" s="53"/>
      <c r="AXQ158" s="8"/>
      <c r="AXR158" s="45"/>
      <c r="AXS158" s="45"/>
      <c r="AXT158" s="46"/>
      <c r="AXU158" s="44"/>
      <c r="AXV158" s="7"/>
      <c r="AXW158" s="51"/>
      <c r="AXX158" s="52"/>
      <c r="AXY158" s="53"/>
      <c r="AXZ158" s="54"/>
      <c r="AYA158" s="52"/>
      <c r="AYB158" s="53"/>
      <c r="AYC158" s="54"/>
      <c r="AYD158" s="52"/>
      <c r="AYE158" s="53"/>
      <c r="AYF158" s="8"/>
      <c r="AYG158" s="45"/>
      <c r="AYH158" s="45"/>
      <c r="AYI158" s="46"/>
      <c r="AYJ158" s="44"/>
      <c r="AYK158" s="7"/>
      <c r="AYL158" s="51"/>
      <c r="AYM158" s="52"/>
      <c r="AYN158" s="53"/>
      <c r="AYO158" s="54"/>
      <c r="AYP158" s="52"/>
      <c r="AYQ158" s="53"/>
      <c r="AYR158" s="54"/>
      <c r="AYS158" s="52"/>
      <c r="AYT158" s="53"/>
      <c r="AYU158" s="8"/>
      <c r="AYV158" s="45"/>
      <c r="AYW158" s="45"/>
      <c r="AYX158" s="46"/>
      <c r="AYY158" s="44"/>
      <c r="AYZ158" s="7"/>
      <c r="AZA158" s="51"/>
      <c r="AZB158" s="52"/>
      <c r="AZC158" s="53"/>
      <c r="AZD158" s="54"/>
      <c r="AZE158" s="52"/>
      <c r="AZF158" s="53"/>
      <c r="AZG158" s="54"/>
      <c r="AZH158" s="52"/>
      <c r="AZI158" s="53"/>
      <c r="AZJ158" s="8"/>
      <c r="AZK158" s="45"/>
      <c r="AZL158" s="45"/>
      <c r="AZM158" s="46"/>
      <c r="AZN158" s="44"/>
      <c r="AZO158" s="7"/>
      <c r="AZP158" s="51"/>
      <c r="AZQ158" s="52"/>
      <c r="AZR158" s="53"/>
      <c r="AZS158" s="54"/>
      <c r="AZT158" s="52"/>
      <c r="AZU158" s="53"/>
      <c r="AZV158" s="54"/>
      <c r="AZW158" s="52"/>
      <c r="AZX158" s="53"/>
      <c r="AZY158" s="8"/>
      <c r="AZZ158" s="45"/>
      <c r="BAA158" s="45"/>
      <c r="BAB158" s="46"/>
      <c r="BAC158" s="44"/>
      <c r="BAD158" s="7"/>
      <c r="BAE158" s="51"/>
      <c r="BAF158" s="52"/>
      <c r="BAG158" s="53"/>
      <c r="BAH158" s="54"/>
      <c r="BAI158" s="52"/>
      <c r="BAJ158" s="53"/>
      <c r="BAK158" s="54"/>
      <c r="BAL158" s="52"/>
      <c r="BAM158" s="53"/>
      <c r="BAN158" s="8"/>
      <c r="BAO158" s="45"/>
      <c r="BAP158" s="45"/>
      <c r="BAQ158" s="46"/>
      <c r="BAR158" s="44"/>
      <c r="BAS158" s="7"/>
      <c r="BAT158" s="51"/>
      <c r="BAU158" s="52"/>
      <c r="BAV158" s="53"/>
      <c r="BAW158" s="54"/>
      <c r="BAX158" s="52"/>
      <c r="BAY158" s="53"/>
      <c r="BAZ158" s="54"/>
      <c r="BBA158" s="52"/>
      <c r="BBB158" s="53"/>
      <c r="BBC158" s="8"/>
      <c r="BBD158" s="45"/>
      <c r="BBE158" s="45"/>
      <c r="BBF158" s="46"/>
      <c r="BBG158" s="44"/>
      <c r="BBH158" s="7"/>
      <c r="BBI158" s="51"/>
      <c r="BBJ158" s="52"/>
      <c r="BBK158" s="53"/>
      <c r="BBL158" s="54"/>
      <c r="BBM158" s="52"/>
      <c r="BBN158" s="53"/>
      <c r="BBO158" s="54"/>
      <c r="BBP158" s="52"/>
      <c r="BBQ158" s="53"/>
      <c r="BBR158" s="8"/>
      <c r="BBS158" s="45"/>
      <c r="BBT158" s="45"/>
      <c r="BBU158" s="46"/>
      <c r="BBV158" s="44"/>
      <c r="BBW158" s="7"/>
      <c r="BBX158" s="51"/>
      <c r="BBY158" s="52"/>
      <c r="BBZ158" s="53"/>
      <c r="BCA158" s="54"/>
      <c r="BCB158" s="52"/>
      <c r="BCC158" s="53"/>
      <c r="BCD158" s="54"/>
      <c r="BCE158" s="52"/>
      <c r="BCF158" s="53"/>
      <c r="BCG158" s="8"/>
      <c r="BCH158" s="45"/>
      <c r="BCI158" s="45"/>
      <c r="BCJ158" s="46"/>
      <c r="BCK158" s="44"/>
      <c r="BCL158" s="7"/>
      <c r="BCM158" s="51"/>
      <c r="BCN158" s="52"/>
      <c r="BCO158" s="53"/>
      <c r="BCP158" s="54"/>
      <c r="BCQ158" s="52"/>
      <c r="BCR158" s="53"/>
      <c r="BCS158" s="54"/>
      <c r="BCT158" s="52"/>
      <c r="BCU158" s="53"/>
      <c r="BCV158" s="8"/>
      <c r="BCW158" s="45"/>
      <c r="BCX158" s="45"/>
      <c r="BCY158" s="46"/>
      <c r="BCZ158" s="44"/>
      <c r="BDA158" s="7"/>
      <c r="BDB158" s="51"/>
      <c r="BDC158" s="52"/>
      <c r="BDD158" s="53"/>
      <c r="BDE158" s="54"/>
      <c r="BDF158" s="52"/>
      <c r="BDG158" s="53"/>
      <c r="BDH158" s="54"/>
      <c r="BDI158" s="52"/>
      <c r="BDJ158" s="53"/>
      <c r="BDK158" s="8"/>
      <c r="BDL158" s="45"/>
      <c r="BDM158" s="45"/>
      <c r="BDN158" s="46"/>
      <c r="BDO158" s="44"/>
      <c r="BDP158" s="7"/>
      <c r="BDQ158" s="51"/>
      <c r="BDR158" s="52"/>
      <c r="BDS158" s="53"/>
      <c r="BDT158" s="54"/>
      <c r="BDU158" s="52"/>
      <c r="BDV158" s="53"/>
      <c r="BDW158" s="54"/>
      <c r="BDX158" s="52"/>
      <c r="BDY158" s="53"/>
      <c r="BDZ158" s="8"/>
      <c r="BEA158" s="45"/>
      <c r="BEB158" s="45"/>
      <c r="BEC158" s="46"/>
      <c r="BED158" s="44"/>
      <c r="BEE158" s="7"/>
      <c r="BEF158" s="51"/>
      <c r="BEG158" s="52"/>
      <c r="BEH158" s="53"/>
      <c r="BEI158" s="54"/>
      <c r="BEJ158" s="52"/>
      <c r="BEK158" s="53"/>
      <c r="BEL158" s="54"/>
      <c r="BEM158" s="52"/>
      <c r="BEN158" s="53"/>
      <c r="BEO158" s="8"/>
      <c r="BEP158" s="45"/>
      <c r="BEQ158" s="45"/>
      <c r="BER158" s="46"/>
      <c r="BES158" s="44"/>
      <c r="BET158" s="7"/>
      <c r="BEU158" s="51"/>
      <c r="BEV158" s="52"/>
      <c r="BEW158" s="53"/>
      <c r="BEX158" s="54"/>
      <c r="BEY158" s="52"/>
      <c r="BEZ158" s="53"/>
      <c r="BFA158" s="54"/>
      <c r="BFB158" s="52"/>
      <c r="BFC158" s="53"/>
      <c r="BFD158" s="8"/>
      <c r="BFE158" s="45"/>
      <c r="BFF158" s="45"/>
      <c r="BFG158" s="46"/>
      <c r="BFH158" s="44"/>
      <c r="BFI158" s="7"/>
      <c r="BFJ158" s="51"/>
      <c r="BFK158" s="52"/>
      <c r="BFL158" s="53"/>
      <c r="BFM158" s="54"/>
      <c r="BFN158" s="52"/>
      <c r="BFO158" s="53"/>
      <c r="BFP158" s="54"/>
      <c r="BFQ158" s="52"/>
      <c r="BFR158" s="53"/>
      <c r="BFS158" s="8"/>
      <c r="BFT158" s="45"/>
      <c r="BFU158" s="45"/>
      <c r="BFV158" s="46"/>
      <c r="BFW158" s="44"/>
      <c r="BFX158" s="7"/>
      <c r="BFY158" s="51"/>
      <c r="BFZ158" s="52"/>
      <c r="BGA158" s="53"/>
      <c r="BGB158" s="54"/>
      <c r="BGC158" s="52"/>
      <c r="BGD158" s="53"/>
      <c r="BGE158" s="54"/>
      <c r="BGF158" s="52"/>
      <c r="BGG158" s="53"/>
      <c r="BGH158" s="8"/>
      <c r="BGI158" s="45"/>
      <c r="BGJ158" s="45"/>
      <c r="BGK158" s="46"/>
      <c r="BGL158" s="44"/>
      <c r="BGM158" s="7"/>
      <c r="BGN158" s="51"/>
      <c r="BGO158" s="52"/>
      <c r="BGP158" s="53"/>
      <c r="BGQ158" s="54"/>
      <c r="BGR158" s="52"/>
      <c r="BGS158" s="53"/>
      <c r="BGT158" s="54"/>
      <c r="BGU158" s="52"/>
      <c r="BGV158" s="53"/>
      <c r="BGW158" s="8"/>
      <c r="BGX158" s="45"/>
      <c r="BGY158" s="45"/>
      <c r="BGZ158" s="46"/>
      <c r="BHA158" s="44"/>
      <c r="BHB158" s="7"/>
      <c r="BHC158" s="51"/>
      <c r="BHD158" s="52"/>
      <c r="BHE158" s="53"/>
      <c r="BHF158" s="54"/>
      <c r="BHG158" s="52"/>
      <c r="BHH158" s="53"/>
      <c r="BHI158" s="54"/>
      <c r="BHJ158" s="52"/>
      <c r="BHK158" s="53"/>
      <c r="BHL158" s="8"/>
      <c r="BHM158" s="45"/>
      <c r="BHN158" s="45"/>
      <c r="BHO158" s="46"/>
      <c r="BHP158" s="44"/>
      <c r="BHQ158" s="7"/>
      <c r="BHR158" s="51"/>
      <c r="BHS158" s="52"/>
      <c r="BHT158" s="53"/>
      <c r="BHU158" s="54"/>
      <c r="BHV158" s="52"/>
      <c r="BHW158" s="53"/>
      <c r="BHX158" s="54"/>
      <c r="BHY158" s="52"/>
      <c r="BHZ158" s="53"/>
      <c r="BIA158" s="8"/>
      <c r="BIB158" s="45"/>
      <c r="BIC158" s="45"/>
      <c r="BID158" s="46"/>
      <c r="BIE158" s="44"/>
      <c r="BIF158" s="7"/>
      <c r="BIG158" s="51"/>
      <c r="BIH158" s="52"/>
      <c r="BII158" s="53"/>
      <c r="BIJ158" s="54"/>
      <c r="BIK158" s="52"/>
      <c r="BIL158" s="53"/>
      <c r="BIM158" s="54"/>
      <c r="BIN158" s="52"/>
      <c r="BIO158" s="53"/>
      <c r="BIP158" s="8"/>
      <c r="BIQ158" s="45"/>
      <c r="BIR158" s="45"/>
      <c r="BIS158" s="46"/>
      <c r="BIT158" s="44"/>
      <c r="BIU158" s="7"/>
      <c r="BIV158" s="51"/>
      <c r="BIW158" s="52"/>
      <c r="BIX158" s="53"/>
      <c r="BIY158" s="54"/>
      <c r="BIZ158" s="52"/>
      <c r="BJA158" s="53"/>
      <c r="BJB158" s="54"/>
      <c r="BJC158" s="52"/>
      <c r="BJD158" s="53"/>
      <c r="BJE158" s="8"/>
      <c r="BJF158" s="45"/>
      <c r="BJG158" s="45"/>
      <c r="BJH158" s="46"/>
      <c r="BJI158" s="44"/>
      <c r="BJJ158" s="7"/>
      <c r="BJK158" s="51"/>
      <c r="BJL158" s="52"/>
      <c r="BJM158" s="53"/>
      <c r="BJN158" s="54"/>
      <c r="BJO158" s="52"/>
      <c r="BJP158" s="53"/>
      <c r="BJQ158" s="54"/>
      <c r="BJR158" s="52"/>
      <c r="BJS158" s="53"/>
      <c r="BJT158" s="8"/>
      <c r="BJU158" s="45"/>
      <c r="BJV158" s="45"/>
      <c r="BJW158" s="46"/>
      <c r="BJX158" s="44"/>
      <c r="BJY158" s="7"/>
      <c r="BJZ158" s="51"/>
      <c r="BKA158" s="52"/>
      <c r="BKB158" s="53"/>
      <c r="BKC158" s="54"/>
      <c r="BKD158" s="52"/>
      <c r="BKE158" s="53"/>
      <c r="BKF158" s="54"/>
      <c r="BKG158" s="52"/>
      <c r="BKH158" s="53"/>
      <c r="BKI158" s="8"/>
      <c r="BKJ158" s="45"/>
      <c r="BKK158" s="45"/>
      <c r="BKL158" s="46"/>
      <c r="BKM158" s="44"/>
      <c r="BKN158" s="7"/>
      <c r="BKO158" s="51"/>
      <c r="BKP158" s="52"/>
      <c r="BKQ158" s="53"/>
      <c r="BKR158" s="54"/>
      <c r="BKS158" s="52"/>
      <c r="BKT158" s="53"/>
      <c r="BKU158" s="54"/>
      <c r="BKV158" s="52"/>
      <c r="BKW158" s="53"/>
      <c r="BKX158" s="8"/>
      <c r="BKY158" s="45"/>
      <c r="BKZ158" s="45"/>
      <c r="BLA158" s="46"/>
      <c r="BLB158" s="44"/>
      <c r="BLC158" s="7"/>
      <c r="BLD158" s="51"/>
      <c r="BLE158" s="52"/>
      <c r="BLF158" s="53"/>
      <c r="BLG158" s="54"/>
      <c r="BLH158" s="52"/>
      <c r="BLI158" s="53"/>
      <c r="BLJ158" s="54"/>
      <c r="BLK158" s="52"/>
      <c r="BLL158" s="53"/>
      <c r="BLM158" s="8"/>
      <c r="BLN158" s="45"/>
      <c r="BLO158" s="45"/>
      <c r="BLP158" s="46"/>
      <c r="BLQ158" s="44"/>
      <c r="BLR158" s="7"/>
      <c r="BLS158" s="51"/>
      <c r="BLT158" s="52"/>
      <c r="BLU158" s="53"/>
      <c r="BLV158" s="54"/>
      <c r="BLW158" s="52"/>
      <c r="BLX158" s="53"/>
      <c r="BLY158" s="54"/>
      <c r="BLZ158" s="52"/>
      <c r="BMA158" s="53"/>
      <c r="BMB158" s="8"/>
      <c r="BMC158" s="45"/>
      <c r="BMD158" s="45"/>
      <c r="BME158" s="46"/>
      <c r="BMF158" s="44"/>
      <c r="BMG158" s="7"/>
      <c r="BMH158" s="51"/>
      <c r="BMI158" s="52"/>
      <c r="BMJ158" s="53"/>
      <c r="BMK158" s="54"/>
      <c r="BML158" s="52"/>
      <c r="BMM158" s="53"/>
      <c r="BMN158" s="54"/>
      <c r="BMO158" s="52"/>
      <c r="BMP158" s="53"/>
      <c r="BMQ158" s="8"/>
      <c r="BMR158" s="45"/>
      <c r="BMS158" s="45"/>
      <c r="BMT158" s="46"/>
      <c r="BMU158" s="44"/>
      <c r="BMV158" s="7"/>
      <c r="BMW158" s="51"/>
      <c r="BMX158" s="52"/>
      <c r="BMY158" s="53"/>
      <c r="BMZ158" s="54"/>
      <c r="BNA158" s="52"/>
      <c r="BNB158" s="53"/>
      <c r="BNC158" s="54"/>
      <c r="BND158" s="52"/>
      <c r="BNE158" s="53"/>
      <c r="BNF158" s="8"/>
      <c r="BNG158" s="45"/>
      <c r="BNH158" s="45"/>
      <c r="BNI158" s="46"/>
      <c r="BNJ158" s="44"/>
      <c r="BNK158" s="7"/>
      <c r="BNL158" s="51"/>
      <c r="BNM158" s="52"/>
      <c r="BNN158" s="53"/>
      <c r="BNO158" s="54"/>
      <c r="BNP158" s="52"/>
      <c r="BNQ158" s="53"/>
      <c r="BNR158" s="54"/>
      <c r="BNS158" s="52"/>
      <c r="BNT158" s="53"/>
      <c r="BNU158" s="8"/>
      <c r="BNV158" s="45"/>
      <c r="BNW158" s="45"/>
      <c r="BNX158" s="46"/>
      <c r="BNY158" s="44"/>
      <c r="BNZ158" s="7"/>
      <c r="BOA158" s="51"/>
      <c r="BOB158" s="52"/>
      <c r="BOC158" s="53"/>
      <c r="BOD158" s="54"/>
      <c r="BOE158" s="52"/>
      <c r="BOF158" s="53"/>
      <c r="BOG158" s="54"/>
      <c r="BOH158" s="52"/>
      <c r="BOI158" s="53"/>
      <c r="BOJ158" s="8"/>
      <c r="BOK158" s="45"/>
      <c r="BOL158" s="45"/>
      <c r="BOM158" s="46"/>
      <c r="BON158" s="44"/>
      <c r="BOO158" s="7"/>
      <c r="BOP158" s="51"/>
      <c r="BOQ158" s="52"/>
      <c r="BOR158" s="53"/>
      <c r="BOS158" s="54"/>
      <c r="BOT158" s="52"/>
      <c r="BOU158" s="53"/>
      <c r="BOV158" s="54"/>
      <c r="BOW158" s="52"/>
      <c r="BOX158" s="53"/>
      <c r="BOY158" s="8"/>
      <c r="BOZ158" s="45"/>
      <c r="BPA158" s="45"/>
      <c r="BPB158" s="46"/>
      <c r="BPC158" s="44"/>
      <c r="BPD158" s="7"/>
      <c r="BPE158" s="51"/>
      <c r="BPF158" s="52"/>
      <c r="BPG158" s="53"/>
      <c r="BPH158" s="54"/>
      <c r="BPI158" s="52"/>
      <c r="BPJ158" s="53"/>
      <c r="BPK158" s="54"/>
      <c r="BPL158" s="52"/>
      <c r="BPM158" s="53"/>
      <c r="BPN158" s="8"/>
      <c r="BPO158" s="45"/>
      <c r="BPP158" s="45"/>
      <c r="BPQ158" s="46"/>
      <c r="BPR158" s="44"/>
      <c r="BPS158" s="7"/>
      <c r="BPT158" s="51"/>
      <c r="BPU158" s="52"/>
      <c r="BPV158" s="53"/>
      <c r="BPW158" s="54"/>
      <c r="BPX158" s="52"/>
      <c r="BPY158" s="53"/>
      <c r="BPZ158" s="54"/>
      <c r="BQA158" s="52"/>
      <c r="BQB158" s="53"/>
      <c r="BQC158" s="8"/>
      <c r="BQD158" s="45"/>
      <c r="BQE158" s="45"/>
      <c r="BQF158" s="46"/>
      <c r="BQG158" s="44"/>
      <c r="BQH158" s="7"/>
      <c r="BQI158" s="51"/>
      <c r="BQJ158" s="52"/>
      <c r="BQK158" s="53"/>
      <c r="BQL158" s="54"/>
      <c r="BQM158" s="52"/>
      <c r="BQN158" s="53"/>
      <c r="BQO158" s="54"/>
      <c r="BQP158" s="52"/>
      <c r="BQQ158" s="53"/>
      <c r="BQR158" s="8"/>
      <c r="BQS158" s="45"/>
      <c r="BQT158" s="45"/>
      <c r="BQU158" s="46"/>
      <c r="BQV158" s="44"/>
      <c r="BQW158" s="7"/>
      <c r="BQX158" s="51"/>
      <c r="BQY158" s="52"/>
      <c r="BQZ158" s="53"/>
      <c r="BRA158" s="54"/>
      <c r="BRB158" s="52"/>
      <c r="BRC158" s="53"/>
      <c r="BRD158" s="54"/>
      <c r="BRE158" s="52"/>
      <c r="BRF158" s="53"/>
      <c r="BRG158" s="8"/>
      <c r="BRH158" s="45"/>
      <c r="BRI158" s="45"/>
      <c r="BRJ158" s="46"/>
      <c r="BRK158" s="44"/>
      <c r="BRL158" s="7"/>
      <c r="BRM158" s="51"/>
      <c r="BRN158" s="52"/>
      <c r="BRO158" s="53"/>
      <c r="BRP158" s="54"/>
      <c r="BRQ158" s="52"/>
      <c r="BRR158" s="53"/>
      <c r="BRS158" s="54"/>
      <c r="BRT158" s="52"/>
      <c r="BRU158" s="53"/>
      <c r="BRV158" s="8"/>
      <c r="BRW158" s="45"/>
      <c r="BRX158" s="45"/>
      <c r="BRY158" s="46"/>
      <c r="BRZ158" s="44"/>
      <c r="BSA158" s="7"/>
      <c r="BSB158" s="51"/>
      <c r="BSC158" s="52"/>
      <c r="BSD158" s="53"/>
      <c r="BSE158" s="54"/>
      <c r="BSF158" s="52"/>
      <c r="BSG158" s="53"/>
      <c r="BSH158" s="54"/>
      <c r="BSI158" s="52"/>
      <c r="BSJ158" s="53"/>
      <c r="BSK158" s="8"/>
      <c r="BSL158" s="45"/>
      <c r="BSM158" s="45"/>
      <c r="BSN158" s="46"/>
      <c r="BSO158" s="44"/>
      <c r="BSP158" s="7"/>
      <c r="BSQ158" s="51"/>
      <c r="BSR158" s="52"/>
      <c r="BSS158" s="53"/>
      <c r="BST158" s="54"/>
      <c r="BSU158" s="52"/>
      <c r="BSV158" s="53"/>
      <c r="BSW158" s="54"/>
      <c r="BSX158" s="52"/>
      <c r="BSY158" s="53"/>
      <c r="BSZ158" s="8"/>
      <c r="BTA158" s="45"/>
      <c r="BTB158" s="45"/>
      <c r="BTC158" s="46"/>
      <c r="BTD158" s="44"/>
      <c r="BTE158" s="7"/>
      <c r="BTF158" s="51"/>
      <c r="BTG158" s="52"/>
      <c r="BTH158" s="53"/>
      <c r="BTI158" s="54"/>
      <c r="BTJ158" s="52"/>
      <c r="BTK158" s="53"/>
      <c r="BTL158" s="54"/>
      <c r="BTM158" s="52"/>
      <c r="BTN158" s="53"/>
      <c r="BTO158" s="8"/>
      <c r="BTP158" s="45"/>
      <c r="BTQ158" s="45"/>
      <c r="BTR158" s="46"/>
      <c r="BTS158" s="44"/>
      <c r="BTT158" s="7"/>
      <c r="BTU158" s="51"/>
      <c r="BTV158" s="52"/>
      <c r="BTW158" s="53"/>
      <c r="BTX158" s="54"/>
      <c r="BTY158" s="52"/>
      <c r="BTZ158" s="53"/>
      <c r="BUA158" s="54"/>
      <c r="BUB158" s="52"/>
      <c r="BUC158" s="53"/>
      <c r="BUD158" s="8"/>
      <c r="BUE158" s="45"/>
      <c r="BUF158" s="45"/>
      <c r="BUG158" s="46"/>
      <c r="BUH158" s="44"/>
      <c r="BUI158" s="7"/>
      <c r="BUJ158" s="51"/>
      <c r="BUK158" s="52"/>
      <c r="BUL158" s="53"/>
      <c r="BUM158" s="54"/>
      <c r="BUN158" s="52"/>
      <c r="BUO158" s="53"/>
      <c r="BUP158" s="54"/>
      <c r="BUQ158" s="52"/>
      <c r="BUR158" s="53"/>
      <c r="BUS158" s="8"/>
      <c r="BUT158" s="45"/>
      <c r="BUU158" s="45"/>
      <c r="BUV158" s="46"/>
      <c r="BUW158" s="44"/>
      <c r="BUX158" s="7"/>
      <c r="BUY158" s="51"/>
      <c r="BUZ158" s="52"/>
      <c r="BVA158" s="53"/>
      <c r="BVB158" s="54"/>
      <c r="BVC158" s="52"/>
      <c r="BVD158" s="53"/>
      <c r="BVE158" s="54"/>
      <c r="BVF158" s="52"/>
      <c r="BVG158" s="53"/>
      <c r="BVH158" s="8"/>
      <c r="BVI158" s="45"/>
      <c r="BVJ158" s="45"/>
      <c r="BVK158" s="46"/>
      <c r="BVL158" s="44"/>
      <c r="BVM158" s="7"/>
      <c r="BVN158" s="51"/>
      <c r="BVO158" s="52"/>
      <c r="BVP158" s="53"/>
      <c r="BVQ158" s="54"/>
      <c r="BVR158" s="52"/>
      <c r="BVS158" s="53"/>
      <c r="BVT158" s="54"/>
      <c r="BVU158" s="52"/>
      <c r="BVV158" s="53"/>
      <c r="BVW158" s="8"/>
      <c r="BVX158" s="45"/>
      <c r="BVY158" s="45"/>
      <c r="BVZ158" s="46"/>
      <c r="BWA158" s="44"/>
      <c r="BWB158" s="7"/>
      <c r="BWC158" s="51"/>
      <c r="BWD158" s="52"/>
      <c r="BWE158" s="53"/>
      <c r="BWF158" s="54"/>
      <c r="BWG158" s="52"/>
      <c r="BWH158" s="53"/>
      <c r="BWI158" s="54"/>
      <c r="BWJ158" s="52"/>
      <c r="BWK158" s="53"/>
      <c r="BWL158" s="8"/>
      <c r="BWM158" s="45"/>
      <c r="BWN158" s="45"/>
      <c r="BWO158" s="46"/>
      <c r="BWP158" s="44"/>
      <c r="BWQ158" s="7"/>
      <c r="BWR158" s="51"/>
      <c r="BWS158" s="52"/>
      <c r="BWT158" s="53"/>
      <c r="BWU158" s="54"/>
      <c r="BWV158" s="52"/>
      <c r="BWW158" s="53"/>
      <c r="BWX158" s="54"/>
      <c r="BWY158" s="52"/>
      <c r="BWZ158" s="53"/>
      <c r="BXA158" s="8"/>
      <c r="BXB158" s="45"/>
      <c r="BXC158" s="45"/>
      <c r="BXD158" s="46"/>
      <c r="BXE158" s="44"/>
      <c r="BXF158" s="7"/>
      <c r="BXG158" s="51"/>
      <c r="BXH158" s="52"/>
      <c r="BXI158" s="53"/>
      <c r="BXJ158" s="54"/>
      <c r="BXK158" s="52"/>
      <c r="BXL158" s="53"/>
      <c r="BXM158" s="54"/>
      <c r="BXN158" s="52"/>
      <c r="BXO158" s="53"/>
      <c r="BXP158" s="8"/>
      <c r="BXQ158" s="45"/>
      <c r="BXR158" s="45"/>
      <c r="BXS158" s="46"/>
      <c r="BXT158" s="44"/>
      <c r="BXU158" s="7"/>
      <c r="BXV158" s="51"/>
      <c r="BXW158" s="52"/>
      <c r="BXX158" s="53"/>
      <c r="BXY158" s="54"/>
      <c r="BXZ158" s="52"/>
      <c r="BYA158" s="53"/>
      <c r="BYB158" s="54"/>
      <c r="BYC158" s="52"/>
      <c r="BYD158" s="53"/>
      <c r="BYE158" s="8"/>
      <c r="BYF158" s="45"/>
      <c r="BYG158" s="45"/>
      <c r="BYH158" s="46"/>
      <c r="BYI158" s="44"/>
      <c r="BYJ158" s="7"/>
      <c r="BYK158" s="51"/>
      <c r="BYL158" s="52"/>
      <c r="BYM158" s="53"/>
      <c r="BYN158" s="54"/>
      <c r="BYO158" s="52"/>
      <c r="BYP158" s="53"/>
      <c r="BYQ158" s="54"/>
      <c r="BYR158" s="52"/>
      <c r="BYS158" s="53"/>
      <c r="BYT158" s="8"/>
      <c r="BYU158" s="45"/>
      <c r="BYV158" s="45"/>
      <c r="BYW158" s="46"/>
      <c r="BYX158" s="44"/>
      <c r="BYY158" s="7"/>
      <c r="BYZ158" s="51"/>
      <c r="BZA158" s="52"/>
      <c r="BZB158" s="53"/>
      <c r="BZC158" s="54"/>
      <c r="BZD158" s="52"/>
      <c r="BZE158" s="53"/>
      <c r="BZF158" s="54"/>
      <c r="BZG158" s="52"/>
      <c r="BZH158" s="53"/>
      <c r="BZI158" s="8"/>
      <c r="BZJ158" s="45"/>
      <c r="BZK158" s="45"/>
      <c r="BZL158" s="46"/>
      <c r="BZM158" s="44"/>
      <c r="BZN158" s="7"/>
      <c r="BZO158" s="51"/>
      <c r="BZP158" s="52"/>
      <c r="BZQ158" s="53"/>
      <c r="BZR158" s="54"/>
      <c r="BZS158" s="52"/>
      <c r="BZT158" s="53"/>
      <c r="BZU158" s="54"/>
      <c r="BZV158" s="52"/>
      <c r="BZW158" s="53"/>
      <c r="BZX158" s="8"/>
      <c r="BZY158" s="45"/>
      <c r="BZZ158" s="45"/>
      <c r="CAA158" s="46"/>
      <c r="CAB158" s="44"/>
      <c r="CAC158" s="7"/>
      <c r="CAD158" s="51"/>
      <c r="CAE158" s="52"/>
      <c r="CAF158" s="53"/>
      <c r="CAG158" s="54"/>
      <c r="CAH158" s="52"/>
      <c r="CAI158" s="53"/>
      <c r="CAJ158" s="54"/>
      <c r="CAK158" s="52"/>
      <c r="CAL158" s="53"/>
      <c r="CAM158" s="8"/>
      <c r="CAN158" s="45"/>
      <c r="CAO158" s="45"/>
      <c r="CAP158" s="46"/>
      <c r="CAQ158" s="44"/>
      <c r="CAR158" s="7"/>
      <c r="CAS158" s="51"/>
      <c r="CAT158" s="52"/>
      <c r="CAU158" s="53"/>
      <c r="CAV158" s="54"/>
      <c r="CAW158" s="52"/>
      <c r="CAX158" s="53"/>
      <c r="CAY158" s="54"/>
      <c r="CAZ158" s="52"/>
      <c r="CBA158" s="53"/>
      <c r="CBB158" s="8"/>
      <c r="CBC158" s="45"/>
      <c r="CBD158" s="45"/>
      <c r="CBE158" s="46"/>
      <c r="CBF158" s="44"/>
      <c r="CBG158" s="7"/>
      <c r="CBH158" s="51"/>
      <c r="CBI158" s="52"/>
      <c r="CBJ158" s="53"/>
      <c r="CBK158" s="54"/>
      <c r="CBL158" s="52"/>
      <c r="CBM158" s="53"/>
      <c r="CBN158" s="54"/>
      <c r="CBO158" s="52"/>
      <c r="CBP158" s="53"/>
      <c r="CBQ158" s="8"/>
      <c r="CBR158" s="45"/>
      <c r="CBS158" s="45"/>
      <c r="CBT158" s="46"/>
      <c r="CBU158" s="44"/>
      <c r="CBV158" s="7"/>
      <c r="CBW158" s="51"/>
      <c r="CBX158" s="52"/>
      <c r="CBY158" s="53"/>
      <c r="CBZ158" s="54"/>
      <c r="CCA158" s="52"/>
      <c r="CCB158" s="53"/>
      <c r="CCC158" s="54"/>
      <c r="CCD158" s="52"/>
      <c r="CCE158" s="53"/>
      <c r="CCF158" s="8"/>
      <c r="CCG158" s="45"/>
      <c r="CCH158" s="45"/>
      <c r="CCI158" s="46"/>
      <c r="CCJ158" s="44"/>
      <c r="CCK158" s="7"/>
      <c r="CCL158" s="51"/>
      <c r="CCM158" s="52"/>
      <c r="CCN158" s="53"/>
      <c r="CCO158" s="54"/>
      <c r="CCP158" s="52"/>
      <c r="CCQ158" s="53"/>
      <c r="CCR158" s="54"/>
      <c r="CCS158" s="52"/>
      <c r="CCT158" s="53"/>
      <c r="CCU158" s="8"/>
      <c r="CCV158" s="45"/>
      <c r="CCW158" s="45"/>
      <c r="CCX158" s="46"/>
      <c r="CCY158" s="44"/>
      <c r="CCZ158" s="7"/>
      <c r="CDA158" s="51"/>
      <c r="CDB158" s="52"/>
      <c r="CDC158" s="53"/>
      <c r="CDD158" s="54"/>
      <c r="CDE158" s="52"/>
      <c r="CDF158" s="53"/>
      <c r="CDG158" s="54"/>
      <c r="CDH158" s="52"/>
      <c r="CDI158" s="53"/>
      <c r="CDJ158" s="8"/>
      <c r="CDK158" s="45"/>
      <c r="CDL158" s="45"/>
      <c r="CDM158" s="46"/>
      <c r="CDN158" s="44"/>
      <c r="CDO158" s="7"/>
      <c r="CDP158" s="51"/>
      <c r="CDQ158" s="52"/>
      <c r="CDR158" s="53"/>
      <c r="CDS158" s="54"/>
      <c r="CDT158" s="52"/>
      <c r="CDU158" s="53"/>
      <c r="CDV158" s="54"/>
      <c r="CDW158" s="52"/>
      <c r="CDX158" s="53"/>
      <c r="CDY158" s="8"/>
      <c r="CDZ158" s="45"/>
      <c r="CEA158" s="45"/>
      <c r="CEB158" s="46"/>
      <c r="CEC158" s="44"/>
      <c r="CED158" s="7"/>
      <c r="CEE158" s="51"/>
      <c r="CEF158" s="52"/>
      <c r="CEG158" s="53"/>
      <c r="CEH158" s="54"/>
      <c r="CEI158" s="52"/>
      <c r="CEJ158" s="53"/>
      <c r="CEK158" s="54"/>
      <c r="CEL158" s="52"/>
      <c r="CEM158" s="53"/>
      <c r="CEN158" s="8"/>
      <c r="CEO158" s="45"/>
      <c r="CEP158" s="45"/>
      <c r="CEQ158" s="46"/>
      <c r="CER158" s="44"/>
      <c r="CES158" s="7"/>
      <c r="CET158" s="51"/>
      <c r="CEU158" s="52"/>
      <c r="CEV158" s="53"/>
      <c r="CEW158" s="54"/>
      <c r="CEX158" s="52"/>
      <c r="CEY158" s="53"/>
      <c r="CEZ158" s="54"/>
      <c r="CFA158" s="52"/>
      <c r="CFB158" s="53"/>
      <c r="CFC158" s="8"/>
      <c r="CFD158" s="45"/>
      <c r="CFE158" s="45"/>
      <c r="CFF158" s="46"/>
      <c r="CFG158" s="44"/>
      <c r="CFH158" s="7"/>
      <c r="CFI158" s="51"/>
      <c r="CFJ158" s="52"/>
      <c r="CFK158" s="53"/>
      <c r="CFL158" s="54"/>
      <c r="CFM158" s="52"/>
      <c r="CFN158" s="53"/>
      <c r="CFO158" s="54"/>
      <c r="CFP158" s="52"/>
      <c r="CFQ158" s="53"/>
      <c r="CFR158" s="8"/>
      <c r="CFS158" s="45"/>
      <c r="CFT158" s="45"/>
      <c r="CFU158" s="46"/>
      <c r="CFV158" s="44"/>
      <c r="CFW158" s="7"/>
      <c r="CFX158" s="51"/>
      <c r="CFY158" s="52"/>
      <c r="CFZ158" s="53"/>
      <c r="CGA158" s="54"/>
      <c r="CGB158" s="52"/>
      <c r="CGC158" s="53"/>
      <c r="CGD158" s="54"/>
      <c r="CGE158" s="52"/>
      <c r="CGF158" s="53"/>
      <c r="CGG158" s="8"/>
      <c r="CGH158" s="45"/>
      <c r="CGI158" s="45"/>
      <c r="CGJ158" s="46"/>
      <c r="CGK158" s="44"/>
      <c r="CGL158" s="7"/>
      <c r="CGM158" s="51"/>
      <c r="CGN158" s="52"/>
      <c r="CGO158" s="53"/>
      <c r="CGP158" s="54"/>
      <c r="CGQ158" s="52"/>
      <c r="CGR158" s="53"/>
      <c r="CGS158" s="54"/>
      <c r="CGT158" s="52"/>
      <c r="CGU158" s="53"/>
      <c r="CGV158" s="8"/>
      <c r="CGW158" s="45"/>
      <c r="CGX158" s="45"/>
      <c r="CGY158" s="46"/>
      <c r="CGZ158" s="44"/>
      <c r="CHA158" s="7"/>
      <c r="CHB158" s="51"/>
      <c r="CHC158" s="52"/>
      <c r="CHD158" s="53"/>
      <c r="CHE158" s="54"/>
      <c r="CHF158" s="52"/>
      <c r="CHG158" s="53"/>
      <c r="CHH158" s="54"/>
      <c r="CHI158" s="52"/>
      <c r="CHJ158" s="53"/>
      <c r="CHK158" s="8"/>
      <c r="CHL158" s="45"/>
      <c r="CHM158" s="45"/>
      <c r="CHN158" s="46"/>
      <c r="CHO158" s="44"/>
      <c r="CHP158" s="7"/>
      <c r="CHQ158" s="51"/>
      <c r="CHR158" s="52"/>
      <c r="CHS158" s="53"/>
      <c r="CHT158" s="54"/>
      <c r="CHU158" s="52"/>
      <c r="CHV158" s="53"/>
      <c r="CHW158" s="54"/>
      <c r="CHX158" s="52"/>
      <c r="CHY158" s="53"/>
      <c r="CHZ158" s="8"/>
      <c r="CIA158" s="45"/>
      <c r="CIB158" s="45"/>
      <c r="CIC158" s="46"/>
      <c r="CID158" s="44"/>
      <c r="CIE158" s="7"/>
      <c r="CIF158" s="51"/>
      <c r="CIG158" s="52"/>
      <c r="CIH158" s="53"/>
      <c r="CII158" s="54"/>
      <c r="CIJ158" s="52"/>
      <c r="CIK158" s="53"/>
      <c r="CIL158" s="54"/>
      <c r="CIM158" s="52"/>
      <c r="CIN158" s="53"/>
      <c r="CIO158" s="8"/>
      <c r="CIP158" s="45"/>
      <c r="CIQ158" s="45"/>
      <c r="CIR158" s="46"/>
      <c r="CIS158" s="44"/>
      <c r="CIT158" s="7"/>
      <c r="CIU158" s="51"/>
      <c r="CIV158" s="52"/>
      <c r="CIW158" s="53"/>
      <c r="CIX158" s="54"/>
      <c r="CIY158" s="52"/>
      <c r="CIZ158" s="53"/>
      <c r="CJA158" s="54"/>
      <c r="CJB158" s="52"/>
      <c r="CJC158" s="53"/>
      <c r="CJD158" s="8"/>
      <c r="CJE158" s="45"/>
      <c r="CJF158" s="45"/>
      <c r="CJG158" s="46"/>
      <c r="CJH158" s="44"/>
      <c r="CJI158" s="7"/>
      <c r="CJJ158" s="51"/>
      <c r="CJK158" s="52"/>
      <c r="CJL158" s="53"/>
      <c r="CJM158" s="54"/>
      <c r="CJN158" s="52"/>
      <c r="CJO158" s="53"/>
      <c r="CJP158" s="54"/>
      <c r="CJQ158" s="52"/>
      <c r="CJR158" s="53"/>
      <c r="CJS158" s="8"/>
      <c r="CJT158" s="45"/>
      <c r="CJU158" s="45"/>
      <c r="CJV158" s="46"/>
      <c r="CJW158" s="44"/>
      <c r="CJX158" s="7"/>
      <c r="CJY158" s="51"/>
      <c r="CJZ158" s="52"/>
      <c r="CKA158" s="53"/>
      <c r="CKB158" s="54"/>
      <c r="CKC158" s="52"/>
      <c r="CKD158" s="53"/>
      <c r="CKE158" s="54"/>
      <c r="CKF158" s="52"/>
      <c r="CKG158" s="53"/>
      <c r="CKH158" s="8"/>
      <c r="CKI158" s="45"/>
      <c r="CKJ158" s="45"/>
      <c r="CKK158" s="46"/>
      <c r="CKL158" s="44"/>
      <c r="CKM158" s="7"/>
      <c r="CKN158" s="51"/>
      <c r="CKO158" s="52"/>
      <c r="CKP158" s="53"/>
      <c r="CKQ158" s="54"/>
      <c r="CKR158" s="52"/>
      <c r="CKS158" s="53"/>
      <c r="CKT158" s="54"/>
      <c r="CKU158" s="52"/>
      <c r="CKV158" s="53"/>
      <c r="CKW158" s="8"/>
      <c r="CKX158" s="45"/>
      <c r="CKY158" s="45"/>
      <c r="CKZ158" s="46"/>
      <c r="CLA158" s="44"/>
      <c r="CLB158" s="7"/>
      <c r="CLC158" s="51"/>
      <c r="CLD158" s="52"/>
      <c r="CLE158" s="53"/>
      <c r="CLF158" s="54"/>
      <c r="CLG158" s="52"/>
      <c r="CLH158" s="53"/>
      <c r="CLI158" s="54"/>
      <c r="CLJ158" s="52"/>
      <c r="CLK158" s="53"/>
      <c r="CLL158" s="8"/>
      <c r="CLM158" s="45"/>
      <c r="CLN158" s="45"/>
      <c r="CLO158" s="46"/>
      <c r="CLP158" s="44"/>
      <c r="CLQ158" s="7"/>
      <c r="CLR158" s="51"/>
      <c r="CLS158" s="52"/>
      <c r="CLT158" s="53"/>
      <c r="CLU158" s="54"/>
      <c r="CLV158" s="52"/>
      <c r="CLW158" s="53"/>
      <c r="CLX158" s="54"/>
      <c r="CLY158" s="52"/>
      <c r="CLZ158" s="53"/>
      <c r="CMA158" s="8"/>
      <c r="CMB158" s="45"/>
      <c r="CMC158" s="45"/>
      <c r="CMD158" s="46"/>
      <c r="CME158" s="44"/>
      <c r="CMF158" s="7"/>
      <c r="CMG158" s="51"/>
      <c r="CMH158" s="52"/>
      <c r="CMI158" s="53"/>
      <c r="CMJ158" s="54"/>
      <c r="CMK158" s="52"/>
      <c r="CML158" s="53"/>
      <c r="CMM158" s="54"/>
      <c r="CMN158" s="52"/>
      <c r="CMO158" s="53"/>
      <c r="CMP158" s="8"/>
      <c r="CMQ158" s="45"/>
      <c r="CMR158" s="45"/>
      <c r="CMS158" s="46"/>
      <c r="CMT158" s="44"/>
      <c r="CMU158" s="7"/>
      <c r="CMV158" s="51"/>
      <c r="CMW158" s="52"/>
      <c r="CMX158" s="53"/>
      <c r="CMY158" s="54"/>
      <c r="CMZ158" s="52"/>
      <c r="CNA158" s="53"/>
      <c r="CNB158" s="54"/>
      <c r="CNC158" s="52"/>
      <c r="CND158" s="53"/>
      <c r="CNE158" s="8"/>
      <c r="CNF158" s="45"/>
      <c r="CNG158" s="45"/>
      <c r="CNH158" s="46"/>
      <c r="CNI158" s="44"/>
      <c r="CNJ158" s="7"/>
      <c r="CNK158" s="51"/>
      <c r="CNL158" s="52"/>
      <c r="CNM158" s="53"/>
      <c r="CNN158" s="54"/>
      <c r="CNO158" s="52"/>
      <c r="CNP158" s="53"/>
      <c r="CNQ158" s="54"/>
      <c r="CNR158" s="52"/>
      <c r="CNS158" s="53"/>
      <c r="CNT158" s="8"/>
      <c r="CNU158" s="45"/>
      <c r="CNV158" s="45"/>
      <c r="CNW158" s="46"/>
      <c r="CNX158" s="44"/>
      <c r="CNY158" s="7"/>
      <c r="CNZ158" s="51"/>
      <c r="COA158" s="52"/>
      <c r="COB158" s="53"/>
      <c r="COC158" s="54"/>
      <c r="COD158" s="52"/>
      <c r="COE158" s="53"/>
      <c r="COF158" s="54"/>
      <c r="COG158" s="52"/>
      <c r="COH158" s="53"/>
      <c r="COI158" s="8"/>
      <c r="COJ158" s="45"/>
      <c r="COK158" s="45"/>
      <c r="COL158" s="46"/>
      <c r="COM158" s="44"/>
      <c r="CON158" s="7"/>
      <c r="COO158" s="51"/>
      <c r="COP158" s="52"/>
      <c r="COQ158" s="53"/>
      <c r="COR158" s="54"/>
      <c r="COS158" s="52"/>
      <c r="COT158" s="53"/>
      <c r="COU158" s="54"/>
      <c r="COV158" s="52"/>
      <c r="COW158" s="53"/>
      <c r="COX158" s="8"/>
      <c r="COY158" s="45"/>
      <c r="COZ158" s="45"/>
      <c r="CPA158" s="46"/>
      <c r="CPB158" s="44"/>
      <c r="CPC158" s="7"/>
      <c r="CPD158" s="51"/>
      <c r="CPE158" s="52"/>
      <c r="CPF158" s="53"/>
      <c r="CPG158" s="54"/>
      <c r="CPH158" s="52"/>
      <c r="CPI158" s="53"/>
      <c r="CPJ158" s="54"/>
      <c r="CPK158" s="52"/>
      <c r="CPL158" s="53"/>
      <c r="CPM158" s="8"/>
      <c r="CPN158" s="45"/>
      <c r="CPO158" s="45"/>
      <c r="CPP158" s="46"/>
      <c r="CPQ158" s="44"/>
      <c r="CPR158" s="7"/>
      <c r="CPS158" s="51"/>
      <c r="CPT158" s="52"/>
      <c r="CPU158" s="53"/>
      <c r="CPV158" s="54"/>
      <c r="CPW158" s="52"/>
      <c r="CPX158" s="53"/>
      <c r="CPY158" s="54"/>
      <c r="CPZ158" s="52"/>
      <c r="CQA158" s="53"/>
      <c r="CQB158" s="8"/>
      <c r="CQC158" s="45"/>
      <c r="CQD158" s="45"/>
      <c r="CQE158" s="46"/>
      <c r="CQF158" s="44"/>
      <c r="CQG158" s="7"/>
      <c r="CQH158" s="51"/>
      <c r="CQI158" s="52"/>
      <c r="CQJ158" s="53"/>
      <c r="CQK158" s="54"/>
      <c r="CQL158" s="52"/>
      <c r="CQM158" s="53"/>
      <c r="CQN158" s="54"/>
      <c r="CQO158" s="52"/>
      <c r="CQP158" s="53"/>
      <c r="CQQ158" s="8"/>
      <c r="CQR158" s="45"/>
      <c r="CQS158" s="45"/>
      <c r="CQT158" s="46"/>
      <c r="CQU158" s="44"/>
      <c r="CQV158" s="7"/>
      <c r="CQW158" s="51"/>
      <c r="CQX158" s="52"/>
      <c r="CQY158" s="53"/>
      <c r="CQZ158" s="54"/>
      <c r="CRA158" s="52"/>
      <c r="CRB158" s="53"/>
      <c r="CRC158" s="54"/>
      <c r="CRD158" s="52"/>
      <c r="CRE158" s="53"/>
      <c r="CRF158" s="8"/>
      <c r="CRG158" s="45"/>
      <c r="CRH158" s="45"/>
      <c r="CRI158" s="46"/>
      <c r="CRJ158" s="44"/>
      <c r="CRK158" s="7"/>
      <c r="CRL158" s="51"/>
      <c r="CRM158" s="52"/>
      <c r="CRN158" s="53"/>
      <c r="CRO158" s="54"/>
      <c r="CRP158" s="52"/>
      <c r="CRQ158" s="53"/>
      <c r="CRR158" s="54"/>
      <c r="CRS158" s="52"/>
      <c r="CRT158" s="53"/>
      <c r="CRU158" s="8"/>
      <c r="CRV158" s="45"/>
      <c r="CRW158" s="45"/>
      <c r="CRX158" s="46"/>
      <c r="CRY158" s="44"/>
      <c r="CRZ158" s="7"/>
      <c r="CSA158" s="51"/>
      <c r="CSB158" s="52"/>
      <c r="CSC158" s="53"/>
      <c r="CSD158" s="54"/>
      <c r="CSE158" s="52"/>
      <c r="CSF158" s="53"/>
      <c r="CSG158" s="54"/>
      <c r="CSH158" s="52"/>
      <c r="CSI158" s="53"/>
      <c r="CSJ158" s="8"/>
      <c r="CSK158" s="45"/>
      <c r="CSL158" s="45"/>
      <c r="CSM158" s="46"/>
      <c r="CSN158" s="44"/>
      <c r="CSO158" s="7"/>
      <c r="CSP158" s="51"/>
      <c r="CSQ158" s="52"/>
      <c r="CSR158" s="53"/>
      <c r="CSS158" s="54"/>
      <c r="CST158" s="52"/>
      <c r="CSU158" s="53"/>
      <c r="CSV158" s="54"/>
      <c r="CSW158" s="52"/>
      <c r="CSX158" s="53"/>
      <c r="CSY158" s="8"/>
      <c r="CSZ158" s="45"/>
      <c r="CTA158" s="45"/>
      <c r="CTB158" s="46"/>
      <c r="CTC158" s="44"/>
      <c r="CTD158" s="7"/>
      <c r="CTE158" s="51"/>
      <c r="CTF158" s="52"/>
      <c r="CTG158" s="53"/>
      <c r="CTH158" s="54"/>
      <c r="CTI158" s="52"/>
      <c r="CTJ158" s="53"/>
      <c r="CTK158" s="54"/>
      <c r="CTL158" s="52"/>
      <c r="CTM158" s="53"/>
      <c r="CTN158" s="8"/>
      <c r="CTO158" s="45"/>
      <c r="CTP158" s="45"/>
      <c r="CTQ158" s="46"/>
      <c r="CTR158" s="44"/>
      <c r="CTS158" s="7"/>
      <c r="CTT158" s="51"/>
      <c r="CTU158" s="52"/>
      <c r="CTV158" s="53"/>
      <c r="CTW158" s="54"/>
      <c r="CTX158" s="52"/>
      <c r="CTY158" s="53"/>
      <c r="CTZ158" s="54"/>
      <c r="CUA158" s="52"/>
      <c r="CUB158" s="53"/>
      <c r="CUC158" s="8"/>
      <c r="CUD158" s="45"/>
      <c r="CUE158" s="45"/>
      <c r="CUF158" s="46"/>
      <c r="CUG158" s="44"/>
      <c r="CUH158" s="7"/>
      <c r="CUI158" s="51"/>
      <c r="CUJ158" s="52"/>
      <c r="CUK158" s="53"/>
      <c r="CUL158" s="54"/>
      <c r="CUM158" s="52"/>
      <c r="CUN158" s="53"/>
      <c r="CUO158" s="54"/>
      <c r="CUP158" s="52"/>
      <c r="CUQ158" s="53"/>
      <c r="CUR158" s="8"/>
      <c r="CUS158" s="45"/>
      <c r="CUT158" s="45"/>
      <c r="CUU158" s="46"/>
      <c r="CUV158" s="44"/>
      <c r="CUW158" s="7"/>
      <c r="CUX158" s="51"/>
      <c r="CUY158" s="52"/>
      <c r="CUZ158" s="53"/>
      <c r="CVA158" s="54"/>
      <c r="CVB158" s="52"/>
      <c r="CVC158" s="53"/>
      <c r="CVD158" s="54"/>
      <c r="CVE158" s="52"/>
      <c r="CVF158" s="53"/>
      <c r="CVG158" s="8"/>
      <c r="CVH158" s="45"/>
      <c r="CVI158" s="45"/>
      <c r="CVJ158" s="46"/>
      <c r="CVK158" s="44"/>
      <c r="CVL158" s="7"/>
      <c r="CVM158" s="51"/>
      <c r="CVN158" s="52"/>
      <c r="CVO158" s="53"/>
      <c r="CVP158" s="54"/>
      <c r="CVQ158" s="52"/>
      <c r="CVR158" s="53"/>
      <c r="CVS158" s="54"/>
      <c r="CVT158" s="52"/>
      <c r="CVU158" s="53"/>
      <c r="CVV158" s="8"/>
      <c r="CVW158" s="45"/>
      <c r="CVX158" s="45"/>
      <c r="CVY158" s="46"/>
      <c r="CVZ158" s="44"/>
      <c r="CWA158" s="7"/>
      <c r="CWB158" s="51"/>
      <c r="CWC158" s="52"/>
      <c r="CWD158" s="53"/>
      <c r="CWE158" s="54"/>
      <c r="CWF158" s="52"/>
      <c r="CWG158" s="53"/>
      <c r="CWH158" s="54"/>
      <c r="CWI158" s="52"/>
      <c r="CWJ158" s="53"/>
      <c r="CWK158" s="8"/>
      <c r="CWL158" s="45"/>
      <c r="CWM158" s="45"/>
      <c r="CWN158" s="46"/>
      <c r="CWO158" s="44"/>
      <c r="CWP158" s="7"/>
      <c r="CWQ158" s="51"/>
      <c r="CWR158" s="52"/>
      <c r="CWS158" s="53"/>
      <c r="CWT158" s="54"/>
      <c r="CWU158" s="52"/>
      <c r="CWV158" s="53"/>
      <c r="CWW158" s="54"/>
      <c r="CWX158" s="52"/>
      <c r="CWY158" s="53"/>
      <c r="CWZ158" s="8"/>
      <c r="CXA158" s="45"/>
      <c r="CXB158" s="45"/>
      <c r="CXC158" s="46"/>
      <c r="CXD158" s="44"/>
      <c r="CXE158" s="7"/>
      <c r="CXF158" s="51"/>
      <c r="CXG158" s="52"/>
      <c r="CXH158" s="53"/>
      <c r="CXI158" s="54"/>
      <c r="CXJ158" s="52"/>
      <c r="CXK158" s="53"/>
      <c r="CXL158" s="54"/>
      <c r="CXM158" s="52"/>
      <c r="CXN158" s="53"/>
      <c r="CXO158" s="8"/>
      <c r="CXP158" s="45"/>
      <c r="CXQ158" s="45"/>
      <c r="CXR158" s="46"/>
      <c r="CXS158" s="44"/>
      <c r="CXT158" s="7"/>
      <c r="CXU158" s="51"/>
      <c r="CXV158" s="52"/>
      <c r="CXW158" s="53"/>
      <c r="CXX158" s="54"/>
      <c r="CXY158" s="52"/>
      <c r="CXZ158" s="53"/>
      <c r="CYA158" s="54"/>
      <c r="CYB158" s="52"/>
      <c r="CYC158" s="53"/>
      <c r="CYD158" s="8"/>
      <c r="CYE158" s="45"/>
      <c r="CYF158" s="45"/>
      <c r="CYG158" s="46"/>
      <c r="CYH158" s="44"/>
      <c r="CYI158" s="7"/>
      <c r="CYJ158" s="51"/>
      <c r="CYK158" s="52"/>
      <c r="CYL158" s="53"/>
      <c r="CYM158" s="54"/>
      <c r="CYN158" s="52"/>
      <c r="CYO158" s="53"/>
      <c r="CYP158" s="54"/>
      <c r="CYQ158" s="52"/>
      <c r="CYR158" s="53"/>
      <c r="CYS158" s="8"/>
      <c r="CYT158" s="45"/>
      <c r="CYU158" s="45"/>
      <c r="CYV158" s="46"/>
      <c r="CYW158" s="44"/>
      <c r="CYX158" s="7"/>
      <c r="CYY158" s="51"/>
      <c r="CYZ158" s="52"/>
      <c r="CZA158" s="53"/>
      <c r="CZB158" s="54"/>
      <c r="CZC158" s="52"/>
      <c r="CZD158" s="53"/>
      <c r="CZE158" s="54"/>
      <c r="CZF158" s="52"/>
      <c r="CZG158" s="53"/>
      <c r="CZH158" s="8"/>
      <c r="CZI158" s="45"/>
      <c r="CZJ158" s="45"/>
      <c r="CZK158" s="46"/>
      <c r="CZL158" s="44"/>
      <c r="CZM158" s="7"/>
      <c r="CZN158" s="51"/>
      <c r="CZO158" s="52"/>
      <c r="CZP158" s="53"/>
      <c r="CZQ158" s="54"/>
      <c r="CZR158" s="52"/>
      <c r="CZS158" s="53"/>
      <c r="CZT158" s="54"/>
      <c r="CZU158" s="52"/>
      <c r="CZV158" s="53"/>
      <c r="CZW158" s="8"/>
      <c r="CZX158" s="45"/>
      <c r="CZY158" s="45"/>
      <c r="CZZ158" s="46"/>
      <c r="DAA158" s="44"/>
      <c r="DAB158" s="7"/>
      <c r="DAC158" s="51"/>
      <c r="DAD158" s="52"/>
      <c r="DAE158" s="53"/>
      <c r="DAF158" s="54"/>
      <c r="DAG158" s="52"/>
      <c r="DAH158" s="53"/>
      <c r="DAI158" s="54"/>
      <c r="DAJ158" s="52"/>
      <c r="DAK158" s="53"/>
      <c r="DAL158" s="8"/>
      <c r="DAM158" s="45"/>
      <c r="DAN158" s="45"/>
      <c r="DAO158" s="46"/>
      <c r="DAP158" s="44"/>
      <c r="DAQ158" s="7"/>
      <c r="DAR158" s="51"/>
      <c r="DAS158" s="52"/>
      <c r="DAT158" s="53"/>
      <c r="DAU158" s="54"/>
      <c r="DAV158" s="52"/>
      <c r="DAW158" s="53"/>
      <c r="DAX158" s="54"/>
      <c r="DAY158" s="52"/>
      <c r="DAZ158" s="53"/>
      <c r="DBA158" s="8"/>
      <c r="DBB158" s="45"/>
      <c r="DBC158" s="45"/>
      <c r="DBD158" s="46"/>
      <c r="DBE158" s="44"/>
      <c r="DBF158" s="7"/>
      <c r="DBG158" s="51"/>
      <c r="DBH158" s="52"/>
      <c r="DBI158" s="53"/>
      <c r="DBJ158" s="54"/>
      <c r="DBK158" s="52"/>
      <c r="DBL158" s="53"/>
      <c r="DBM158" s="54"/>
      <c r="DBN158" s="52"/>
      <c r="DBO158" s="53"/>
      <c r="DBP158" s="8"/>
      <c r="DBQ158" s="45"/>
      <c r="DBR158" s="45"/>
      <c r="DBS158" s="46"/>
      <c r="DBT158" s="44"/>
      <c r="DBU158" s="7"/>
      <c r="DBV158" s="51"/>
      <c r="DBW158" s="52"/>
      <c r="DBX158" s="53"/>
      <c r="DBY158" s="54"/>
      <c r="DBZ158" s="52"/>
      <c r="DCA158" s="53"/>
      <c r="DCB158" s="54"/>
      <c r="DCC158" s="52"/>
      <c r="DCD158" s="53"/>
      <c r="DCE158" s="8"/>
      <c r="DCF158" s="45"/>
      <c r="DCG158" s="45"/>
      <c r="DCH158" s="46"/>
      <c r="DCI158" s="44"/>
      <c r="DCJ158" s="7"/>
      <c r="DCK158" s="51"/>
      <c r="DCL158" s="52"/>
      <c r="DCM158" s="53"/>
      <c r="DCN158" s="54"/>
      <c r="DCO158" s="52"/>
      <c r="DCP158" s="53"/>
      <c r="DCQ158" s="54"/>
      <c r="DCR158" s="52"/>
      <c r="DCS158" s="53"/>
      <c r="DCT158" s="8"/>
      <c r="DCU158" s="45"/>
      <c r="DCV158" s="45"/>
      <c r="DCW158" s="46"/>
      <c r="DCX158" s="44"/>
      <c r="DCY158" s="7"/>
      <c r="DCZ158" s="51"/>
      <c r="DDA158" s="52"/>
      <c r="DDB158" s="53"/>
      <c r="DDC158" s="54"/>
      <c r="DDD158" s="52"/>
      <c r="DDE158" s="53"/>
      <c r="DDF158" s="54"/>
      <c r="DDG158" s="52"/>
      <c r="DDH158" s="53"/>
      <c r="DDI158" s="8"/>
      <c r="DDJ158" s="45"/>
      <c r="DDK158" s="45"/>
      <c r="DDL158" s="46"/>
      <c r="DDM158" s="44"/>
      <c r="DDN158" s="7"/>
      <c r="DDO158" s="51"/>
      <c r="DDP158" s="52"/>
      <c r="DDQ158" s="53"/>
      <c r="DDR158" s="54"/>
      <c r="DDS158" s="52"/>
      <c r="DDT158" s="53"/>
      <c r="DDU158" s="54"/>
      <c r="DDV158" s="52"/>
      <c r="DDW158" s="53"/>
      <c r="DDX158" s="8"/>
      <c r="DDY158" s="45"/>
      <c r="DDZ158" s="45"/>
      <c r="DEA158" s="46"/>
      <c r="DEB158" s="44"/>
      <c r="DEC158" s="7"/>
      <c r="DED158" s="51"/>
      <c r="DEE158" s="52"/>
      <c r="DEF158" s="53"/>
      <c r="DEG158" s="54"/>
      <c r="DEH158" s="52"/>
      <c r="DEI158" s="53"/>
      <c r="DEJ158" s="54"/>
      <c r="DEK158" s="52"/>
      <c r="DEL158" s="53"/>
      <c r="DEM158" s="8"/>
      <c r="DEN158" s="45"/>
      <c r="DEO158" s="45"/>
      <c r="DEP158" s="46"/>
      <c r="DEQ158" s="44"/>
      <c r="DER158" s="7"/>
      <c r="DES158" s="51"/>
      <c r="DET158" s="52"/>
      <c r="DEU158" s="53"/>
      <c r="DEV158" s="54"/>
      <c r="DEW158" s="52"/>
      <c r="DEX158" s="53"/>
      <c r="DEY158" s="54"/>
      <c r="DEZ158" s="52"/>
      <c r="DFA158" s="53"/>
      <c r="DFB158" s="8"/>
      <c r="DFC158" s="45"/>
      <c r="DFD158" s="45"/>
      <c r="DFE158" s="46"/>
      <c r="DFF158" s="44"/>
      <c r="DFG158" s="7"/>
      <c r="DFH158" s="51"/>
      <c r="DFI158" s="52"/>
      <c r="DFJ158" s="53"/>
      <c r="DFK158" s="54"/>
      <c r="DFL158" s="52"/>
      <c r="DFM158" s="53"/>
      <c r="DFN158" s="54"/>
      <c r="DFO158" s="52"/>
      <c r="DFP158" s="53"/>
      <c r="DFQ158" s="8"/>
      <c r="DFR158" s="45"/>
      <c r="DFS158" s="45"/>
      <c r="DFT158" s="46"/>
      <c r="DFU158" s="44"/>
      <c r="DFV158" s="7"/>
      <c r="DFW158" s="51"/>
      <c r="DFX158" s="52"/>
      <c r="DFY158" s="53"/>
      <c r="DFZ158" s="54"/>
      <c r="DGA158" s="52"/>
      <c r="DGB158" s="53"/>
      <c r="DGC158" s="54"/>
      <c r="DGD158" s="52"/>
      <c r="DGE158" s="53"/>
      <c r="DGF158" s="8"/>
      <c r="DGG158" s="45"/>
      <c r="DGH158" s="45"/>
      <c r="DGI158" s="46"/>
      <c r="DGJ158" s="44"/>
      <c r="DGK158" s="7"/>
      <c r="DGL158" s="51"/>
      <c r="DGM158" s="52"/>
      <c r="DGN158" s="53"/>
      <c r="DGO158" s="54"/>
      <c r="DGP158" s="52"/>
      <c r="DGQ158" s="53"/>
      <c r="DGR158" s="54"/>
      <c r="DGS158" s="52"/>
      <c r="DGT158" s="53"/>
      <c r="DGU158" s="8"/>
      <c r="DGV158" s="45"/>
      <c r="DGW158" s="45"/>
      <c r="DGX158" s="46"/>
      <c r="DGY158" s="44"/>
      <c r="DGZ158" s="7"/>
      <c r="DHA158" s="51"/>
      <c r="DHB158" s="52"/>
      <c r="DHC158" s="53"/>
      <c r="DHD158" s="54"/>
      <c r="DHE158" s="52"/>
      <c r="DHF158" s="53"/>
      <c r="DHG158" s="54"/>
      <c r="DHH158" s="52"/>
      <c r="DHI158" s="53"/>
      <c r="DHJ158" s="8"/>
      <c r="DHK158" s="45"/>
      <c r="DHL158" s="45"/>
      <c r="DHM158" s="46"/>
      <c r="DHN158" s="44"/>
      <c r="DHO158" s="7"/>
      <c r="DHP158" s="51"/>
      <c r="DHQ158" s="52"/>
      <c r="DHR158" s="53"/>
      <c r="DHS158" s="54"/>
      <c r="DHT158" s="52"/>
      <c r="DHU158" s="53"/>
      <c r="DHV158" s="54"/>
      <c r="DHW158" s="52"/>
      <c r="DHX158" s="53"/>
      <c r="DHY158" s="8"/>
      <c r="DHZ158" s="45"/>
      <c r="DIA158" s="45"/>
      <c r="DIB158" s="46"/>
      <c r="DIC158" s="44"/>
      <c r="DID158" s="7"/>
      <c r="DIE158" s="51"/>
      <c r="DIF158" s="52"/>
      <c r="DIG158" s="53"/>
      <c r="DIH158" s="54"/>
      <c r="DII158" s="52"/>
      <c r="DIJ158" s="53"/>
      <c r="DIK158" s="54"/>
      <c r="DIL158" s="52"/>
      <c r="DIM158" s="53"/>
      <c r="DIN158" s="8"/>
      <c r="DIO158" s="45"/>
      <c r="DIP158" s="45"/>
      <c r="DIQ158" s="46"/>
      <c r="DIR158" s="44"/>
      <c r="DIS158" s="7"/>
      <c r="DIT158" s="51"/>
      <c r="DIU158" s="52"/>
      <c r="DIV158" s="53"/>
      <c r="DIW158" s="54"/>
      <c r="DIX158" s="52"/>
      <c r="DIY158" s="53"/>
      <c r="DIZ158" s="54"/>
      <c r="DJA158" s="52"/>
      <c r="DJB158" s="53"/>
      <c r="DJC158" s="8"/>
      <c r="DJD158" s="45"/>
      <c r="DJE158" s="45"/>
      <c r="DJF158" s="46"/>
      <c r="DJG158" s="44"/>
      <c r="DJH158" s="7"/>
      <c r="DJI158" s="51"/>
      <c r="DJJ158" s="52"/>
      <c r="DJK158" s="53"/>
      <c r="DJL158" s="54"/>
      <c r="DJM158" s="52"/>
      <c r="DJN158" s="53"/>
      <c r="DJO158" s="54"/>
      <c r="DJP158" s="52"/>
      <c r="DJQ158" s="53"/>
      <c r="DJR158" s="8"/>
      <c r="DJS158" s="45"/>
      <c r="DJT158" s="45"/>
      <c r="DJU158" s="46"/>
      <c r="DJV158" s="44"/>
      <c r="DJW158" s="7"/>
      <c r="DJX158" s="51"/>
      <c r="DJY158" s="52"/>
      <c r="DJZ158" s="53"/>
      <c r="DKA158" s="54"/>
      <c r="DKB158" s="52"/>
      <c r="DKC158" s="53"/>
      <c r="DKD158" s="54"/>
      <c r="DKE158" s="52"/>
      <c r="DKF158" s="53"/>
      <c r="DKG158" s="8"/>
      <c r="DKH158" s="45"/>
      <c r="DKI158" s="45"/>
      <c r="DKJ158" s="46"/>
      <c r="DKK158" s="44"/>
      <c r="DKL158" s="7"/>
      <c r="DKM158" s="51"/>
      <c r="DKN158" s="52"/>
      <c r="DKO158" s="53"/>
      <c r="DKP158" s="54"/>
      <c r="DKQ158" s="52"/>
      <c r="DKR158" s="53"/>
      <c r="DKS158" s="54"/>
      <c r="DKT158" s="52"/>
      <c r="DKU158" s="53"/>
      <c r="DKV158" s="8"/>
      <c r="DKW158" s="45"/>
      <c r="DKX158" s="45"/>
      <c r="DKY158" s="46"/>
      <c r="DKZ158" s="44"/>
      <c r="DLA158" s="7"/>
      <c r="DLB158" s="51"/>
      <c r="DLC158" s="52"/>
      <c r="DLD158" s="53"/>
      <c r="DLE158" s="54"/>
      <c r="DLF158" s="52"/>
      <c r="DLG158" s="53"/>
      <c r="DLH158" s="54"/>
      <c r="DLI158" s="52"/>
      <c r="DLJ158" s="53"/>
      <c r="DLK158" s="8"/>
      <c r="DLL158" s="45"/>
      <c r="DLM158" s="45"/>
      <c r="DLN158" s="46"/>
      <c r="DLO158" s="44"/>
      <c r="DLP158" s="7"/>
      <c r="DLQ158" s="51"/>
      <c r="DLR158" s="52"/>
      <c r="DLS158" s="53"/>
      <c r="DLT158" s="54"/>
      <c r="DLU158" s="52"/>
      <c r="DLV158" s="53"/>
      <c r="DLW158" s="54"/>
      <c r="DLX158" s="52"/>
      <c r="DLY158" s="53"/>
      <c r="DLZ158" s="8"/>
      <c r="DMA158" s="45"/>
      <c r="DMB158" s="45"/>
      <c r="DMC158" s="46"/>
      <c r="DMD158" s="44"/>
      <c r="DME158" s="7"/>
      <c r="DMF158" s="51"/>
      <c r="DMG158" s="52"/>
      <c r="DMH158" s="53"/>
      <c r="DMI158" s="54"/>
      <c r="DMJ158" s="52"/>
      <c r="DMK158" s="53"/>
      <c r="DML158" s="54"/>
      <c r="DMM158" s="52"/>
      <c r="DMN158" s="53"/>
      <c r="DMO158" s="8"/>
      <c r="DMP158" s="45"/>
      <c r="DMQ158" s="45"/>
      <c r="DMR158" s="46"/>
      <c r="DMS158" s="44"/>
      <c r="DMT158" s="7"/>
      <c r="DMU158" s="51"/>
      <c r="DMV158" s="52"/>
      <c r="DMW158" s="53"/>
      <c r="DMX158" s="54"/>
      <c r="DMY158" s="52"/>
      <c r="DMZ158" s="53"/>
      <c r="DNA158" s="54"/>
      <c r="DNB158" s="52"/>
      <c r="DNC158" s="53"/>
      <c r="DND158" s="8"/>
      <c r="DNE158" s="45"/>
      <c r="DNF158" s="45"/>
      <c r="DNG158" s="46"/>
      <c r="DNH158" s="44"/>
      <c r="DNI158" s="7"/>
      <c r="DNJ158" s="51"/>
      <c r="DNK158" s="52"/>
      <c r="DNL158" s="53"/>
      <c r="DNM158" s="54"/>
      <c r="DNN158" s="52"/>
      <c r="DNO158" s="53"/>
      <c r="DNP158" s="54"/>
      <c r="DNQ158" s="52"/>
      <c r="DNR158" s="53"/>
      <c r="DNS158" s="8"/>
      <c r="DNT158" s="45"/>
      <c r="DNU158" s="45"/>
      <c r="DNV158" s="46"/>
      <c r="DNW158" s="44"/>
      <c r="DNX158" s="7"/>
      <c r="DNY158" s="51"/>
      <c r="DNZ158" s="52"/>
      <c r="DOA158" s="53"/>
      <c r="DOB158" s="54"/>
      <c r="DOC158" s="52"/>
      <c r="DOD158" s="53"/>
      <c r="DOE158" s="54"/>
      <c r="DOF158" s="52"/>
      <c r="DOG158" s="53"/>
      <c r="DOH158" s="8"/>
      <c r="DOI158" s="45"/>
      <c r="DOJ158" s="45"/>
      <c r="DOK158" s="46"/>
      <c r="DOL158" s="44"/>
      <c r="DOM158" s="7"/>
      <c r="DON158" s="51"/>
      <c r="DOO158" s="52"/>
      <c r="DOP158" s="53"/>
      <c r="DOQ158" s="54"/>
      <c r="DOR158" s="52"/>
      <c r="DOS158" s="53"/>
      <c r="DOT158" s="54"/>
      <c r="DOU158" s="52"/>
      <c r="DOV158" s="53"/>
      <c r="DOW158" s="8"/>
      <c r="DOX158" s="45"/>
      <c r="DOY158" s="45"/>
      <c r="DOZ158" s="46"/>
      <c r="DPA158" s="44"/>
      <c r="DPB158" s="7"/>
      <c r="DPC158" s="51"/>
      <c r="DPD158" s="52"/>
      <c r="DPE158" s="53"/>
      <c r="DPF158" s="54"/>
      <c r="DPG158" s="52"/>
      <c r="DPH158" s="53"/>
      <c r="DPI158" s="54"/>
      <c r="DPJ158" s="52"/>
      <c r="DPK158" s="53"/>
      <c r="DPL158" s="8"/>
      <c r="DPM158" s="45"/>
      <c r="DPN158" s="45"/>
      <c r="DPO158" s="46"/>
      <c r="DPP158" s="44"/>
      <c r="DPQ158" s="7"/>
      <c r="DPR158" s="51"/>
      <c r="DPS158" s="52"/>
      <c r="DPT158" s="53"/>
      <c r="DPU158" s="54"/>
      <c r="DPV158" s="52"/>
      <c r="DPW158" s="53"/>
      <c r="DPX158" s="54"/>
      <c r="DPY158" s="52"/>
      <c r="DPZ158" s="53"/>
      <c r="DQA158" s="8"/>
      <c r="DQB158" s="45"/>
      <c r="DQC158" s="45"/>
      <c r="DQD158" s="46"/>
      <c r="DQE158" s="44"/>
      <c r="DQF158" s="7"/>
      <c r="DQG158" s="51"/>
      <c r="DQH158" s="52"/>
      <c r="DQI158" s="53"/>
      <c r="DQJ158" s="54"/>
      <c r="DQK158" s="52"/>
      <c r="DQL158" s="53"/>
      <c r="DQM158" s="54"/>
      <c r="DQN158" s="52"/>
      <c r="DQO158" s="53"/>
      <c r="DQP158" s="8"/>
      <c r="DQQ158" s="45"/>
      <c r="DQR158" s="45"/>
      <c r="DQS158" s="46"/>
      <c r="DQT158" s="44"/>
      <c r="DQU158" s="7"/>
      <c r="DQV158" s="51"/>
      <c r="DQW158" s="52"/>
      <c r="DQX158" s="53"/>
      <c r="DQY158" s="54"/>
      <c r="DQZ158" s="52"/>
      <c r="DRA158" s="53"/>
      <c r="DRB158" s="54"/>
      <c r="DRC158" s="52"/>
      <c r="DRD158" s="53"/>
      <c r="DRE158" s="8"/>
      <c r="DRF158" s="45"/>
      <c r="DRG158" s="45"/>
      <c r="DRH158" s="46"/>
      <c r="DRI158" s="44"/>
      <c r="DRJ158" s="7"/>
      <c r="DRK158" s="51"/>
      <c r="DRL158" s="52"/>
      <c r="DRM158" s="53"/>
      <c r="DRN158" s="54"/>
      <c r="DRO158" s="52"/>
      <c r="DRP158" s="53"/>
      <c r="DRQ158" s="54"/>
      <c r="DRR158" s="52"/>
      <c r="DRS158" s="53"/>
      <c r="DRT158" s="8"/>
      <c r="DRU158" s="45"/>
      <c r="DRV158" s="45"/>
      <c r="DRW158" s="46"/>
      <c r="DRX158" s="44"/>
      <c r="DRY158" s="7"/>
      <c r="DRZ158" s="51"/>
      <c r="DSA158" s="52"/>
      <c r="DSB158" s="53"/>
      <c r="DSC158" s="54"/>
      <c r="DSD158" s="52"/>
      <c r="DSE158" s="53"/>
      <c r="DSF158" s="54"/>
      <c r="DSG158" s="52"/>
      <c r="DSH158" s="53"/>
      <c r="DSI158" s="8"/>
      <c r="DSJ158" s="45"/>
      <c r="DSK158" s="45"/>
      <c r="DSL158" s="46"/>
      <c r="DSM158" s="44"/>
      <c r="DSN158" s="7"/>
      <c r="DSO158" s="51"/>
      <c r="DSP158" s="52"/>
      <c r="DSQ158" s="53"/>
      <c r="DSR158" s="54"/>
      <c r="DSS158" s="52"/>
      <c r="DST158" s="53"/>
      <c r="DSU158" s="54"/>
      <c r="DSV158" s="52"/>
      <c r="DSW158" s="53"/>
      <c r="DSX158" s="8"/>
      <c r="DSY158" s="45"/>
      <c r="DSZ158" s="45"/>
      <c r="DTA158" s="46"/>
      <c r="DTB158" s="44"/>
      <c r="DTC158" s="7"/>
      <c r="DTD158" s="51"/>
      <c r="DTE158" s="52"/>
      <c r="DTF158" s="53"/>
      <c r="DTG158" s="54"/>
      <c r="DTH158" s="52"/>
      <c r="DTI158" s="53"/>
      <c r="DTJ158" s="54"/>
      <c r="DTK158" s="52"/>
      <c r="DTL158" s="53"/>
      <c r="DTM158" s="8"/>
      <c r="DTN158" s="45"/>
      <c r="DTO158" s="45"/>
      <c r="DTP158" s="46"/>
      <c r="DTQ158" s="44"/>
      <c r="DTR158" s="7"/>
      <c r="DTS158" s="51"/>
      <c r="DTT158" s="52"/>
      <c r="DTU158" s="53"/>
      <c r="DTV158" s="54"/>
      <c r="DTW158" s="52"/>
      <c r="DTX158" s="53"/>
      <c r="DTY158" s="54"/>
      <c r="DTZ158" s="52"/>
      <c r="DUA158" s="53"/>
      <c r="DUB158" s="8"/>
      <c r="DUC158" s="45"/>
      <c r="DUD158" s="45"/>
      <c r="DUE158" s="46"/>
      <c r="DUF158" s="44"/>
      <c r="DUG158" s="7"/>
      <c r="DUH158" s="51"/>
      <c r="DUI158" s="52"/>
      <c r="DUJ158" s="53"/>
      <c r="DUK158" s="54"/>
      <c r="DUL158" s="52"/>
      <c r="DUM158" s="53"/>
      <c r="DUN158" s="54"/>
      <c r="DUO158" s="52"/>
      <c r="DUP158" s="53"/>
      <c r="DUQ158" s="8"/>
      <c r="DUR158" s="45"/>
      <c r="DUS158" s="45"/>
      <c r="DUT158" s="46"/>
      <c r="DUU158" s="44"/>
      <c r="DUV158" s="7"/>
      <c r="DUW158" s="51"/>
      <c r="DUX158" s="52"/>
      <c r="DUY158" s="53"/>
      <c r="DUZ158" s="54"/>
      <c r="DVA158" s="52"/>
      <c r="DVB158" s="53"/>
      <c r="DVC158" s="54"/>
      <c r="DVD158" s="52"/>
      <c r="DVE158" s="53"/>
      <c r="DVF158" s="8"/>
      <c r="DVG158" s="45"/>
      <c r="DVH158" s="45"/>
      <c r="DVI158" s="46"/>
      <c r="DVJ158" s="44"/>
      <c r="DVK158" s="7"/>
      <c r="DVL158" s="51"/>
      <c r="DVM158" s="52"/>
      <c r="DVN158" s="53"/>
      <c r="DVO158" s="54"/>
      <c r="DVP158" s="52"/>
      <c r="DVQ158" s="53"/>
      <c r="DVR158" s="54"/>
      <c r="DVS158" s="52"/>
      <c r="DVT158" s="53"/>
      <c r="DVU158" s="8"/>
      <c r="DVV158" s="45"/>
      <c r="DVW158" s="45"/>
      <c r="DVX158" s="46"/>
      <c r="DVY158" s="44"/>
      <c r="DVZ158" s="7"/>
      <c r="DWA158" s="51"/>
      <c r="DWB158" s="52"/>
      <c r="DWC158" s="53"/>
      <c r="DWD158" s="54"/>
      <c r="DWE158" s="52"/>
      <c r="DWF158" s="53"/>
      <c r="DWG158" s="54"/>
      <c r="DWH158" s="52"/>
      <c r="DWI158" s="53"/>
      <c r="DWJ158" s="8"/>
      <c r="DWK158" s="45"/>
      <c r="DWL158" s="45"/>
      <c r="DWM158" s="46"/>
      <c r="DWN158" s="44"/>
      <c r="DWO158" s="7"/>
      <c r="DWP158" s="51"/>
      <c r="DWQ158" s="52"/>
      <c r="DWR158" s="53"/>
      <c r="DWS158" s="54"/>
      <c r="DWT158" s="52"/>
      <c r="DWU158" s="53"/>
      <c r="DWV158" s="54"/>
      <c r="DWW158" s="52"/>
      <c r="DWX158" s="53"/>
      <c r="DWY158" s="8"/>
      <c r="DWZ158" s="45"/>
      <c r="DXA158" s="45"/>
      <c r="DXB158" s="46"/>
      <c r="DXC158" s="44"/>
      <c r="DXD158" s="7"/>
      <c r="DXE158" s="51"/>
      <c r="DXF158" s="52"/>
      <c r="DXG158" s="53"/>
      <c r="DXH158" s="54"/>
      <c r="DXI158" s="52"/>
      <c r="DXJ158" s="53"/>
      <c r="DXK158" s="54"/>
      <c r="DXL158" s="52"/>
      <c r="DXM158" s="53"/>
      <c r="DXN158" s="8"/>
      <c r="DXO158" s="45"/>
      <c r="DXP158" s="45"/>
      <c r="DXQ158" s="46"/>
      <c r="DXR158" s="44"/>
      <c r="DXS158" s="7"/>
      <c r="DXT158" s="51"/>
      <c r="DXU158" s="52"/>
      <c r="DXV158" s="53"/>
      <c r="DXW158" s="54"/>
      <c r="DXX158" s="52"/>
      <c r="DXY158" s="53"/>
      <c r="DXZ158" s="54"/>
      <c r="DYA158" s="52"/>
      <c r="DYB158" s="53"/>
      <c r="DYC158" s="8"/>
      <c r="DYD158" s="45"/>
      <c r="DYE158" s="45"/>
      <c r="DYF158" s="46"/>
      <c r="DYG158" s="44"/>
      <c r="DYH158" s="7"/>
      <c r="DYI158" s="51"/>
      <c r="DYJ158" s="52"/>
      <c r="DYK158" s="53"/>
      <c r="DYL158" s="54"/>
      <c r="DYM158" s="52"/>
      <c r="DYN158" s="53"/>
      <c r="DYO158" s="54"/>
      <c r="DYP158" s="52"/>
      <c r="DYQ158" s="53"/>
      <c r="DYR158" s="8"/>
      <c r="DYS158" s="45"/>
      <c r="DYT158" s="45"/>
      <c r="DYU158" s="46"/>
      <c r="DYV158" s="44"/>
      <c r="DYW158" s="7"/>
      <c r="DYX158" s="51"/>
      <c r="DYY158" s="52"/>
      <c r="DYZ158" s="53"/>
      <c r="DZA158" s="54"/>
      <c r="DZB158" s="52"/>
      <c r="DZC158" s="53"/>
      <c r="DZD158" s="54"/>
      <c r="DZE158" s="52"/>
      <c r="DZF158" s="53"/>
      <c r="DZG158" s="8"/>
      <c r="DZH158" s="45"/>
      <c r="DZI158" s="45"/>
      <c r="DZJ158" s="46"/>
      <c r="DZK158" s="44"/>
      <c r="DZL158" s="7"/>
      <c r="DZM158" s="51"/>
      <c r="DZN158" s="52"/>
      <c r="DZO158" s="53"/>
      <c r="DZP158" s="54"/>
      <c r="DZQ158" s="52"/>
      <c r="DZR158" s="53"/>
      <c r="DZS158" s="54"/>
      <c r="DZT158" s="52"/>
      <c r="DZU158" s="53"/>
      <c r="DZV158" s="8"/>
      <c r="DZW158" s="45"/>
      <c r="DZX158" s="45"/>
      <c r="DZY158" s="46"/>
      <c r="DZZ158" s="44"/>
      <c r="EAA158" s="7"/>
      <c r="EAB158" s="51"/>
      <c r="EAC158" s="52"/>
      <c r="EAD158" s="53"/>
      <c r="EAE158" s="54"/>
      <c r="EAF158" s="52"/>
      <c r="EAG158" s="53"/>
      <c r="EAH158" s="54"/>
      <c r="EAI158" s="52"/>
      <c r="EAJ158" s="53"/>
      <c r="EAK158" s="8"/>
      <c r="EAL158" s="45"/>
      <c r="EAM158" s="45"/>
      <c r="EAN158" s="46"/>
      <c r="EAO158" s="44"/>
      <c r="EAP158" s="7"/>
      <c r="EAQ158" s="51"/>
      <c r="EAR158" s="52"/>
      <c r="EAS158" s="53"/>
      <c r="EAT158" s="54"/>
      <c r="EAU158" s="52"/>
      <c r="EAV158" s="53"/>
      <c r="EAW158" s="54"/>
      <c r="EAX158" s="52"/>
      <c r="EAY158" s="53"/>
      <c r="EAZ158" s="8"/>
      <c r="EBA158" s="45"/>
      <c r="EBB158" s="45"/>
      <c r="EBC158" s="46"/>
      <c r="EBD158" s="44"/>
      <c r="EBE158" s="7"/>
      <c r="EBF158" s="51"/>
      <c r="EBG158" s="52"/>
      <c r="EBH158" s="53"/>
      <c r="EBI158" s="54"/>
      <c r="EBJ158" s="52"/>
      <c r="EBK158" s="53"/>
      <c r="EBL158" s="54"/>
      <c r="EBM158" s="52"/>
      <c r="EBN158" s="53"/>
      <c r="EBO158" s="8"/>
      <c r="EBP158" s="45"/>
      <c r="EBQ158" s="45"/>
      <c r="EBR158" s="46"/>
      <c r="EBS158" s="44"/>
      <c r="EBT158" s="7"/>
      <c r="EBU158" s="51"/>
      <c r="EBV158" s="52"/>
      <c r="EBW158" s="53"/>
      <c r="EBX158" s="54"/>
      <c r="EBY158" s="52"/>
      <c r="EBZ158" s="53"/>
      <c r="ECA158" s="54"/>
      <c r="ECB158" s="52"/>
      <c r="ECC158" s="53"/>
      <c r="ECD158" s="8"/>
      <c r="ECE158" s="45"/>
      <c r="ECF158" s="45"/>
      <c r="ECG158" s="46"/>
      <c r="ECH158" s="44"/>
      <c r="ECI158" s="7"/>
      <c r="ECJ158" s="51"/>
      <c r="ECK158" s="52"/>
      <c r="ECL158" s="53"/>
      <c r="ECM158" s="54"/>
      <c r="ECN158" s="52"/>
      <c r="ECO158" s="53"/>
      <c r="ECP158" s="54"/>
      <c r="ECQ158" s="52"/>
      <c r="ECR158" s="53"/>
      <c r="ECS158" s="8"/>
      <c r="ECT158" s="45"/>
      <c r="ECU158" s="45"/>
      <c r="ECV158" s="46"/>
      <c r="ECW158" s="44"/>
      <c r="ECX158" s="7"/>
      <c r="ECY158" s="51"/>
      <c r="ECZ158" s="52"/>
      <c r="EDA158" s="53"/>
      <c r="EDB158" s="54"/>
      <c r="EDC158" s="52"/>
      <c r="EDD158" s="53"/>
      <c r="EDE158" s="54"/>
      <c r="EDF158" s="52"/>
      <c r="EDG158" s="53"/>
      <c r="EDH158" s="8"/>
      <c r="EDI158" s="45"/>
      <c r="EDJ158" s="45"/>
      <c r="EDK158" s="46"/>
      <c r="EDL158" s="44"/>
      <c r="EDM158" s="7"/>
      <c r="EDN158" s="51"/>
      <c r="EDO158" s="52"/>
      <c r="EDP158" s="53"/>
      <c r="EDQ158" s="54"/>
      <c r="EDR158" s="52"/>
      <c r="EDS158" s="53"/>
      <c r="EDT158" s="54"/>
      <c r="EDU158" s="52"/>
      <c r="EDV158" s="53"/>
      <c r="EDW158" s="8"/>
      <c r="EDX158" s="45"/>
      <c r="EDY158" s="45"/>
      <c r="EDZ158" s="46"/>
      <c r="EEA158" s="44"/>
      <c r="EEB158" s="7"/>
      <c r="EEC158" s="51"/>
      <c r="EED158" s="52"/>
      <c r="EEE158" s="53"/>
      <c r="EEF158" s="54"/>
      <c r="EEG158" s="52"/>
      <c r="EEH158" s="53"/>
      <c r="EEI158" s="54"/>
      <c r="EEJ158" s="52"/>
      <c r="EEK158" s="53"/>
      <c r="EEL158" s="8"/>
      <c r="EEM158" s="45"/>
      <c r="EEN158" s="45"/>
      <c r="EEO158" s="46"/>
      <c r="EEP158" s="44"/>
      <c r="EEQ158" s="7"/>
      <c r="EER158" s="51"/>
      <c r="EES158" s="52"/>
      <c r="EET158" s="53"/>
      <c r="EEU158" s="54"/>
      <c r="EEV158" s="52"/>
      <c r="EEW158" s="53"/>
      <c r="EEX158" s="54"/>
      <c r="EEY158" s="52"/>
      <c r="EEZ158" s="53"/>
      <c r="EFA158" s="8"/>
      <c r="EFB158" s="45"/>
      <c r="EFC158" s="45"/>
      <c r="EFD158" s="46"/>
      <c r="EFE158" s="44"/>
      <c r="EFF158" s="7"/>
      <c r="EFG158" s="51"/>
      <c r="EFH158" s="52"/>
      <c r="EFI158" s="53"/>
      <c r="EFJ158" s="54"/>
      <c r="EFK158" s="52"/>
      <c r="EFL158" s="53"/>
      <c r="EFM158" s="54"/>
      <c r="EFN158" s="52"/>
      <c r="EFO158" s="53"/>
      <c r="EFP158" s="8"/>
      <c r="EFQ158" s="45"/>
      <c r="EFR158" s="45"/>
      <c r="EFS158" s="46"/>
      <c r="EFT158" s="44"/>
      <c r="EFU158" s="7"/>
      <c r="EFV158" s="51"/>
      <c r="EFW158" s="52"/>
      <c r="EFX158" s="53"/>
      <c r="EFY158" s="54"/>
      <c r="EFZ158" s="52"/>
      <c r="EGA158" s="53"/>
      <c r="EGB158" s="54"/>
      <c r="EGC158" s="52"/>
      <c r="EGD158" s="53"/>
      <c r="EGE158" s="8"/>
      <c r="EGF158" s="45"/>
      <c r="EGG158" s="45"/>
      <c r="EGH158" s="46"/>
      <c r="EGI158" s="44"/>
      <c r="EGJ158" s="7"/>
      <c r="EGK158" s="51"/>
      <c r="EGL158" s="52"/>
      <c r="EGM158" s="53"/>
      <c r="EGN158" s="54"/>
      <c r="EGO158" s="52"/>
      <c r="EGP158" s="53"/>
      <c r="EGQ158" s="54"/>
      <c r="EGR158" s="52"/>
      <c r="EGS158" s="53"/>
      <c r="EGT158" s="8"/>
      <c r="EGU158" s="45"/>
      <c r="EGV158" s="45"/>
      <c r="EGW158" s="46"/>
      <c r="EGX158" s="44"/>
      <c r="EGY158" s="7"/>
      <c r="EGZ158" s="51"/>
      <c r="EHA158" s="52"/>
      <c r="EHB158" s="53"/>
      <c r="EHC158" s="54"/>
      <c r="EHD158" s="52"/>
      <c r="EHE158" s="53"/>
      <c r="EHF158" s="54"/>
      <c r="EHG158" s="52"/>
      <c r="EHH158" s="53"/>
      <c r="EHI158" s="8"/>
      <c r="EHJ158" s="45"/>
      <c r="EHK158" s="45"/>
      <c r="EHL158" s="46"/>
      <c r="EHM158" s="44"/>
      <c r="EHN158" s="7"/>
      <c r="EHO158" s="51"/>
      <c r="EHP158" s="52"/>
      <c r="EHQ158" s="53"/>
      <c r="EHR158" s="54"/>
      <c r="EHS158" s="52"/>
      <c r="EHT158" s="53"/>
      <c r="EHU158" s="54"/>
      <c r="EHV158" s="52"/>
      <c r="EHW158" s="53"/>
      <c r="EHX158" s="8"/>
      <c r="EHY158" s="45"/>
      <c r="EHZ158" s="45"/>
      <c r="EIA158" s="46"/>
      <c r="EIB158" s="44"/>
      <c r="EIC158" s="7"/>
      <c r="EID158" s="51"/>
      <c r="EIE158" s="52"/>
      <c r="EIF158" s="53"/>
      <c r="EIG158" s="54"/>
      <c r="EIH158" s="52"/>
      <c r="EII158" s="53"/>
      <c r="EIJ158" s="54"/>
      <c r="EIK158" s="52"/>
      <c r="EIL158" s="53"/>
      <c r="EIM158" s="8"/>
      <c r="EIN158" s="45"/>
      <c r="EIO158" s="45"/>
      <c r="EIP158" s="46"/>
      <c r="EIQ158" s="44"/>
      <c r="EIR158" s="7"/>
      <c r="EIS158" s="51"/>
      <c r="EIT158" s="52"/>
      <c r="EIU158" s="53"/>
      <c r="EIV158" s="54"/>
      <c r="EIW158" s="52"/>
      <c r="EIX158" s="53"/>
      <c r="EIY158" s="54"/>
      <c r="EIZ158" s="52"/>
      <c r="EJA158" s="53"/>
      <c r="EJB158" s="8"/>
      <c r="EJC158" s="45"/>
      <c r="EJD158" s="45"/>
      <c r="EJE158" s="46"/>
      <c r="EJF158" s="44"/>
      <c r="EJG158" s="7"/>
      <c r="EJH158" s="51"/>
      <c r="EJI158" s="52"/>
      <c r="EJJ158" s="53"/>
      <c r="EJK158" s="54"/>
      <c r="EJL158" s="52"/>
      <c r="EJM158" s="53"/>
      <c r="EJN158" s="54"/>
      <c r="EJO158" s="52"/>
      <c r="EJP158" s="53"/>
      <c r="EJQ158" s="8"/>
      <c r="EJR158" s="45"/>
      <c r="EJS158" s="45"/>
      <c r="EJT158" s="46"/>
      <c r="EJU158" s="44"/>
      <c r="EJV158" s="7"/>
      <c r="EJW158" s="51"/>
      <c r="EJX158" s="52"/>
      <c r="EJY158" s="53"/>
      <c r="EJZ158" s="54"/>
      <c r="EKA158" s="52"/>
      <c r="EKB158" s="53"/>
      <c r="EKC158" s="54"/>
      <c r="EKD158" s="52"/>
      <c r="EKE158" s="53"/>
      <c r="EKF158" s="8"/>
      <c r="EKG158" s="45"/>
      <c r="EKH158" s="45"/>
      <c r="EKI158" s="46"/>
      <c r="EKJ158" s="44"/>
      <c r="EKK158" s="7"/>
      <c r="EKL158" s="51"/>
      <c r="EKM158" s="52"/>
      <c r="EKN158" s="53"/>
      <c r="EKO158" s="54"/>
      <c r="EKP158" s="52"/>
      <c r="EKQ158" s="53"/>
      <c r="EKR158" s="54"/>
      <c r="EKS158" s="52"/>
      <c r="EKT158" s="53"/>
      <c r="EKU158" s="8"/>
      <c r="EKV158" s="45"/>
      <c r="EKW158" s="45"/>
      <c r="EKX158" s="46"/>
      <c r="EKY158" s="44"/>
      <c r="EKZ158" s="7"/>
      <c r="ELA158" s="51"/>
      <c r="ELB158" s="52"/>
      <c r="ELC158" s="53"/>
      <c r="ELD158" s="54"/>
      <c r="ELE158" s="52"/>
      <c r="ELF158" s="53"/>
      <c r="ELG158" s="54"/>
      <c r="ELH158" s="52"/>
      <c r="ELI158" s="53"/>
      <c r="ELJ158" s="8"/>
      <c r="ELK158" s="45"/>
      <c r="ELL158" s="45"/>
      <c r="ELM158" s="46"/>
      <c r="ELN158" s="44"/>
      <c r="ELO158" s="7"/>
      <c r="ELP158" s="51"/>
      <c r="ELQ158" s="52"/>
      <c r="ELR158" s="53"/>
      <c r="ELS158" s="54"/>
      <c r="ELT158" s="52"/>
      <c r="ELU158" s="53"/>
      <c r="ELV158" s="54"/>
      <c r="ELW158" s="52"/>
      <c r="ELX158" s="53"/>
      <c r="ELY158" s="8"/>
      <c r="ELZ158" s="45"/>
      <c r="EMA158" s="45"/>
      <c r="EMB158" s="46"/>
      <c r="EMC158" s="44"/>
      <c r="EMD158" s="7"/>
      <c r="EME158" s="51"/>
      <c r="EMF158" s="52"/>
      <c r="EMG158" s="53"/>
      <c r="EMH158" s="54"/>
      <c r="EMI158" s="52"/>
      <c r="EMJ158" s="53"/>
      <c r="EMK158" s="54"/>
      <c r="EML158" s="52"/>
      <c r="EMM158" s="53"/>
      <c r="EMN158" s="8"/>
      <c r="EMO158" s="45"/>
      <c r="EMP158" s="45"/>
      <c r="EMQ158" s="46"/>
      <c r="EMR158" s="44"/>
      <c r="EMS158" s="7"/>
      <c r="EMT158" s="51"/>
      <c r="EMU158" s="52"/>
      <c r="EMV158" s="53"/>
      <c r="EMW158" s="54"/>
      <c r="EMX158" s="52"/>
      <c r="EMY158" s="53"/>
      <c r="EMZ158" s="54"/>
      <c r="ENA158" s="52"/>
      <c r="ENB158" s="53"/>
      <c r="ENC158" s="8"/>
      <c r="END158" s="45"/>
      <c r="ENE158" s="45"/>
      <c r="ENF158" s="46"/>
      <c r="ENG158" s="44"/>
      <c r="ENH158" s="7"/>
      <c r="ENI158" s="51"/>
      <c r="ENJ158" s="52"/>
      <c r="ENK158" s="53"/>
      <c r="ENL158" s="54"/>
      <c r="ENM158" s="52"/>
      <c r="ENN158" s="53"/>
      <c r="ENO158" s="54"/>
      <c r="ENP158" s="52"/>
      <c r="ENQ158" s="53"/>
      <c r="ENR158" s="8"/>
      <c r="ENS158" s="45"/>
      <c r="ENT158" s="45"/>
      <c r="ENU158" s="46"/>
      <c r="ENV158" s="44"/>
      <c r="ENW158" s="7"/>
      <c r="ENX158" s="51"/>
      <c r="ENY158" s="52"/>
      <c r="ENZ158" s="53"/>
      <c r="EOA158" s="54"/>
      <c r="EOB158" s="52"/>
      <c r="EOC158" s="53"/>
      <c r="EOD158" s="54"/>
      <c r="EOE158" s="52"/>
      <c r="EOF158" s="53"/>
      <c r="EOG158" s="8"/>
      <c r="EOH158" s="45"/>
      <c r="EOI158" s="45"/>
      <c r="EOJ158" s="46"/>
      <c r="EOK158" s="44"/>
      <c r="EOL158" s="7"/>
      <c r="EOM158" s="51"/>
      <c r="EON158" s="52"/>
      <c r="EOO158" s="53"/>
      <c r="EOP158" s="54"/>
      <c r="EOQ158" s="52"/>
      <c r="EOR158" s="53"/>
      <c r="EOS158" s="54"/>
      <c r="EOT158" s="52"/>
      <c r="EOU158" s="53"/>
      <c r="EOV158" s="8"/>
      <c r="EOW158" s="45"/>
      <c r="EOX158" s="45"/>
      <c r="EOY158" s="46"/>
      <c r="EOZ158" s="44"/>
      <c r="EPA158" s="7"/>
      <c r="EPB158" s="51"/>
      <c r="EPC158" s="52"/>
      <c r="EPD158" s="53"/>
      <c r="EPE158" s="54"/>
      <c r="EPF158" s="52"/>
      <c r="EPG158" s="53"/>
      <c r="EPH158" s="54"/>
      <c r="EPI158" s="52"/>
      <c r="EPJ158" s="53"/>
      <c r="EPK158" s="8"/>
      <c r="EPL158" s="45"/>
      <c r="EPM158" s="45"/>
      <c r="EPN158" s="46"/>
      <c r="EPO158" s="44"/>
      <c r="EPP158" s="7"/>
      <c r="EPQ158" s="51"/>
      <c r="EPR158" s="52"/>
      <c r="EPS158" s="53"/>
      <c r="EPT158" s="54"/>
      <c r="EPU158" s="52"/>
      <c r="EPV158" s="53"/>
      <c r="EPW158" s="54"/>
      <c r="EPX158" s="52"/>
      <c r="EPY158" s="53"/>
      <c r="EPZ158" s="8"/>
      <c r="EQA158" s="45"/>
      <c r="EQB158" s="45"/>
      <c r="EQC158" s="46"/>
      <c r="EQD158" s="44"/>
      <c r="EQE158" s="7"/>
      <c r="EQF158" s="51"/>
      <c r="EQG158" s="52"/>
      <c r="EQH158" s="53"/>
      <c r="EQI158" s="54"/>
      <c r="EQJ158" s="52"/>
      <c r="EQK158" s="53"/>
      <c r="EQL158" s="54"/>
      <c r="EQM158" s="52"/>
      <c r="EQN158" s="53"/>
      <c r="EQO158" s="8"/>
      <c r="EQP158" s="45"/>
      <c r="EQQ158" s="45"/>
      <c r="EQR158" s="46"/>
      <c r="EQS158" s="44"/>
      <c r="EQT158" s="7"/>
      <c r="EQU158" s="51"/>
      <c r="EQV158" s="52"/>
      <c r="EQW158" s="53"/>
      <c r="EQX158" s="54"/>
      <c r="EQY158" s="52"/>
      <c r="EQZ158" s="53"/>
      <c r="ERA158" s="54"/>
      <c r="ERB158" s="52"/>
      <c r="ERC158" s="53"/>
      <c r="ERD158" s="8"/>
      <c r="ERE158" s="45"/>
      <c r="ERF158" s="45"/>
      <c r="ERG158" s="46"/>
      <c r="ERH158" s="44"/>
      <c r="ERI158" s="7"/>
      <c r="ERJ158" s="51"/>
      <c r="ERK158" s="52"/>
      <c r="ERL158" s="53"/>
      <c r="ERM158" s="54"/>
      <c r="ERN158" s="52"/>
      <c r="ERO158" s="53"/>
      <c r="ERP158" s="54"/>
      <c r="ERQ158" s="52"/>
      <c r="ERR158" s="53"/>
      <c r="ERS158" s="8"/>
      <c r="ERT158" s="45"/>
      <c r="ERU158" s="45"/>
      <c r="ERV158" s="46"/>
      <c r="ERW158" s="44"/>
      <c r="ERX158" s="7"/>
      <c r="ERY158" s="51"/>
      <c r="ERZ158" s="52"/>
      <c r="ESA158" s="53"/>
      <c r="ESB158" s="54"/>
      <c r="ESC158" s="52"/>
      <c r="ESD158" s="53"/>
      <c r="ESE158" s="54"/>
      <c r="ESF158" s="52"/>
      <c r="ESG158" s="53"/>
      <c r="ESH158" s="8"/>
      <c r="ESI158" s="45"/>
      <c r="ESJ158" s="45"/>
      <c r="ESK158" s="46"/>
      <c r="ESL158" s="44"/>
      <c r="ESM158" s="7"/>
      <c r="ESN158" s="51"/>
      <c r="ESO158" s="52"/>
      <c r="ESP158" s="53"/>
      <c r="ESQ158" s="54"/>
      <c r="ESR158" s="52"/>
      <c r="ESS158" s="53"/>
      <c r="EST158" s="54"/>
      <c r="ESU158" s="52"/>
      <c r="ESV158" s="53"/>
      <c r="ESW158" s="8"/>
      <c r="ESX158" s="45"/>
      <c r="ESY158" s="45"/>
      <c r="ESZ158" s="46"/>
      <c r="ETA158" s="44"/>
      <c r="ETB158" s="7"/>
      <c r="ETC158" s="51"/>
      <c r="ETD158" s="52"/>
      <c r="ETE158" s="53"/>
      <c r="ETF158" s="54"/>
      <c r="ETG158" s="52"/>
      <c r="ETH158" s="53"/>
      <c r="ETI158" s="54"/>
      <c r="ETJ158" s="52"/>
      <c r="ETK158" s="53"/>
      <c r="ETL158" s="8"/>
      <c r="ETM158" s="45"/>
      <c r="ETN158" s="45"/>
      <c r="ETO158" s="46"/>
      <c r="ETP158" s="44"/>
      <c r="ETQ158" s="7"/>
      <c r="ETR158" s="51"/>
      <c r="ETS158" s="52"/>
      <c r="ETT158" s="53"/>
      <c r="ETU158" s="54"/>
      <c r="ETV158" s="52"/>
      <c r="ETW158" s="53"/>
      <c r="ETX158" s="54"/>
      <c r="ETY158" s="52"/>
      <c r="ETZ158" s="53"/>
      <c r="EUA158" s="8"/>
      <c r="EUB158" s="45"/>
      <c r="EUC158" s="45"/>
      <c r="EUD158" s="46"/>
      <c r="EUE158" s="44"/>
      <c r="EUF158" s="7"/>
      <c r="EUG158" s="51"/>
      <c r="EUH158" s="52"/>
      <c r="EUI158" s="53"/>
      <c r="EUJ158" s="54"/>
      <c r="EUK158" s="52"/>
      <c r="EUL158" s="53"/>
      <c r="EUM158" s="54"/>
      <c r="EUN158" s="52"/>
      <c r="EUO158" s="53"/>
      <c r="EUP158" s="8"/>
      <c r="EUQ158" s="45"/>
      <c r="EUR158" s="45"/>
      <c r="EUS158" s="46"/>
      <c r="EUT158" s="44"/>
      <c r="EUU158" s="7"/>
      <c r="EUV158" s="51"/>
      <c r="EUW158" s="52"/>
      <c r="EUX158" s="53"/>
      <c r="EUY158" s="54"/>
      <c r="EUZ158" s="52"/>
      <c r="EVA158" s="53"/>
      <c r="EVB158" s="54"/>
      <c r="EVC158" s="52"/>
      <c r="EVD158" s="53"/>
      <c r="EVE158" s="8"/>
      <c r="EVF158" s="45"/>
      <c r="EVG158" s="45"/>
      <c r="EVH158" s="46"/>
      <c r="EVI158" s="44"/>
      <c r="EVJ158" s="7"/>
      <c r="EVK158" s="51"/>
      <c r="EVL158" s="52"/>
      <c r="EVM158" s="53"/>
      <c r="EVN158" s="54"/>
      <c r="EVO158" s="52"/>
      <c r="EVP158" s="53"/>
      <c r="EVQ158" s="54"/>
      <c r="EVR158" s="52"/>
      <c r="EVS158" s="53"/>
      <c r="EVT158" s="8"/>
      <c r="EVU158" s="45"/>
      <c r="EVV158" s="45"/>
      <c r="EVW158" s="46"/>
      <c r="EVX158" s="44"/>
      <c r="EVY158" s="7"/>
      <c r="EVZ158" s="51"/>
      <c r="EWA158" s="52"/>
      <c r="EWB158" s="53"/>
      <c r="EWC158" s="54"/>
      <c r="EWD158" s="52"/>
      <c r="EWE158" s="53"/>
      <c r="EWF158" s="54"/>
      <c r="EWG158" s="52"/>
      <c r="EWH158" s="53"/>
      <c r="EWI158" s="8"/>
      <c r="EWJ158" s="45"/>
      <c r="EWK158" s="45"/>
      <c r="EWL158" s="46"/>
      <c r="EWM158" s="44"/>
      <c r="EWN158" s="7"/>
      <c r="EWO158" s="51"/>
      <c r="EWP158" s="52"/>
      <c r="EWQ158" s="53"/>
      <c r="EWR158" s="54"/>
      <c r="EWS158" s="52"/>
      <c r="EWT158" s="53"/>
      <c r="EWU158" s="54"/>
      <c r="EWV158" s="52"/>
      <c r="EWW158" s="53"/>
      <c r="EWX158" s="8"/>
      <c r="EWY158" s="45"/>
      <c r="EWZ158" s="45"/>
      <c r="EXA158" s="46"/>
      <c r="EXB158" s="44"/>
      <c r="EXC158" s="7"/>
      <c r="EXD158" s="51"/>
      <c r="EXE158" s="52"/>
      <c r="EXF158" s="53"/>
      <c r="EXG158" s="54"/>
      <c r="EXH158" s="52"/>
      <c r="EXI158" s="53"/>
      <c r="EXJ158" s="54"/>
      <c r="EXK158" s="52"/>
      <c r="EXL158" s="53"/>
      <c r="EXM158" s="8"/>
      <c r="EXN158" s="45"/>
      <c r="EXO158" s="45"/>
      <c r="EXP158" s="46"/>
      <c r="EXQ158" s="44"/>
      <c r="EXR158" s="7"/>
      <c r="EXS158" s="51"/>
      <c r="EXT158" s="52"/>
      <c r="EXU158" s="53"/>
      <c r="EXV158" s="54"/>
      <c r="EXW158" s="52"/>
      <c r="EXX158" s="53"/>
      <c r="EXY158" s="54"/>
      <c r="EXZ158" s="52"/>
      <c r="EYA158" s="53"/>
      <c r="EYB158" s="8"/>
      <c r="EYC158" s="45"/>
      <c r="EYD158" s="45"/>
      <c r="EYE158" s="46"/>
      <c r="EYF158" s="44"/>
      <c r="EYG158" s="7"/>
      <c r="EYH158" s="51"/>
      <c r="EYI158" s="52"/>
      <c r="EYJ158" s="53"/>
      <c r="EYK158" s="54"/>
      <c r="EYL158" s="52"/>
      <c r="EYM158" s="53"/>
      <c r="EYN158" s="54"/>
      <c r="EYO158" s="52"/>
      <c r="EYP158" s="53"/>
      <c r="EYQ158" s="8"/>
      <c r="EYR158" s="45"/>
      <c r="EYS158" s="45"/>
      <c r="EYT158" s="46"/>
      <c r="EYU158" s="44"/>
      <c r="EYV158" s="7"/>
      <c r="EYW158" s="51"/>
      <c r="EYX158" s="52"/>
      <c r="EYY158" s="53"/>
      <c r="EYZ158" s="54"/>
      <c r="EZA158" s="52"/>
      <c r="EZB158" s="53"/>
      <c r="EZC158" s="54"/>
      <c r="EZD158" s="52"/>
      <c r="EZE158" s="53"/>
      <c r="EZF158" s="8"/>
      <c r="EZG158" s="45"/>
      <c r="EZH158" s="45"/>
      <c r="EZI158" s="46"/>
      <c r="EZJ158" s="44"/>
      <c r="EZK158" s="7"/>
      <c r="EZL158" s="51"/>
      <c r="EZM158" s="52"/>
      <c r="EZN158" s="53"/>
      <c r="EZO158" s="54"/>
      <c r="EZP158" s="52"/>
      <c r="EZQ158" s="53"/>
      <c r="EZR158" s="54"/>
      <c r="EZS158" s="52"/>
      <c r="EZT158" s="53"/>
      <c r="EZU158" s="8"/>
      <c r="EZV158" s="45"/>
      <c r="EZW158" s="45"/>
      <c r="EZX158" s="46"/>
      <c r="EZY158" s="44"/>
      <c r="EZZ158" s="7"/>
      <c r="FAA158" s="51"/>
      <c r="FAB158" s="52"/>
      <c r="FAC158" s="53"/>
      <c r="FAD158" s="54"/>
      <c r="FAE158" s="52"/>
      <c r="FAF158" s="53"/>
      <c r="FAG158" s="54"/>
      <c r="FAH158" s="52"/>
      <c r="FAI158" s="53"/>
      <c r="FAJ158" s="8"/>
      <c r="FAK158" s="45"/>
      <c r="FAL158" s="45"/>
      <c r="FAM158" s="46"/>
      <c r="FAN158" s="44"/>
      <c r="FAO158" s="7"/>
      <c r="FAP158" s="51"/>
      <c r="FAQ158" s="52"/>
      <c r="FAR158" s="53"/>
      <c r="FAS158" s="54"/>
      <c r="FAT158" s="52"/>
      <c r="FAU158" s="53"/>
      <c r="FAV158" s="54"/>
      <c r="FAW158" s="52"/>
      <c r="FAX158" s="53"/>
      <c r="FAY158" s="8"/>
      <c r="FAZ158" s="45"/>
      <c r="FBA158" s="45"/>
      <c r="FBB158" s="46"/>
      <c r="FBC158" s="44"/>
      <c r="FBD158" s="7"/>
      <c r="FBE158" s="51"/>
      <c r="FBF158" s="52"/>
      <c r="FBG158" s="53"/>
      <c r="FBH158" s="54"/>
      <c r="FBI158" s="52"/>
      <c r="FBJ158" s="53"/>
      <c r="FBK158" s="54"/>
      <c r="FBL158" s="52"/>
      <c r="FBM158" s="53"/>
      <c r="FBN158" s="8"/>
      <c r="FBO158" s="45"/>
      <c r="FBP158" s="45"/>
      <c r="FBQ158" s="46"/>
      <c r="FBR158" s="44"/>
      <c r="FBS158" s="7"/>
      <c r="FBT158" s="51"/>
      <c r="FBU158" s="52"/>
      <c r="FBV158" s="53"/>
      <c r="FBW158" s="54"/>
      <c r="FBX158" s="52"/>
      <c r="FBY158" s="53"/>
      <c r="FBZ158" s="54"/>
      <c r="FCA158" s="52"/>
      <c r="FCB158" s="53"/>
      <c r="FCC158" s="8"/>
      <c r="FCD158" s="45"/>
      <c r="FCE158" s="45"/>
      <c r="FCF158" s="46"/>
      <c r="FCG158" s="44"/>
      <c r="FCH158" s="7"/>
      <c r="FCI158" s="51"/>
      <c r="FCJ158" s="52"/>
      <c r="FCK158" s="53"/>
      <c r="FCL158" s="54"/>
      <c r="FCM158" s="52"/>
      <c r="FCN158" s="53"/>
      <c r="FCO158" s="54"/>
      <c r="FCP158" s="52"/>
      <c r="FCQ158" s="53"/>
      <c r="FCR158" s="8"/>
      <c r="FCS158" s="45"/>
      <c r="FCT158" s="45"/>
      <c r="FCU158" s="46"/>
      <c r="FCV158" s="44"/>
      <c r="FCW158" s="7"/>
      <c r="FCX158" s="51"/>
      <c r="FCY158" s="52"/>
      <c r="FCZ158" s="53"/>
      <c r="FDA158" s="54"/>
      <c r="FDB158" s="52"/>
      <c r="FDC158" s="53"/>
      <c r="FDD158" s="54"/>
      <c r="FDE158" s="52"/>
      <c r="FDF158" s="53"/>
      <c r="FDG158" s="8"/>
      <c r="FDH158" s="45"/>
      <c r="FDI158" s="45"/>
      <c r="FDJ158" s="46"/>
      <c r="FDK158" s="44"/>
      <c r="FDL158" s="7"/>
      <c r="FDM158" s="51"/>
      <c r="FDN158" s="52"/>
      <c r="FDO158" s="53"/>
      <c r="FDP158" s="54"/>
      <c r="FDQ158" s="52"/>
      <c r="FDR158" s="53"/>
      <c r="FDS158" s="54"/>
      <c r="FDT158" s="52"/>
      <c r="FDU158" s="53"/>
      <c r="FDV158" s="8"/>
      <c r="FDW158" s="45"/>
      <c r="FDX158" s="45"/>
      <c r="FDY158" s="46"/>
      <c r="FDZ158" s="44"/>
      <c r="FEA158" s="7"/>
      <c r="FEB158" s="51"/>
      <c r="FEC158" s="52"/>
      <c r="FED158" s="53"/>
      <c r="FEE158" s="54"/>
      <c r="FEF158" s="52"/>
      <c r="FEG158" s="53"/>
      <c r="FEH158" s="54"/>
      <c r="FEI158" s="52"/>
      <c r="FEJ158" s="53"/>
      <c r="FEK158" s="8"/>
      <c r="FEL158" s="45"/>
      <c r="FEM158" s="45"/>
      <c r="FEN158" s="46"/>
      <c r="FEO158" s="44"/>
      <c r="FEP158" s="7"/>
      <c r="FEQ158" s="51"/>
      <c r="FER158" s="52"/>
      <c r="FES158" s="53"/>
      <c r="FET158" s="54"/>
      <c r="FEU158" s="52"/>
      <c r="FEV158" s="53"/>
      <c r="FEW158" s="54"/>
      <c r="FEX158" s="52"/>
      <c r="FEY158" s="53"/>
      <c r="FEZ158" s="8"/>
      <c r="FFA158" s="45"/>
      <c r="FFB158" s="45"/>
      <c r="FFC158" s="46"/>
      <c r="FFD158" s="44"/>
      <c r="FFE158" s="7"/>
      <c r="FFF158" s="51"/>
      <c r="FFG158" s="52"/>
      <c r="FFH158" s="53"/>
      <c r="FFI158" s="54"/>
      <c r="FFJ158" s="52"/>
      <c r="FFK158" s="53"/>
      <c r="FFL158" s="54"/>
      <c r="FFM158" s="52"/>
      <c r="FFN158" s="53"/>
      <c r="FFO158" s="8"/>
      <c r="FFP158" s="45"/>
      <c r="FFQ158" s="45"/>
      <c r="FFR158" s="46"/>
      <c r="FFS158" s="44"/>
      <c r="FFT158" s="7"/>
      <c r="FFU158" s="51"/>
      <c r="FFV158" s="52"/>
      <c r="FFW158" s="53"/>
      <c r="FFX158" s="54"/>
      <c r="FFY158" s="52"/>
      <c r="FFZ158" s="53"/>
      <c r="FGA158" s="54"/>
      <c r="FGB158" s="52"/>
      <c r="FGC158" s="53"/>
      <c r="FGD158" s="8"/>
      <c r="FGE158" s="45"/>
      <c r="FGF158" s="45"/>
      <c r="FGG158" s="46"/>
      <c r="FGH158" s="44"/>
      <c r="FGI158" s="7"/>
      <c r="FGJ158" s="51"/>
      <c r="FGK158" s="52"/>
      <c r="FGL158" s="53"/>
      <c r="FGM158" s="54"/>
      <c r="FGN158" s="52"/>
      <c r="FGO158" s="53"/>
      <c r="FGP158" s="54"/>
      <c r="FGQ158" s="52"/>
      <c r="FGR158" s="53"/>
      <c r="FGS158" s="8"/>
      <c r="FGT158" s="45"/>
      <c r="FGU158" s="45"/>
      <c r="FGV158" s="46"/>
      <c r="FGW158" s="44"/>
      <c r="FGX158" s="7"/>
      <c r="FGY158" s="51"/>
      <c r="FGZ158" s="52"/>
      <c r="FHA158" s="53"/>
      <c r="FHB158" s="54"/>
      <c r="FHC158" s="52"/>
      <c r="FHD158" s="53"/>
      <c r="FHE158" s="54"/>
      <c r="FHF158" s="52"/>
      <c r="FHG158" s="53"/>
      <c r="FHH158" s="8"/>
      <c r="FHI158" s="45"/>
      <c r="FHJ158" s="45"/>
      <c r="FHK158" s="46"/>
      <c r="FHL158" s="44"/>
      <c r="FHM158" s="7"/>
      <c r="FHN158" s="51"/>
      <c r="FHO158" s="52"/>
      <c r="FHP158" s="53"/>
      <c r="FHQ158" s="54"/>
      <c r="FHR158" s="52"/>
      <c r="FHS158" s="53"/>
      <c r="FHT158" s="54"/>
      <c r="FHU158" s="52"/>
      <c r="FHV158" s="53"/>
      <c r="FHW158" s="8"/>
      <c r="FHX158" s="45"/>
      <c r="FHY158" s="45"/>
      <c r="FHZ158" s="46"/>
      <c r="FIA158" s="44"/>
      <c r="FIB158" s="7"/>
      <c r="FIC158" s="51"/>
      <c r="FID158" s="52"/>
      <c r="FIE158" s="53"/>
      <c r="FIF158" s="54"/>
      <c r="FIG158" s="52"/>
      <c r="FIH158" s="53"/>
      <c r="FII158" s="54"/>
      <c r="FIJ158" s="52"/>
      <c r="FIK158" s="53"/>
      <c r="FIL158" s="8"/>
      <c r="FIM158" s="45"/>
      <c r="FIN158" s="45"/>
      <c r="FIO158" s="46"/>
      <c r="FIP158" s="44"/>
      <c r="FIQ158" s="7"/>
      <c r="FIR158" s="51"/>
      <c r="FIS158" s="52"/>
      <c r="FIT158" s="53"/>
      <c r="FIU158" s="54"/>
      <c r="FIV158" s="52"/>
      <c r="FIW158" s="53"/>
      <c r="FIX158" s="54"/>
      <c r="FIY158" s="52"/>
      <c r="FIZ158" s="53"/>
      <c r="FJA158" s="8"/>
      <c r="FJB158" s="45"/>
      <c r="FJC158" s="45"/>
      <c r="FJD158" s="46"/>
      <c r="FJE158" s="44"/>
      <c r="FJF158" s="7"/>
      <c r="FJG158" s="51"/>
      <c r="FJH158" s="52"/>
      <c r="FJI158" s="53"/>
      <c r="FJJ158" s="54"/>
      <c r="FJK158" s="52"/>
      <c r="FJL158" s="53"/>
      <c r="FJM158" s="54"/>
      <c r="FJN158" s="52"/>
      <c r="FJO158" s="53"/>
      <c r="FJP158" s="8"/>
      <c r="FJQ158" s="45"/>
      <c r="FJR158" s="45"/>
      <c r="FJS158" s="46"/>
      <c r="FJT158" s="44"/>
      <c r="FJU158" s="7"/>
      <c r="FJV158" s="51"/>
      <c r="FJW158" s="52"/>
      <c r="FJX158" s="53"/>
      <c r="FJY158" s="54"/>
      <c r="FJZ158" s="52"/>
      <c r="FKA158" s="53"/>
      <c r="FKB158" s="54"/>
      <c r="FKC158" s="52"/>
      <c r="FKD158" s="53"/>
      <c r="FKE158" s="8"/>
      <c r="FKF158" s="45"/>
      <c r="FKG158" s="45"/>
      <c r="FKH158" s="46"/>
      <c r="FKI158" s="44"/>
      <c r="FKJ158" s="7"/>
      <c r="FKK158" s="51"/>
      <c r="FKL158" s="52"/>
      <c r="FKM158" s="53"/>
      <c r="FKN158" s="54"/>
      <c r="FKO158" s="52"/>
      <c r="FKP158" s="53"/>
      <c r="FKQ158" s="54"/>
      <c r="FKR158" s="52"/>
      <c r="FKS158" s="53"/>
      <c r="FKT158" s="8"/>
      <c r="FKU158" s="45"/>
      <c r="FKV158" s="45"/>
      <c r="FKW158" s="46"/>
      <c r="FKX158" s="44"/>
      <c r="FKY158" s="7"/>
      <c r="FKZ158" s="51"/>
      <c r="FLA158" s="52"/>
      <c r="FLB158" s="53"/>
      <c r="FLC158" s="54"/>
      <c r="FLD158" s="52"/>
      <c r="FLE158" s="53"/>
      <c r="FLF158" s="54"/>
      <c r="FLG158" s="52"/>
      <c r="FLH158" s="53"/>
      <c r="FLI158" s="8"/>
      <c r="FLJ158" s="45"/>
      <c r="FLK158" s="45"/>
      <c r="FLL158" s="46"/>
      <c r="FLM158" s="44"/>
      <c r="FLN158" s="7"/>
      <c r="FLO158" s="51"/>
      <c r="FLP158" s="52"/>
      <c r="FLQ158" s="53"/>
      <c r="FLR158" s="54"/>
      <c r="FLS158" s="52"/>
      <c r="FLT158" s="53"/>
      <c r="FLU158" s="54"/>
      <c r="FLV158" s="52"/>
      <c r="FLW158" s="53"/>
      <c r="FLX158" s="8"/>
      <c r="FLY158" s="45"/>
      <c r="FLZ158" s="45"/>
      <c r="FMA158" s="46"/>
      <c r="FMB158" s="44"/>
      <c r="FMC158" s="7"/>
      <c r="FMD158" s="51"/>
      <c r="FME158" s="52"/>
      <c r="FMF158" s="53"/>
      <c r="FMG158" s="54"/>
      <c r="FMH158" s="52"/>
      <c r="FMI158" s="53"/>
      <c r="FMJ158" s="54"/>
      <c r="FMK158" s="52"/>
      <c r="FML158" s="53"/>
      <c r="FMM158" s="8"/>
      <c r="FMN158" s="45"/>
      <c r="FMO158" s="45"/>
      <c r="FMP158" s="46"/>
      <c r="FMQ158" s="44"/>
      <c r="FMR158" s="7"/>
      <c r="FMS158" s="51"/>
      <c r="FMT158" s="52"/>
      <c r="FMU158" s="53"/>
      <c r="FMV158" s="54"/>
      <c r="FMW158" s="52"/>
      <c r="FMX158" s="53"/>
      <c r="FMY158" s="54"/>
      <c r="FMZ158" s="52"/>
      <c r="FNA158" s="53"/>
      <c r="FNB158" s="8"/>
      <c r="FNC158" s="45"/>
      <c r="FND158" s="45"/>
      <c r="FNE158" s="46"/>
      <c r="FNF158" s="44"/>
      <c r="FNG158" s="7"/>
      <c r="FNH158" s="51"/>
      <c r="FNI158" s="52"/>
      <c r="FNJ158" s="53"/>
      <c r="FNK158" s="54"/>
      <c r="FNL158" s="52"/>
      <c r="FNM158" s="53"/>
      <c r="FNN158" s="54"/>
      <c r="FNO158" s="52"/>
      <c r="FNP158" s="53"/>
      <c r="FNQ158" s="8"/>
      <c r="FNR158" s="45"/>
      <c r="FNS158" s="45"/>
      <c r="FNT158" s="46"/>
      <c r="FNU158" s="44"/>
      <c r="FNV158" s="7"/>
      <c r="FNW158" s="51"/>
      <c r="FNX158" s="52"/>
      <c r="FNY158" s="53"/>
      <c r="FNZ158" s="54"/>
      <c r="FOA158" s="52"/>
      <c r="FOB158" s="53"/>
      <c r="FOC158" s="54"/>
      <c r="FOD158" s="52"/>
      <c r="FOE158" s="53"/>
      <c r="FOF158" s="8"/>
      <c r="FOG158" s="45"/>
      <c r="FOH158" s="45"/>
      <c r="FOI158" s="46"/>
      <c r="FOJ158" s="44"/>
      <c r="FOK158" s="7"/>
      <c r="FOL158" s="51"/>
      <c r="FOM158" s="52"/>
      <c r="FON158" s="53"/>
      <c r="FOO158" s="54"/>
      <c r="FOP158" s="52"/>
      <c r="FOQ158" s="53"/>
      <c r="FOR158" s="54"/>
      <c r="FOS158" s="52"/>
      <c r="FOT158" s="53"/>
      <c r="FOU158" s="8"/>
      <c r="FOV158" s="45"/>
      <c r="FOW158" s="45"/>
      <c r="FOX158" s="46"/>
      <c r="FOY158" s="44"/>
      <c r="FOZ158" s="7"/>
      <c r="FPA158" s="51"/>
      <c r="FPB158" s="52"/>
      <c r="FPC158" s="53"/>
      <c r="FPD158" s="54"/>
      <c r="FPE158" s="52"/>
      <c r="FPF158" s="53"/>
      <c r="FPG158" s="54"/>
      <c r="FPH158" s="52"/>
      <c r="FPI158" s="53"/>
      <c r="FPJ158" s="8"/>
      <c r="FPK158" s="45"/>
      <c r="FPL158" s="45"/>
      <c r="FPM158" s="46"/>
      <c r="FPN158" s="44"/>
      <c r="FPO158" s="7"/>
      <c r="FPP158" s="51"/>
      <c r="FPQ158" s="52"/>
      <c r="FPR158" s="53"/>
      <c r="FPS158" s="54"/>
      <c r="FPT158" s="52"/>
      <c r="FPU158" s="53"/>
      <c r="FPV158" s="54"/>
      <c r="FPW158" s="52"/>
      <c r="FPX158" s="53"/>
      <c r="FPY158" s="8"/>
      <c r="FPZ158" s="45"/>
      <c r="FQA158" s="45"/>
      <c r="FQB158" s="46"/>
      <c r="FQC158" s="44"/>
      <c r="FQD158" s="7"/>
      <c r="FQE158" s="51"/>
      <c r="FQF158" s="52"/>
      <c r="FQG158" s="53"/>
      <c r="FQH158" s="54"/>
      <c r="FQI158" s="52"/>
      <c r="FQJ158" s="53"/>
      <c r="FQK158" s="54"/>
      <c r="FQL158" s="52"/>
      <c r="FQM158" s="53"/>
      <c r="FQN158" s="8"/>
      <c r="FQO158" s="45"/>
      <c r="FQP158" s="45"/>
      <c r="FQQ158" s="46"/>
      <c r="FQR158" s="44"/>
      <c r="FQS158" s="7"/>
      <c r="FQT158" s="51"/>
      <c r="FQU158" s="52"/>
      <c r="FQV158" s="53"/>
      <c r="FQW158" s="54"/>
      <c r="FQX158" s="52"/>
      <c r="FQY158" s="53"/>
      <c r="FQZ158" s="54"/>
      <c r="FRA158" s="52"/>
      <c r="FRB158" s="53"/>
      <c r="FRC158" s="8"/>
      <c r="FRD158" s="45"/>
      <c r="FRE158" s="45"/>
      <c r="FRF158" s="46"/>
      <c r="FRG158" s="44"/>
      <c r="FRH158" s="7"/>
      <c r="FRI158" s="51"/>
      <c r="FRJ158" s="52"/>
      <c r="FRK158" s="53"/>
      <c r="FRL158" s="54"/>
      <c r="FRM158" s="52"/>
      <c r="FRN158" s="53"/>
      <c r="FRO158" s="54"/>
      <c r="FRP158" s="52"/>
      <c r="FRQ158" s="53"/>
      <c r="FRR158" s="8"/>
      <c r="FRS158" s="45"/>
      <c r="FRT158" s="45"/>
      <c r="FRU158" s="46"/>
      <c r="FRV158" s="44"/>
      <c r="FRW158" s="7"/>
      <c r="FRX158" s="51"/>
      <c r="FRY158" s="52"/>
      <c r="FRZ158" s="53"/>
      <c r="FSA158" s="54"/>
      <c r="FSB158" s="52"/>
      <c r="FSC158" s="53"/>
      <c r="FSD158" s="54"/>
      <c r="FSE158" s="52"/>
      <c r="FSF158" s="53"/>
      <c r="FSG158" s="8"/>
      <c r="FSH158" s="45"/>
      <c r="FSI158" s="45"/>
      <c r="FSJ158" s="46"/>
      <c r="FSK158" s="44"/>
      <c r="FSL158" s="7"/>
      <c r="FSM158" s="51"/>
      <c r="FSN158" s="52"/>
      <c r="FSO158" s="53"/>
      <c r="FSP158" s="54"/>
      <c r="FSQ158" s="52"/>
      <c r="FSR158" s="53"/>
      <c r="FSS158" s="54"/>
      <c r="FST158" s="52"/>
      <c r="FSU158" s="53"/>
      <c r="FSV158" s="8"/>
      <c r="FSW158" s="45"/>
      <c r="FSX158" s="45"/>
      <c r="FSY158" s="46"/>
      <c r="FSZ158" s="44"/>
      <c r="FTA158" s="7"/>
      <c r="FTB158" s="51"/>
      <c r="FTC158" s="52"/>
      <c r="FTD158" s="53"/>
      <c r="FTE158" s="54"/>
      <c r="FTF158" s="52"/>
      <c r="FTG158" s="53"/>
      <c r="FTH158" s="54"/>
      <c r="FTI158" s="52"/>
      <c r="FTJ158" s="53"/>
      <c r="FTK158" s="8"/>
      <c r="FTL158" s="45"/>
      <c r="FTM158" s="45"/>
      <c r="FTN158" s="46"/>
      <c r="FTO158" s="44"/>
      <c r="FTP158" s="7"/>
      <c r="FTQ158" s="51"/>
      <c r="FTR158" s="52"/>
      <c r="FTS158" s="53"/>
      <c r="FTT158" s="54"/>
      <c r="FTU158" s="52"/>
      <c r="FTV158" s="53"/>
      <c r="FTW158" s="54"/>
      <c r="FTX158" s="52"/>
      <c r="FTY158" s="53"/>
      <c r="FTZ158" s="8"/>
      <c r="FUA158" s="45"/>
      <c r="FUB158" s="45"/>
      <c r="FUC158" s="46"/>
      <c r="FUD158" s="44"/>
      <c r="FUE158" s="7"/>
      <c r="FUF158" s="51"/>
      <c r="FUG158" s="52"/>
      <c r="FUH158" s="53"/>
      <c r="FUI158" s="54"/>
      <c r="FUJ158" s="52"/>
      <c r="FUK158" s="53"/>
      <c r="FUL158" s="54"/>
      <c r="FUM158" s="52"/>
      <c r="FUN158" s="53"/>
      <c r="FUO158" s="8"/>
      <c r="FUP158" s="45"/>
      <c r="FUQ158" s="45"/>
      <c r="FUR158" s="46"/>
      <c r="FUS158" s="44"/>
      <c r="FUT158" s="7"/>
      <c r="FUU158" s="51"/>
      <c r="FUV158" s="52"/>
      <c r="FUW158" s="53"/>
      <c r="FUX158" s="54"/>
      <c r="FUY158" s="52"/>
      <c r="FUZ158" s="53"/>
      <c r="FVA158" s="54"/>
      <c r="FVB158" s="52"/>
      <c r="FVC158" s="53"/>
      <c r="FVD158" s="8"/>
      <c r="FVE158" s="45"/>
      <c r="FVF158" s="45"/>
      <c r="FVG158" s="46"/>
      <c r="FVH158" s="44"/>
      <c r="FVI158" s="7"/>
      <c r="FVJ158" s="51"/>
      <c r="FVK158" s="52"/>
      <c r="FVL158" s="53"/>
      <c r="FVM158" s="54"/>
      <c r="FVN158" s="52"/>
      <c r="FVO158" s="53"/>
      <c r="FVP158" s="54"/>
      <c r="FVQ158" s="52"/>
      <c r="FVR158" s="53"/>
      <c r="FVS158" s="8"/>
      <c r="FVT158" s="45"/>
      <c r="FVU158" s="45"/>
      <c r="FVV158" s="46"/>
      <c r="FVW158" s="44"/>
      <c r="FVX158" s="7"/>
      <c r="FVY158" s="51"/>
      <c r="FVZ158" s="52"/>
      <c r="FWA158" s="53"/>
      <c r="FWB158" s="54"/>
      <c r="FWC158" s="52"/>
      <c r="FWD158" s="53"/>
      <c r="FWE158" s="54"/>
      <c r="FWF158" s="52"/>
      <c r="FWG158" s="53"/>
      <c r="FWH158" s="8"/>
      <c r="FWI158" s="45"/>
      <c r="FWJ158" s="45"/>
      <c r="FWK158" s="46"/>
      <c r="FWL158" s="44"/>
      <c r="FWM158" s="7"/>
      <c r="FWN158" s="51"/>
      <c r="FWO158" s="52"/>
      <c r="FWP158" s="53"/>
      <c r="FWQ158" s="54"/>
      <c r="FWR158" s="52"/>
      <c r="FWS158" s="53"/>
      <c r="FWT158" s="54"/>
      <c r="FWU158" s="52"/>
      <c r="FWV158" s="53"/>
      <c r="FWW158" s="8"/>
      <c r="FWX158" s="45"/>
      <c r="FWY158" s="45"/>
      <c r="FWZ158" s="46"/>
      <c r="FXA158" s="44"/>
      <c r="FXB158" s="7"/>
      <c r="FXC158" s="51"/>
      <c r="FXD158" s="52"/>
      <c r="FXE158" s="53"/>
      <c r="FXF158" s="54"/>
      <c r="FXG158" s="52"/>
      <c r="FXH158" s="53"/>
      <c r="FXI158" s="54"/>
      <c r="FXJ158" s="52"/>
      <c r="FXK158" s="53"/>
      <c r="FXL158" s="8"/>
      <c r="FXM158" s="45"/>
      <c r="FXN158" s="45"/>
      <c r="FXO158" s="46"/>
      <c r="FXP158" s="44"/>
      <c r="FXQ158" s="7"/>
      <c r="FXR158" s="51"/>
      <c r="FXS158" s="52"/>
      <c r="FXT158" s="53"/>
      <c r="FXU158" s="54"/>
      <c r="FXV158" s="52"/>
      <c r="FXW158" s="53"/>
      <c r="FXX158" s="54"/>
      <c r="FXY158" s="52"/>
      <c r="FXZ158" s="53"/>
      <c r="FYA158" s="8"/>
      <c r="FYB158" s="45"/>
      <c r="FYC158" s="45"/>
      <c r="FYD158" s="46"/>
      <c r="FYE158" s="44"/>
      <c r="FYF158" s="7"/>
      <c r="FYG158" s="51"/>
      <c r="FYH158" s="52"/>
      <c r="FYI158" s="53"/>
      <c r="FYJ158" s="54"/>
      <c r="FYK158" s="52"/>
      <c r="FYL158" s="53"/>
      <c r="FYM158" s="54"/>
      <c r="FYN158" s="52"/>
      <c r="FYO158" s="53"/>
      <c r="FYP158" s="8"/>
      <c r="FYQ158" s="45"/>
      <c r="FYR158" s="45"/>
      <c r="FYS158" s="46"/>
      <c r="FYT158" s="44"/>
      <c r="FYU158" s="7"/>
      <c r="FYV158" s="51"/>
      <c r="FYW158" s="52"/>
      <c r="FYX158" s="53"/>
      <c r="FYY158" s="54"/>
      <c r="FYZ158" s="52"/>
      <c r="FZA158" s="53"/>
      <c r="FZB158" s="54"/>
      <c r="FZC158" s="52"/>
      <c r="FZD158" s="53"/>
      <c r="FZE158" s="8"/>
      <c r="FZF158" s="45"/>
      <c r="FZG158" s="45"/>
      <c r="FZH158" s="46"/>
      <c r="FZI158" s="44"/>
      <c r="FZJ158" s="7"/>
      <c r="FZK158" s="51"/>
      <c r="FZL158" s="52"/>
      <c r="FZM158" s="53"/>
      <c r="FZN158" s="54"/>
      <c r="FZO158" s="52"/>
      <c r="FZP158" s="53"/>
      <c r="FZQ158" s="54"/>
      <c r="FZR158" s="52"/>
      <c r="FZS158" s="53"/>
      <c r="FZT158" s="8"/>
      <c r="FZU158" s="45"/>
      <c r="FZV158" s="45"/>
      <c r="FZW158" s="46"/>
      <c r="FZX158" s="44"/>
      <c r="FZY158" s="7"/>
      <c r="FZZ158" s="51"/>
      <c r="GAA158" s="52"/>
      <c r="GAB158" s="53"/>
      <c r="GAC158" s="54"/>
      <c r="GAD158" s="52"/>
      <c r="GAE158" s="53"/>
      <c r="GAF158" s="54"/>
      <c r="GAG158" s="52"/>
      <c r="GAH158" s="53"/>
      <c r="GAI158" s="8"/>
      <c r="GAJ158" s="45"/>
      <c r="GAK158" s="45"/>
      <c r="GAL158" s="46"/>
      <c r="GAM158" s="44"/>
      <c r="GAN158" s="7"/>
      <c r="GAO158" s="51"/>
      <c r="GAP158" s="52"/>
      <c r="GAQ158" s="53"/>
      <c r="GAR158" s="54"/>
      <c r="GAS158" s="52"/>
      <c r="GAT158" s="53"/>
      <c r="GAU158" s="54"/>
      <c r="GAV158" s="52"/>
      <c r="GAW158" s="53"/>
      <c r="GAX158" s="8"/>
      <c r="GAY158" s="45"/>
      <c r="GAZ158" s="45"/>
      <c r="GBA158" s="46"/>
      <c r="GBB158" s="44"/>
      <c r="GBC158" s="7"/>
      <c r="GBD158" s="51"/>
      <c r="GBE158" s="52"/>
      <c r="GBF158" s="53"/>
      <c r="GBG158" s="54"/>
      <c r="GBH158" s="52"/>
      <c r="GBI158" s="53"/>
      <c r="GBJ158" s="54"/>
      <c r="GBK158" s="52"/>
      <c r="GBL158" s="53"/>
      <c r="GBM158" s="8"/>
      <c r="GBN158" s="45"/>
      <c r="GBO158" s="45"/>
      <c r="GBP158" s="46"/>
      <c r="GBQ158" s="44"/>
      <c r="GBR158" s="7"/>
      <c r="GBS158" s="51"/>
      <c r="GBT158" s="52"/>
      <c r="GBU158" s="53"/>
      <c r="GBV158" s="54"/>
      <c r="GBW158" s="52"/>
      <c r="GBX158" s="53"/>
      <c r="GBY158" s="54"/>
      <c r="GBZ158" s="52"/>
      <c r="GCA158" s="53"/>
      <c r="GCB158" s="8"/>
      <c r="GCC158" s="45"/>
      <c r="GCD158" s="45"/>
      <c r="GCE158" s="46"/>
      <c r="GCF158" s="44"/>
      <c r="GCG158" s="7"/>
      <c r="GCH158" s="51"/>
      <c r="GCI158" s="52"/>
      <c r="GCJ158" s="53"/>
      <c r="GCK158" s="54"/>
      <c r="GCL158" s="52"/>
      <c r="GCM158" s="53"/>
      <c r="GCN158" s="54"/>
      <c r="GCO158" s="52"/>
      <c r="GCP158" s="53"/>
      <c r="GCQ158" s="8"/>
      <c r="GCR158" s="45"/>
      <c r="GCS158" s="45"/>
      <c r="GCT158" s="46"/>
      <c r="GCU158" s="44"/>
      <c r="GCV158" s="7"/>
      <c r="GCW158" s="51"/>
      <c r="GCX158" s="52"/>
      <c r="GCY158" s="53"/>
      <c r="GCZ158" s="54"/>
      <c r="GDA158" s="52"/>
      <c r="GDB158" s="53"/>
      <c r="GDC158" s="54"/>
      <c r="GDD158" s="52"/>
      <c r="GDE158" s="53"/>
      <c r="GDF158" s="8"/>
      <c r="GDG158" s="45"/>
      <c r="GDH158" s="45"/>
      <c r="GDI158" s="46"/>
      <c r="GDJ158" s="44"/>
      <c r="GDK158" s="7"/>
      <c r="GDL158" s="51"/>
      <c r="GDM158" s="52"/>
      <c r="GDN158" s="53"/>
      <c r="GDO158" s="54"/>
      <c r="GDP158" s="52"/>
      <c r="GDQ158" s="53"/>
      <c r="GDR158" s="54"/>
      <c r="GDS158" s="52"/>
      <c r="GDT158" s="53"/>
      <c r="GDU158" s="8"/>
      <c r="GDV158" s="45"/>
      <c r="GDW158" s="45"/>
      <c r="GDX158" s="46"/>
      <c r="GDY158" s="44"/>
      <c r="GDZ158" s="7"/>
      <c r="GEA158" s="51"/>
      <c r="GEB158" s="52"/>
      <c r="GEC158" s="53"/>
      <c r="GED158" s="54"/>
      <c r="GEE158" s="52"/>
      <c r="GEF158" s="53"/>
      <c r="GEG158" s="54"/>
      <c r="GEH158" s="52"/>
      <c r="GEI158" s="53"/>
      <c r="GEJ158" s="8"/>
      <c r="GEK158" s="45"/>
      <c r="GEL158" s="45"/>
      <c r="GEM158" s="46"/>
      <c r="GEN158" s="44"/>
      <c r="GEO158" s="7"/>
      <c r="GEP158" s="51"/>
      <c r="GEQ158" s="52"/>
      <c r="GER158" s="53"/>
      <c r="GES158" s="54"/>
      <c r="GET158" s="52"/>
      <c r="GEU158" s="53"/>
      <c r="GEV158" s="54"/>
      <c r="GEW158" s="52"/>
      <c r="GEX158" s="53"/>
      <c r="GEY158" s="8"/>
      <c r="GEZ158" s="45"/>
      <c r="GFA158" s="45"/>
      <c r="GFB158" s="46"/>
      <c r="GFC158" s="44"/>
      <c r="GFD158" s="7"/>
      <c r="GFE158" s="51"/>
      <c r="GFF158" s="52"/>
      <c r="GFG158" s="53"/>
      <c r="GFH158" s="54"/>
      <c r="GFI158" s="52"/>
      <c r="GFJ158" s="53"/>
      <c r="GFK158" s="54"/>
      <c r="GFL158" s="52"/>
      <c r="GFM158" s="53"/>
      <c r="GFN158" s="8"/>
      <c r="GFO158" s="45"/>
      <c r="GFP158" s="45"/>
      <c r="GFQ158" s="46"/>
      <c r="GFR158" s="44"/>
      <c r="GFS158" s="7"/>
      <c r="GFT158" s="51"/>
      <c r="GFU158" s="52"/>
      <c r="GFV158" s="53"/>
      <c r="GFW158" s="54"/>
      <c r="GFX158" s="52"/>
      <c r="GFY158" s="53"/>
      <c r="GFZ158" s="54"/>
      <c r="GGA158" s="52"/>
      <c r="GGB158" s="53"/>
      <c r="GGC158" s="8"/>
      <c r="GGD158" s="45"/>
      <c r="GGE158" s="45"/>
      <c r="GGF158" s="46"/>
      <c r="GGG158" s="44"/>
      <c r="GGH158" s="7"/>
      <c r="GGI158" s="51"/>
      <c r="GGJ158" s="52"/>
      <c r="GGK158" s="53"/>
      <c r="GGL158" s="54"/>
      <c r="GGM158" s="52"/>
      <c r="GGN158" s="53"/>
      <c r="GGO158" s="54"/>
      <c r="GGP158" s="52"/>
      <c r="GGQ158" s="53"/>
      <c r="GGR158" s="8"/>
      <c r="GGS158" s="45"/>
      <c r="GGT158" s="45"/>
      <c r="GGU158" s="46"/>
      <c r="GGV158" s="44"/>
      <c r="GGW158" s="7"/>
      <c r="GGX158" s="51"/>
      <c r="GGY158" s="52"/>
      <c r="GGZ158" s="53"/>
      <c r="GHA158" s="54"/>
      <c r="GHB158" s="52"/>
      <c r="GHC158" s="53"/>
      <c r="GHD158" s="54"/>
      <c r="GHE158" s="52"/>
      <c r="GHF158" s="53"/>
      <c r="GHG158" s="8"/>
      <c r="GHH158" s="45"/>
      <c r="GHI158" s="45"/>
      <c r="GHJ158" s="46"/>
      <c r="GHK158" s="44"/>
      <c r="GHL158" s="7"/>
      <c r="GHM158" s="51"/>
      <c r="GHN158" s="52"/>
      <c r="GHO158" s="53"/>
      <c r="GHP158" s="54"/>
      <c r="GHQ158" s="52"/>
      <c r="GHR158" s="53"/>
      <c r="GHS158" s="54"/>
      <c r="GHT158" s="52"/>
      <c r="GHU158" s="53"/>
      <c r="GHV158" s="8"/>
      <c r="GHW158" s="45"/>
      <c r="GHX158" s="45"/>
      <c r="GHY158" s="46"/>
      <c r="GHZ158" s="44"/>
      <c r="GIA158" s="7"/>
      <c r="GIB158" s="51"/>
      <c r="GIC158" s="52"/>
      <c r="GID158" s="53"/>
      <c r="GIE158" s="54"/>
      <c r="GIF158" s="52"/>
      <c r="GIG158" s="53"/>
      <c r="GIH158" s="54"/>
      <c r="GII158" s="52"/>
      <c r="GIJ158" s="53"/>
      <c r="GIK158" s="8"/>
      <c r="GIL158" s="45"/>
      <c r="GIM158" s="45"/>
      <c r="GIN158" s="46"/>
      <c r="GIO158" s="44"/>
      <c r="GIP158" s="7"/>
      <c r="GIQ158" s="51"/>
      <c r="GIR158" s="52"/>
      <c r="GIS158" s="53"/>
      <c r="GIT158" s="54"/>
      <c r="GIU158" s="52"/>
      <c r="GIV158" s="53"/>
      <c r="GIW158" s="54"/>
      <c r="GIX158" s="52"/>
      <c r="GIY158" s="53"/>
      <c r="GIZ158" s="8"/>
      <c r="GJA158" s="45"/>
      <c r="GJB158" s="45"/>
      <c r="GJC158" s="46"/>
      <c r="GJD158" s="44"/>
      <c r="GJE158" s="7"/>
      <c r="GJF158" s="51"/>
      <c r="GJG158" s="52"/>
      <c r="GJH158" s="53"/>
      <c r="GJI158" s="54"/>
      <c r="GJJ158" s="52"/>
      <c r="GJK158" s="53"/>
      <c r="GJL158" s="54"/>
      <c r="GJM158" s="52"/>
      <c r="GJN158" s="53"/>
      <c r="GJO158" s="8"/>
      <c r="GJP158" s="45"/>
      <c r="GJQ158" s="45"/>
      <c r="GJR158" s="46"/>
      <c r="GJS158" s="44"/>
      <c r="GJT158" s="7"/>
      <c r="GJU158" s="51"/>
      <c r="GJV158" s="52"/>
      <c r="GJW158" s="53"/>
      <c r="GJX158" s="54"/>
      <c r="GJY158" s="52"/>
      <c r="GJZ158" s="53"/>
      <c r="GKA158" s="54"/>
      <c r="GKB158" s="52"/>
      <c r="GKC158" s="53"/>
      <c r="GKD158" s="8"/>
      <c r="GKE158" s="45"/>
      <c r="GKF158" s="45"/>
      <c r="GKG158" s="46"/>
      <c r="GKH158" s="44"/>
      <c r="GKI158" s="7"/>
      <c r="GKJ158" s="51"/>
      <c r="GKK158" s="52"/>
      <c r="GKL158" s="53"/>
      <c r="GKM158" s="54"/>
      <c r="GKN158" s="52"/>
      <c r="GKO158" s="53"/>
      <c r="GKP158" s="54"/>
      <c r="GKQ158" s="52"/>
      <c r="GKR158" s="53"/>
      <c r="GKS158" s="8"/>
      <c r="GKT158" s="45"/>
      <c r="GKU158" s="45"/>
      <c r="GKV158" s="46"/>
      <c r="GKW158" s="44"/>
      <c r="GKX158" s="7"/>
      <c r="GKY158" s="51"/>
      <c r="GKZ158" s="52"/>
      <c r="GLA158" s="53"/>
      <c r="GLB158" s="54"/>
      <c r="GLC158" s="52"/>
      <c r="GLD158" s="53"/>
      <c r="GLE158" s="54"/>
      <c r="GLF158" s="52"/>
      <c r="GLG158" s="53"/>
      <c r="GLH158" s="8"/>
      <c r="GLI158" s="45"/>
      <c r="GLJ158" s="45"/>
      <c r="GLK158" s="46"/>
      <c r="GLL158" s="44"/>
      <c r="GLM158" s="7"/>
      <c r="GLN158" s="51"/>
      <c r="GLO158" s="52"/>
      <c r="GLP158" s="53"/>
      <c r="GLQ158" s="54"/>
      <c r="GLR158" s="52"/>
      <c r="GLS158" s="53"/>
      <c r="GLT158" s="54"/>
      <c r="GLU158" s="52"/>
      <c r="GLV158" s="53"/>
      <c r="GLW158" s="8"/>
      <c r="GLX158" s="45"/>
      <c r="GLY158" s="45"/>
      <c r="GLZ158" s="46"/>
      <c r="GMA158" s="44"/>
      <c r="GMB158" s="7"/>
      <c r="GMC158" s="51"/>
      <c r="GMD158" s="52"/>
      <c r="GME158" s="53"/>
      <c r="GMF158" s="54"/>
      <c r="GMG158" s="52"/>
      <c r="GMH158" s="53"/>
      <c r="GMI158" s="54"/>
      <c r="GMJ158" s="52"/>
      <c r="GMK158" s="53"/>
      <c r="GML158" s="8"/>
      <c r="GMM158" s="45"/>
      <c r="GMN158" s="45"/>
      <c r="GMO158" s="46"/>
      <c r="GMP158" s="44"/>
      <c r="GMQ158" s="7"/>
      <c r="GMR158" s="51"/>
      <c r="GMS158" s="52"/>
      <c r="GMT158" s="53"/>
      <c r="GMU158" s="54"/>
      <c r="GMV158" s="52"/>
      <c r="GMW158" s="53"/>
      <c r="GMX158" s="54"/>
      <c r="GMY158" s="52"/>
      <c r="GMZ158" s="53"/>
      <c r="GNA158" s="8"/>
      <c r="GNB158" s="45"/>
      <c r="GNC158" s="45"/>
      <c r="GND158" s="46"/>
      <c r="GNE158" s="44"/>
      <c r="GNF158" s="7"/>
      <c r="GNG158" s="51"/>
      <c r="GNH158" s="52"/>
      <c r="GNI158" s="53"/>
      <c r="GNJ158" s="54"/>
      <c r="GNK158" s="52"/>
      <c r="GNL158" s="53"/>
      <c r="GNM158" s="54"/>
      <c r="GNN158" s="52"/>
      <c r="GNO158" s="53"/>
      <c r="GNP158" s="8"/>
      <c r="GNQ158" s="45"/>
      <c r="GNR158" s="45"/>
      <c r="GNS158" s="46"/>
      <c r="GNT158" s="44"/>
      <c r="GNU158" s="7"/>
      <c r="GNV158" s="51"/>
      <c r="GNW158" s="52"/>
      <c r="GNX158" s="53"/>
      <c r="GNY158" s="54"/>
      <c r="GNZ158" s="52"/>
      <c r="GOA158" s="53"/>
      <c r="GOB158" s="54"/>
      <c r="GOC158" s="52"/>
      <c r="GOD158" s="53"/>
      <c r="GOE158" s="8"/>
      <c r="GOF158" s="45"/>
      <c r="GOG158" s="45"/>
      <c r="GOH158" s="46"/>
      <c r="GOI158" s="44"/>
      <c r="GOJ158" s="7"/>
      <c r="GOK158" s="51"/>
      <c r="GOL158" s="52"/>
      <c r="GOM158" s="53"/>
      <c r="GON158" s="54"/>
      <c r="GOO158" s="52"/>
      <c r="GOP158" s="53"/>
      <c r="GOQ158" s="54"/>
      <c r="GOR158" s="52"/>
      <c r="GOS158" s="53"/>
      <c r="GOT158" s="8"/>
      <c r="GOU158" s="45"/>
      <c r="GOV158" s="45"/>
      <c r="GOW158" s="46"/>
      <c r="GOX158" s="44"/>
      <c r="GOY158" s="7"/>
      <c r="GOZ158" s="51"/>
      <c r="GPA158" s="52"/>
      <c r="GPB158" s="53"/>
      <c r="GPC158" s="54"/>
      <c r="GPD158" s="52"/>
      <c r="GPE158" s="53"/>
      <c r="GPF158" s="54"/>
      <c r="GPG158" s="52"/>
      <c r="GPH158" s="53"/>
      <c r="GPI158" s="8"/>
      <c r="GPJ158" s="45"/>
      <c r="GPK158" s="45"/>
      <c r="GPL158" s="46"/>
      <c r="GPM158" s="44"/>
      <c r="GPN158" s="7"/>
      <c r="GPO158" s="51"/>
      <c r="GPP158" s="52"/>
      <c r="GPQ158" s="53"/>
      <c r="GPR158" s="54"/>
      <c r="GPS158" s="52"/>
      <c r="GPT158" s="53"/>
      <c r="GPU158" s="54"/>
      <c r="GPV158" s="52"/>
      <c r="GPW158" s="53"/>
      <c r="GPX158" s="8"/>
      <c r="GPY158" s="45"/>
      <c r="GPZ158" s="45"/>
      <c r="GQA158" s="46"/>
      <c r="GQB158" s="44"/>
      <c r="GQC158" s="7"/>
      <c r="GQD158" s="51"/>
      <c r="GQE158" s="52"/>
      <c r="GQF158" s="53"/>
      <c r="GQG158" s="54"/>
      <c r="GQH158" s="52"/>
      <c r="GQI158" s="53"/>
      <c r="GQJ158" s="54"/>
      <c r="GQK158" s="52"/>
      <c r="GQL158" s="53"/>
      <c r="GQM158" s="8"/>
      <c r="GQN158" s="45"/>
      <c r="GQO158" s="45"/>
      <c r="GQP158" s="46"/>
      <c r="GQQ158" s="44"/>
      <c r="GQR158" s="7"/>
      <c r="GQS158" s="51"/>
      <c r="GQT158" s="52"/>
      <c r="GQU158" s="53"/>
      <c r="GQV158" s="54"/>
      <c r="GQW158" s="52"/>
      <c r="GQX158" s="53"/>
      <c r="GQY158" s="54"/>
      <c r="GQZ158" s="52"/>
      <c r="GRA158" s="53"/>
      <c r="GRB158" s="8"/>
      <c r="GRC158" s="45"/>
      <c r="GRD158" s="45"/>
      <c r="GRE158" s="46"/>
      <c r="GRF158" s="44"/>
      <c r="GRG158" s="7"/>
      <c r="GRH158" s="51"/>
      <c r="GRI158" s="52"/>
      <c r="GRJ158" s="53"/>
      <c r="GRK158" s="54"/>
      <c r="GRL158" s="52"/>
      <c r="GRM158" s="53"/>
      <c r="GRN158" s="54"/>
      <c r="GRO158" s="52"/>
      <c r="GRP158" s="53"/>
      <c r="GRQ158" s="8"/>
      <c r="GRR158" s="45"/>
      <c r="GRS158" s="45"/>
      <c r="GRT158" s="46"/>
      <c r="GRU158" s="44"/>
      <c r="GRV158" s="7"/>
      <c r="GRW158" s="51"/>
      <c r="GRX158" s="52"/>
      <c r="GRY158" s="53"/>
      <c r="GRZ158" s="54"/>
      <c r="GSA158" s="52"/>
      <c r="GSB158" s="53"/>
      <c r="GSC158" s="54"/>
      <c r="GSD158" s="52"/>
      <c r="GSE158" s="53"/>
      <c r="GSF158" s="8"/>
      <c r="GSG158" s="45"/>
      <c r="GSH158" s="45"/>
      <c r="GSI158" s="46"/>
      <c r="GSJ158" s="44"/>
      <c r="GSK158" s="7"/>
      <c r="GSL158" s="51"/>
      <c r="GSM158" s="52"/>
      <c r="GSN158" s="53"/>
      <c r="GSO158" s="54"/>
      <c r="GSP158" s="52"/>
      <c r="GSQ158" s="53"/>
      <c r="GSR158" s="54"/>
      <c r="GSS158" s="52"/>
      <c r="GST158" s="53"/>
      <c r="GSU158" s="8"/>
      <c r="GSV158" s="45"/>
      <c r="GSW158" s="45"/>
      <c r="GSX158" s="46"/>
      <c r="GSY158" s="44"/>
      <c r="GSZ158" s="7"/>
      <c r="GTA158" s="51"/>
      <c r="GTB158" s="52"/>
      <c r="GTC158" s="53"/>
      <c r="GTD158" s="54"/>
      <c r="GTE158" s="52"/>
      <c r="GTF158" s="53"/>
      <c r="GTG158" s="54"/>
      <c r="GTH158" s="52"/>
      <c r="GTI158" s="53"/>
      <c r="GTJ158" s="8"/>
      <c r="GTK158" s="45"/>
      <c r="GTL158" s="45"/>
      <c r="GTM158" s="46"/>
      <c r="GTN158" s="44"/>
      <c r="GTO158" s="7"/>
      <c r="GTP158" s="51"/>
      <c r="GTQ158" s="52"/>
      <c r="GTR158" s="53"/>
      <c r="GTS158" s="54"/>
      <c r="GTT158" s="52"/>
      <c r="GTU158" s="53"/>
      <c r="GTV158" s="54"/>
      <c r="GTW158" s="52"/>
      <c r="GTX158" s="53"/>
      <c r="GTY158" s="8"/>
      <c r="GTZ158" s="45"/>
      <c r="GUA158" s="45"/>
      <c r="GUB158" s="46"/>
      <c r="GUC158" s="44"/>
      <c r="GUD158" s="7"/>
      <c r="GUE158" s="51"/>
      <c r="GUF158" s="52"/>
      <c r="GUG158" s="53"/>
      <c r="GUH158" s="54"/>
      <c r="GUI158" s="52"/>
      <c r="GUJ158" s="53"/>
      <c r="GUK158" s="54"/>
      <c r="GUL158" s="52"/>
      <c r="GUM158" s="53"/>
      <c r="GUN158" s="8"/>
      <c r="GUO158" s="45"/>
      <c r="GUP158" s="45"/>
      <c r="GUQ158" s="46"/>
      <c r="GUR158" s="44"/>
      <c r="GUS158" s="7"/>
      <c r="GUT158" s="51"/>
      <c r="GUU158" s="52"/>
      <c r="GUV158" s="53"/>
      <c r="GUW158" s="54"/>
      <c r="GUX158" s="52"/>
      <c r="GUY158" s="53"/>
      <c r="GUZ158" s="54"/>
      <c r="GVA158" s="52"/>
      <c r="GVB158" s="53"/>
      <c r="GVC158" s="8"/>
      <c r="GVD158" s="45"/>
      <c r="GVE158" s="45"/>
      <c r="GVF158" s="46"/>
      <c r="GVG158" s="44"/>
      <c r="GVH158" s="7"/>
      <c r="GVI158" s="51"/>
      <c r="GVJ158" s="52"/>
      <c r="GVK158" s="53"/>
      <c r="GVL158" s="54"/>
      <c r="GVM158" s="52"/>
      <c r="GVN158" s="53"/>
      <c r="GVO158" s="54"/>
      <c r="GVP158" s="52"/>
      <c r="GVQ158" s="53"/>
      <c r="GVR158" s="8"/>
      <c r="GVS158" s="45"/>
      <c r="GVT158" s="45"/>
      <c r="GVU158" s="46"/>
      <c r="GVV158" s="44"/>
      <c r="GVW158" s="7"/>
      <c r="GVX158" s="51"/>
      <c r="GVY158" s="52"/>
      <c r="GVZ158" s="53"/>
      <c r="GWA158" s="54"/>
      <c r="GWB158" s="52"/>
      <c r="GWC158" s="53"/>
      <c r="GWD158" s="54"/>
      <c r="GWE158" s="52"/>
      <c r="GWF158" s="53"/>
      <c r="GWG158" s="8"/>
      <c r="GWH158" s="45"/>
      <c r="GWI158" s="45"/>
      <c r="GWJ158" s="46"/>
      <c r="GWK158" s="44"/>
      <c r="GWL158" s="7"/>
      <c r="GWM158" s="51"/>
      <c r="GWN158" s="52"/>
      <c r="GWO158" s="53"/>
      <c r="GWP158" s="54"/>
      <c r="GWQ158" s="52"/>
      <c r="GWR158" s="53"/>
      <c r="GWS158" s="54"/>
      <c r="GWT158" s="52"/>
      <c r="GWU158" s="53"/>
      <c r="GWV158" s="8"/>
      <c r="GWW158" s="45"/>
      <c r="GWX158" s="45"/>
      <c r="GWY158" s="46"/>
      <c r="GWZ158" s="44"/>
      <c r="GXA158" s="7"/>
      <c r="GXB158" s="51"/>
      <c r="GXC158" s="52"/>
      <c r="GXD158" s="53"/>
      <c r="GXE158" s="54"/>
      <c r="GXF158" s="52"/>
      <c r="GXG158" s="53"/>
      <c r="GXH158" s="54"/>
      <c r="GXI158" s="52"/>
      <c r="GXJ158" s="53"/>
      <c r="GXK158" s="8"/>
      <c r="GXL158" s="45"/>
      <c r="GXM158" s="45"/>
      <c r="GXN158" s="46"/>
      <c r="GXO158" s="44"/>
      <c r="GXP158" s="7"/>
      <c r="GXQ158" s="51"/>
      <c r="GXR158" s="52"/>
      <c r="GXS158" s="53"/>
      <c r="GXT158" s="54"/>
      <c r="GXU158" s="52"/>
      <c r="GXV158" s="53"/>
      <c r="GXW158" s="54"/>
      <c r="GXX158" s="52"/>
      <c r="GXY158" s="53"/>
      <c r="GXZ158" s="8"/>
      <c r="GYA158" s="45"/>
      <c r="GYB158" s="45"/>
      <c r="GYC158" s="46"/>
      <c r="GYD158" s="44"/>
      <c r="GYE158" s="7"/>
      <c r="GYF158" s="51"/>
      <c r="GYG158" s="52"/>
      <c r="GYH158" s="53"/>
      <c r="GYI158" s="54"/>
      <c r="GYJ158" s="52"/>
      <c r="GYK158" s="53"/>
      <c r="GYL158" s="54"/>
      <c r="GYM158" s="52"/>
      <c r="GYN158" s="53"/>
      <c r="GYO158" s="8"/>
      <c r="GYP158" s="45"/>
      <c r="GYQ158" s="45"/>
      <c r="GYR158" s="46"/>
      <c r="GYS158" s="44"/>
      <c r="GYT158" s="7"/>
      <c r="GYU158" s="51"/>
      <c r="GYV158" s="52"/>
      <c r="GYW158" s="53"/>
      <c r="GYX158" s="54"/>
      <c r="GYY158" s="52"/>
      <c r="GYZ158" s="53"/>
      <c r="GZA158" s="54"/>
      <c r="GZB158" s="52"/>
      <c r="GZC158" s="53"/>
      <c r="GZD158" s="8"/>
      <c r="GZE158" s="45"/>
      <c r="GZF158" s="45"/>
      <c r="GZG158" s="46"/>
      <c r="GZH158" s="44"/>
      <c r="GZI158" s="7"/>
      <c r="GZJ158" s="51"/>
      <c r="GZK158" s="52"/>
      <c r="GZL158" s="53"/>
      <c r="GZM158" s="54"/>
      <c r="GZN158" s="52"/>
      <c r="GZO158" s="53"/>
      <c r="GZP158" s="54"/>
      <c r="GZQ158" s="52"/>
      <c r="GZR158" s="53"/>
      <c r="GZS158" s="8"/>
      <c r="GZT158" s="45"/>
      <c r="GZU158" s="45"/>
      <c r="GZV158" s="46"/>
      <c r="GZW158" s="44"/>
      <c r="GZX158" s="7"/>
      <c r="GZY158" s="51"/>
      <c r="GZZ158" s="52"/>
      <c r="HAA158" s="53"/>
      <c r="HAB158" s="54"/>
      <c r="HAC158" s="52"/>
      <c r="HAD158" s="53"/>
      <c r="HAE158" s="54"/>
      <c r="HAF158" s="52"/>
      <c r="HAG158" s="53"/>
      <c r="HAH158" s="8"/>
      <c r="HAI158" s="45"/>
      <c r="HAJ158" s="45"/>
      <c r="HAK158" s="46"/>
      <c r="HAL158" s="44"/>
      <c r="HAM158" s="7"/>
      <c r="HAN158" s="51"/>
      <c r="HAO158" s="52"/>
      <c r="HAP158" s="53"/>
      <c r="HAQ158" s="54"/>
      <c r="HAR158" s="52"/>
      <c r="HAS158" s="53"/>
      <c r="HAT158" s="54"/>
      <c r="HAU158" s="52"/>
      <c r="HAV158" s="53"/>
      <c r="HAW158" s="8"/>
      <c r="HAX158" s="45"/>
      <c r="HAY158" s="45"/>
      <c r="HAZ158" s="46"/>
      <c r="HBA158" s="44"/>
      <c r="HBB158" s="7"/>
      <c r="HBC158" s="51"/>
      <c r="HBD158" s="52"/>
      <c r="HBE158" s="53"/>
      <c r="HBF158" s="54"/>
      <c r="HBG158" s="52"/>
      <c r="HBH158" s="53"/>
      <c r="HBI158" s="54"/>
      <c r="HBJ158" s="52"/>
      <c r="HBK158" s="53"/>
      <c r="HBL158" s="8"/>
      <c r="HBM158" s="45"/>
      <c r="HBN158" s="45"/>
      <c r="HBO158" s="46"/>
      <c r="HBP158" s="44"/>
      <c r="HBQ158" s="7"/>
      <c r="HBR158" s="51"/>
      <c r="HBS158" s="52"/>
      <c r="HBT158" s="53"/>
      <c r="HBU158" s="54"/>
      <c r="HBV158" s="52"/>
      <c r="HBW158" s="53"/>
      <c r="HBX158" s="54"/>
      <c r="HBY158" s="52"/>
      <c r="HBZ158" s="53"/>
      <c r="HCA158" s="8"/>
      <c r="HCB158" s="45"/>
      <c r="HCC158" s="45"/>
      <c r="HCD158" s="46"/>
      <c r="HCE158" s="44"/>
      <c r="HCF158" s="7"/>
      <c r="HCG158" s="51"/>
      <c r="HCH158" s="52"/>
      <c r="HCI158" s="53"/>
      <c r="HCJ158" s="54"/>
      <c r="HCK158" s="52"/>
      <c r="HCL158" s="53"/>
      <c r="HCM158" s="54"/>
      <c r="HCN158" s="52"/>
      <c r="HCO158" s="53"/>
      <c r="HCP158" s="8"/>
      <c r="HCQ158" s="45"/>
      <c r="HCR158" s="45"/>
      <c r="HCS158" s="46"/>
      <c r="HCT158" s="44"/>
      <c r="HCU158" s="7"/>
      <c r="HCV158" s="51"/>
      <c r="HCW158" s="52"/>
      <c r="HCX158" s="53"/>
      <c r="HCY158" s="54"/>
      <c r="HCZ158" s="52"/>
      <c r="HDA158" s="53"/>
      <c r="HDB158" s="54"/>
      <c r="HDC158" s="52"/>
      <c r="HDD158" s="53"/>
      <c r="HDE158" s="8"/>
      <c r="HDF158" s="45"/>
      <c r="HDG158" s="45"/>
      <c r="HDH158" s="46"/>
      <c r="HDI158" s="44"/>
      <c r="HDJ158" s="7"/>
      <c r="HDK158" s="51"/>
      <c r="HDL158" s="52"/>
      <c r="HDM158" s="53"/>
      <c r="HDN158" s="54"/>
      <c r="HDO158" s="52"/>
      <c r="HDP158" s="53"/>
      <c r="HDQ158" s="54"/>
      <c r="HDR158" s="52"/>
      <c r="HDS158" s="53"/>
      <c r="HDT158" s="8"/>
      <c r="HDU158" s="45"/>
      <c r="HDV158" s="45"/>
      <c r="HDW158" s="46"/>
      <c r="HDX158" s="44"/>
      <c r="HDY158" s="7"/>
      <c r="HDZ158" s="51"/>
      <c r="HEA158" s="52"/>
      <c r="HEB158" s="53"/>
      <c r="HEC158" s="54"/>
      <c r="HED158" s="52"/>
      <c r="HEE158" s="53"/>
      <c r="HEF158" s="54"/>
      <c r="HEG158" s="52"/>
      <c r="HEH158" s="53"/>
      <c r="HEI158" s="8"/>
      <c r="HEJ158" s="45"/>
      <c r="HEK158" s="45"/>
      <c r="HEL158" s="46"/>
      <c r="HEM158" s="44"/>
      <c r="HEN158" s="7"/>
      <c r="HEO158" s="51"/>
      <c r="HEP158" s="52"/>
      <c r="HEQ158" s="53"/>
      <c r="HER158" s="54"/>
      <c r="HES158" s="52"/>
      <c r="HET158" s="53"/>
      <c r="HEU158" s="54"/>
      <c r="HEV158" s="52"/>
      <c r="HEW158" s="53"/>
      <c r="HEX158" s="8"/>
      <c r="HEY158" s="45"/>
      <c r="HEZ158" s="45"/>
      <c r="HFA158" s="46"/>
      <c r="HFB158" s="44"/>
      <c r="HFC158" s="7"/>
      <c r="HFD158" s="51"/>
      <c r="HFE158" s="52"/>
      <c r="HFF158" s="53"/>
      <c r="HFG158" s="54"/>
      <c r="HFH158" s="52"/>
      <c r="HFI158" s="53"/>
      <c r="HFJ158" s="54"/>
      <c r="HFK158" s="52"/>
      <c r="HFL158" s="53"/>
      <c r="HFM158" s="8"/>
      <c r="HFN158" s="45"/>
      <c r="HFO158" s="45"/>
      <c r="HFP158" s="46"/>
      <c r="HFQ158" s="44"/>
      <c r="HFR158" s="7"/>
      <c r="HFS158" s="51"/>
      <c r="HFT158" s="52"/>
      <c r="HFU158" s="53"/>
      <c r="HFV158" s="54"/>
      <c r="HFW158" s="52"/>
      <c r="HFX158" s="53"/>
      <c r="HFY158" s="54"/>
      <c r="HFZ158" s="52"/>
      <c r="HGA158" s="53"/>
      <c r="HGB158" s="8"/>
      <c r="HGC158" s="45"/>
      <c r="HGD158" s="45"/>
      <c r="HGE158" s="46"/>
      <c r="HGF158" s="44"/>
      <c r="HGG158" s="7"/>
      <c r="HGH158" s="51"/>
      <c r="HGI158" s="52"/>
      <c r="HGJ158" s="53"/>
      <c r="HGK158" s="54"/>
      <c r="HGL158" s="52"/>
      <c r="HGM158" s="53"/>
      <c r="HGN158" s="54"/>
      <c r="HGO158" s="52"/>
      <c r="HGP158" s="53"/>
      <c r="HGQ158" s="8"/>
      <c r="HGR158" s="45"/>
      <c r="HGS158" s="45"/>
      <c r="HGT158" s="46"/>
      <c r="HGU158" s="44"/>
      <c r="HGV158" s="7"/>
      <c r="HGW158" s="51"/>
      <c r="HGX158" s="52"/>
      <c r="HGY158" s="53"/>
      <c r="HGZ158" s="54"/>
      <c r="HHA158" s="52"/>
      <c r="HHB158" s="53"/>
      <c r="HHC158" s="54"/>
      <c r="HHD158" s="52"/>
      <c r="HHE158" s="53"/>
      <c r="HHF158" s="8"/>
      <c r="HHG158" s="45"/>
      <c r="HHH158" s="45"/>
      <c r="HHI158" s="46"/>
      <c r="HHJ158" s="44"/>
      <c r="HHK158" s="7"/>
      <c r="HHL158" s="51"/>
      <c r="HHM158" s="52"/>
      <c r="HHN158" s="53"/>
      <c r="HHO158" s="54"/>
      <c r="HHP158" s="52"/>
      <c r="HHQ158" s="53"/>
      <c r="HHR158" s="54"/>
      <c r="HHS158" s="52"/>
      <c r="HHT158" s="53"/>
      <c r="HHU158" s="8"/>
      <c r="HHV158" s="45"/>
      <c r="HHW158" s="45"/>
      <c r="HHX158" s="46"/>
      <c r="HHY158" s="44"/>
      <c r="HHZ158" s="7"/>
      <c r="HIA158" s="51"/>
      <c r="HIB158" s="52"/>
      <c r="HIC158" s="53"/>
      <c r="HID158" s="54"/>
      <c r="HIE158" s="52"/>
      <c r="HIF158" s="53"/>
      <c r="HIG158" s="54"/>
      <c r="HIH158" s="52"/>
      <c r="HII158" s="53"/>
      <c r="HIJ158" s="8"/>
      <c r="HIK158" s="45"/>
      <c r="HIL158" s="45"/>
      <c r="HIM158" s="46"/>
      <c r="HIN158" s="44"/>
      <c r="HIO158" s="7"/>
      <c r="HIP158" s="51"/>
      <c r="HIQ158" s="52"/>
      <c r="HIR158" s="53"/>
      <c r="HIS158" s="54"/>
      <c r="HIT158" s="52"/>
      <c r="HIU158" s="53"/>
      <c r="HIV158" s="54"/>
      <c r="HIW158" s="52"/>
      <c r="HIX158" s="53"/>
      <c r="HIY158" s="8"/>
      <c r="HIZ158" s="45"/>
      <c r="HJA158" s="45"/>
      <c r="HJB158" s="46"/>
      <c r="HJC158" s="44"/>
      <c r="HJD158" s="7"/>
      <c r="HJE158" s="51"/>
      <c r="HJF158" s="52"/>
      <c r="HJG158" s="53"/>
      <c r="HJH158" s="54"/>
      <c r="HJI158" s="52"/>
      <c r="HJJ158" s="53"/>
      <c r="HJK158" s="54"/>
      <c r="HJL158" s="52"/>
      <c r="HJM158" s="53"/>
      <c r="HJN158" s="8"/>
      <c r="HJO158" s="45"/>
      <c r="HJP158" s="45"/>
      <c r="HJQ158" s="46"/>
      <c r="HJR158" s="44"/>
      <c r="HJS158" s="7"/>
      <c r="HJT158" s="51"/>
      <c r="HJU158" s="52"/>
      <c r="HJV158" s="53"/>
      <c r="HJW158" s="54"/>
      <c r="HJX158" s="52"/>
      <c r="HJY158" s="53"/>
      <c r="HJZ158" s="54"/>
      <c r="HKA158" s="52"/>
      <c r="HKB158" s="53"/>
      <c r="HKC158" s="8"/>
      <c r="HKD158" s="45"/>
      <c r="HKE158" s="45"/>
      <c r="HKF158" s="46"/>
      <c r="HKG158" s="44"/>
      <c r="HKH158" s="7"/>
      <c r="HKI158" s="51"/>
      <c r="HKJ158" s="52"/>
      <c r="HKK158" s="53"/>
      <c r="HKL158" s="54"/>
      <c r="HKM158" s="52"/>
      <c r="HKN158" s="53"/>
      <c r="HKO158" s="54"/>
      <c r="HKP158" s="52"/>
      <c r="HKQ158" s="53"/>
      <c r="HKR158" s="8"/>
      <c r="HKS158" s="45"/>
      <c r="HKT158" s="45"/>
      <c r="HKU158" s="46"/>
      <c r="HKV158" s="44"/>
      <c r="HKW158" s="7"/>
      <c r="HKX158" s="51"/>
      <c r="HKY158" s="52"/>
      <c r="HKZ158" s="53"/>
      <c r="HLA158" s="54"/>
      <c r="HLB158" s="52"/>
      <c r="HLC158" s="53"/>
      <c r="HLD158" s="54"/>
      <c r="HLE158" s="52"/>
      <c r="HLF158" s="53"/>
      <c r="HLG158" s="8"/>
      <c r="HLH158" s="45"/>
      <c r="HLI158" s="45"/>
      <c r="HLJ158" s="46"/>
      <c r="HLK158" s="44"/>
      <c r="HLL158" s="7"/>
      <c r="HLM158" s="51"/>
      <c r="HLN158" s="52"/>
      <c r="HLO158" s="53"/>
      <c r="HLP158" s="54"/>
      <c r="HLQ158" s="52"/>
      <c r="HLR158" s="53"/>
      <c r="HLS158" s="54"/>
      <c r="HLT158" s="52"/>
      <c r="HLU158" s="53"/>
      <c r="HLV158" s="8"/>
      <c r="HLW158" s="45"/>
      <c r="HLX158" s="45"/>
      <c r="HLY158" s="46"/>
      <c r="HLZ158" s="44"/>
      <c r="HMA158" s="7"/>
      <c r="HMB158" s="51"/>
      <c r="HMC158" s="52"/>
      <c r="HMD158" s="53"/>
      <c r="HME158" s="54"/>
      <c r="HMF158" s="52"/>
      <c r="HMG158" s="53"/>
      <c r="HMH158" s="54"/>
      <c r="HMI158" s="52"/>
      <c r="HMJ158" s="53"/>
      <c r="HMK158" s="8"/>
      <c r="HML158" s="45"/>
      <c r="HMM158" s="45"/>
      <c r="HMN158" s="46"/>
      <c r="HMO158" s="44"/>
      <c r="HMP158" s="7"/>
      <c r="HMQ158" s="51"/>
      <c r="HMR158" s="52"/>
      <c r="HMS158" s="53"/>
      <c r="HMT158" s="54"/>
      <c r="HMU158" s="52"/>
      <c r="HMV158" s="53"/>
      <c r="HMW158" s="54"/>
      <c r="HMX158" s="52"/>
      <c r="HMY158" s="53"/>
      <c r="HMZ158" s="8"/>
      <c r="HNA158" s="45"/>
      <c r="HNB158" s="45"/>
      <c r="HNC158" s="46"/>
      <c r="HND158" s="44"/>
      <c r="HNE158" s="7"/>
      <c r="HNF158" s="51"/>
      <c r="HNG158" s="52"/>
      <c r="HNH158" s="53"/>
      <c r="HNI158" s="54"/>
      <c r="HNJ158" s="52"/>
      <c r="HNK158" s="53"/>
      <c r="HNL158" s="54"/>
      <c r="HNM158" s="52"/>
      <c r="HNN158" s="53"/>
      <c r="HNO158" s="8"/>
      <c r="HNP158" s="45"/>
      <c r="HNQ158" s="45"/>
      <c r="HNR158" s="46"/>
      <c r="HNS158" s="44"/>
      <c r="HNT158" s="7"/>
      <c r="HNU158" s="51"/>
      <c r="HNV158" s="52"/>
      <c r="HNW158" s="53"/>
      <c r="HNX158" s="54"/>
      <c r="HNY158" s="52"/>
      <c r="HNZ158" s="53"/>
      <c r="HOA158" s="54"/>
      <c r="HOB158" s="52"/>
      <c r="HOC158" s="53"/>
      <c r="HOD158" s="8"/>
      <c r="HOE158" s="45"/>
      <c r="HOF158" s="45"/>
      <c r="HOG158" s="46"/>
      <c r="HOH158" s="44"/>
      <c r="HOI158" s="7"/>
      <c r="HOJ158" s="51"/>
      <c r="HOK158" s="52"/>
      <c r="HOL158" s="53"/>
      <c r="HOM158" s="54"/>
      <c r="HON158" s="52"/>
      <c r="HOO158" s="53"/>
      <c r="HOP158" s="54"/>
      <c r="HOQ158" s="52"/>
      <c r="HOR158" s="53"/>
      <c r="HOS158" s="8"/>
      <c r="HOT158" s="45"/>
      <c r="HOU158" s="45"/>
      <c r="HOV158" s="46"/>
      <c r="HOW158" s="44"/>
      <c r="HOX158" s="7"/>
      <c r="HOY158" s="51"/>
      <c r="HOZ158" s="52"/>
      <c r="HPA158" s="53"/>
      <c r="HPB158" s="54"/>
      <c r="HPC158" s="52"/>
      <c r="HPD158" s="53"/>
      <c r="HPE158" s="54"/>
      <c r="HPF158" s="52"/>
      <c r="HPG158" s="53"/>
      <c r="HPH158" s="8"/>
      <c r="HPI158" s="45"/>
      <c r="HPJ158" s="45"/>
      <c r="HPK158" s="46"/>
      <c r="HPL158" s="44"/>
      <c r="HPM158" s="7"/>
      <c r="HPN158" s="51"/>
      <c r="HPO158" s="52"/>
      <c r="HPP158" s="53"/>
      <c r="HPQ158" s="54"/>
      <c r="HPR158" s="52"/>
      <c r="HPS158" s="53"/>
      <c r="HPT158" s="54"/>
      <c r="HPU158" s="52"/>
      <c r="HPV158" s="53"/>
      <c r="HPW158" s="8"/>
      <c r="HPX158" s="45"/>
      <c r="HPY158" s="45"/>
      <c r="HPZ158" s="46"/>
      <c r="HQA158" s="44"/>
      <c r="HQB158" s="7"/>
      <c r="HQC158" s="51"/>
      <c r="HQD158" s="52"/>
      <c r="HQE158" s="53"/>
      <c r="HQF158" s="54"/>
      <c r="HQG158" s="52"/>
      <c r="HQH158" s="53"/>
      <c r="HQI158" s="54"/>
      <c r="HQJ158" s="52"/>
      <c r="HQK158" s="53"/>
      <c r="HQL158" s="8"/>
      <c r="HQM158" s="45"/>
      <c r="HQN158" s="45"/>
      <c r="HQO158" s="46"/>
      <c r="HQP158" s="44"/>
      <c r="HQQ158" s="7"/>
      <c r="HQR158" s="51"/>
      <c r="HQS158" s="52"/>
      <c r="HQT158" s="53"/>
      <c r="HQU158" s="54"/>
      <c r="HQV158" s="52"/>
      <c r="HQW158" s="53"/>
      <c r="HQX158" s="54"/>
      <c r="HQY158" s="52"/>
      <c r="HQZ158" s="53"/>
      <c r="HRA158" s="8"/>
      <c r="HRB158" s="45"/>
      <c r="HRC158" s="45"/>
      <c r="HRD158" s="46"/>
      <c r="HRE158" s="44"/>
      <c r="HRF158" s="7"/>
      <c r="HRG158" s="51"/>
      <c r="HRH158" s="52"/>
      <c r="HRI158" s="53"/>
      <c r="HRJ158" s="54"/>
      <c r="HRK158" s="52"/>
      <c r="HRL158" s="53"/>
      <c r="HRM158" s="54"/>
      <c r="HRN158" s="52"/>
      <c r="HRO158" s="53"/>
      <c r="HRP158" s="8"/>
      <c r="HRQ158" s="45"/>
      <c r="HRR158" s="45"/>
      <c r="HRS158" s="46"/>
      <c r="HRT158" s="44"/>
      <c r="HRU158" s="7"/>
      <c r="HRV158" s="51"/>
      <c r="HRW158" s="52"/>
      <c r="HRX158" s="53"/>
      <c r="HRY158" s="54"/>
      <c r="HRZ158" s="52"/>
      <c r="HSA158" s="53"/>
      <c r="HSB158" s="54"/>
      <c r="HSC158" s="52"/>
      <c r="HSD158" s="53"/>
      <c r="HSE158" s="8"/>
      <c r="HSF158" s="45"/>
      <c r="HSG158" s="45"/>
      <c r="HSH158" s="46"/>
      <c r="HSI158" s="44"/>
      <c r="HSJ158" s="7"/>
      <c r="HSK158" s="51"/>
      <c r="HSL158" s="52"/>
      <c r="HSM158" s="53"/>
      <c r="HSN158" s="54"/>
      <c r="HSO158" s="52"/>
      <c r="HSP158" s="53"/>
      <c r="HSQ158" s="54"/>
      <c r="HSR158" s="52"/>
      <c r="HSS158" s="53"/>
      <c r="HST158" s="8"/>
      <c r="HSU158" s="45"/>
      <c r="HSV158" s="45"/>
      <c r="HSW158" s="46"/>
      <c r="HSX158" s="44"/>
      <c r="HSY158" s="7"/>
      <c r="HSZ158" s="51"/>
      <c r="HTA158" s="52"/>
      <c r="HTB158" s="53"/>
      <c r="HTC158" s="54"/>
      <c r="HTD158" s="52"/>
      <c r="HTE158" s="53"/>
      <c r="HTF158" s="54"/>
      <c r="HTG158" s="52"/>
      <c r="HTH158" s="53"/>
      <c r="HTI158" s="8"/>
      <c r="HTJ158" s="45"/>
      <c r="HTK158" s="45"/>
      <c r="HTL158" s="46"/>
      <c r="HTM158" s="44"/>
      <c r="HTN158" s="7"/>
      <c r="HTO158" s="51"/>
      <c r="HTP158" s="52"/>
      <c r="HTQ158" s="53"/>
      <c r="HTR158" s="54"/>
      <c r="HTS158" s="52"/>
      <c r="HTT158" s="53"/>
      <c r="HTU158" s="54"/>
      <c r="HTV158" s="52"/>
      <c r="HTW158" s="53"/>
      <c r="HTX158" s="8"/>
      <c r="HTY158" s="45"/>
      <c r="HTZ158" s="45"/>
      <c r="HUA158" s="46"/>
      <c r="HUB158" s="44"/>
      <c r="HUC158" s="7"/>
      <c r="HUD158" s="51"/>
      <c r="HUE158" s="52"/>
      <c r="HUF158" s="53"/>
      <c r="HUG158" s="54"/>
      <c r="HUH158" s="52"/>
      <c r="HUI158" s="53"/>
      <c r="HUJ158" s="54"/>
      <c r="HUK158" s="52"/>
      <c r="HUL158" s="53"/>
      <c r="HUM158" s="8"/>
      <c r="HUN158" s="45"/>
      <c r="HUO158" s="45"/>
      <c r="HUP158" s="46"/>
      <c r="HUQ158" s="44"/>
      <c r="HUR158" s="7"/>
      <c r="HUS158" s="51"/>
      <c r="HUT158" s="52"/>
      <c r="HUU158" s="53"/>
      <c r="HUV158" s="54"/>
      <c r="HUW158" s="52"/>
      <c r="HUX158" s="53"/>
      <c r="HUY158" s="54"/>
      <c r="HUZ158" s="52"/>
      <c r="HVA158" s="53"/>
      <c r="HVB158" s="8"/>
      <c r="HVC158" s="45"/>
      <c r="HVD158" s="45"/>
      <c r="HVE158" s="46"/>
      <c r="HVF158" s="44"/>
      <c r="HVG158" s="7"/>
      <c r="HVH158" s="51"/>
      <c r="HVI158" s="52"/>
      <c r="HVJ158" s="53"/>
      <c r="HVK158" s="54"/>
      <c r="HVL158" s="52"/>
      <c r="HVM158" s="53"/>
      <c r="HVN158" s="54"/>
      <c r="HVO158" s="52"/>
      <c r="HVP158" s="53"/>
      <c r="HVQ158" s="8"/>
      <c r="HVR158" s="45"/>
      <c r="HVS158" s="45"/>
      <c r="HVT158" s="46"/>
      <c r="HVU158" s="44"/>
      <c r="HVV158" s="7"/>
      <c r="HVW158" s="51"/>
      <c r="HVX158" s="52"/>
      <c r="HVY158" s="53"/>
      <c r="HVZ158" s="54"/>
      <c r="HWA158" s="52"/>
      <c r="HWB158" s="53"/>
      <c r="HWC158" s="54"/>
      <c r="HWD158" s="52"/>
      <c r="HWE158" s="53"/>
      <c r="HWF158" s="8"/>
      <c r="HWG158" s="45"/>
      <c r="HWH158" s="45"/>
      <c r="HWI158" s="46"/>
      <c r="HWJ158" s="44"/>
      <c r="HWK158" s="7"/>
      <c r="HWL158" s="51"/>
      <c r="HWM158" s="52"/>
      <c r="HWN158" s="53"/>
      <c r="HWO158" s="54"/>
      <c r="HWP158" s="52"/>
      <c r="HWQ158" s="53"/>
      <c r="HWR158" s="54"/>
      <c r="HWS158" s="52"/>
      <c r="HWT158" s="53"/>
      <c r="HWU158" s="8"/>
      <c r="HWV158" s="45"/>
      <c r="HWW158" s="45"/>
      <c r="HWX158" s="46"/>
      <c r="HWY158" s="44"/>
      <c r="HWZ158" s="7"/>
      <c r="HXA158" s="51"/>
      <c r="HXB158" s="52"/>
      <c r="HXC158" s="53"/>
      <c r="HXD158" s="54"/>
      <c r="HXE158" s="52"/>
      <c r="HXF158" s="53"/>
      <c r="HXG158" s="54"/>
      <c r="HXH158" s="52"/>
      <c r="HXI158" s="53"/>
      <c r="HXJ158" s="8"/>
      <c r="HXK158" s="45"/>
      <c r="HXL158" s="45"/>
      <c r="HXM158" s="46"/>
      <c r="HXN158" s="44"/>
      <c r="HXO158" s="7"/>
      <c r="HXP158" s="51"/>
      <c r="HXQ158" s="52"/>
      <c r="HXR158" s="53"/>
      <c r="HXS158" s="54"/>
      <c r="HXT158" s="52"/>
      <c r="HXU158" s="53"/>
      <c r="HXV158" s="54"/>
      <c r="HXW158" s="52"/>
      <c r="HXX158" s="53"/>
      <c r="HXY158" s="8"/>
      <c r="HXZ158" s="45"/>
      <c r="HYA158" s="45"/>
      <c r="HYB158" s="46"/>
      <c r="HYC158" s="44"/>
      <c r="HYD158" s="7"/>
      <c r="HYE158" s="51"/>
      <c r="HYF158" s="52"/>
      <c r="HYG158" s="53"/>
      <c r="HYH158" s="54"/>
      <c r="HYI158" s="52"/>
      <c r="HYJ158" s="53"/>
      <c r="HYK158" s="54"/>
      <c r="HYL158" s="52"/>
      <c r="HYM158" s="53"/>
      <c r="HYN158" s="8"/>
      <c r="HYO158" s="45"/>
      <c r="HYP158" s="45"/>
      <c r="HYQ158" s="46"/>
      <c r="HYR158" s="44"/>
      <c r="HYS158" s="7"/>
      <c r="HYT158" s="51"/>
      <c r="HYU158" s="52"/>
      <c r="HYV158" s="53"/>
      <c r="HYW158" s="54"/>
      <c r="HYX158" s="52"/>
      <c r="HYY158" s="53"/>
      <c r="HYZ158" s="54"/>
      <c r="HZA158" s="52"/>
      <c r="HZB158" s="53"/>
      <c r="HZC158" s="8"/>
      <c r="HZD158" s="45"/>
      <c r="HZE158" s="45"/>
      <c r="HZF158" s="46"/>
      <c r="HZG158" s="44"/>
      <c r="HZH158" s="7"/>
      <c r="HZI158" s="51"/>
      <c r="HZJ158" s="52"/>
      <c r="HZK158" s="53"/>
      <c r="HZL158" s="54"/>
      <c r="HZM158" s="52"/>
      <c r="HZN158" s="53"/>
      <c r="HZO158" s="54"/>
      <c r="HZP158" s="52"/>
      <c r="HZQ158" s="53"/>
      <c r="HZR158" s="8"/>
      <c r="HZS158" s="45"/>
      <c r="HZT158" s="45"/>
      <c r="HZU158" s="46"/>
      <c r="HZV158" s="44"/>
      <c r="HZW158" s="7"/>
      <c r="HZX158" s="51"/>
      <c r="HZY158" s="52"/>
      <c r="HZZ158" s="53"/>
      <c r="IAA158" s="54"/>
      <c r="IAB158" s="52"/>
      <c r="IAC158" s="53"/>
      <c r="IAD158" s="54"/>
      <c r="IAE158" s="52"/>
      <c r="IAF158" s="53"/>
      <c r="IAG158" s="8"/>
      <c r="IAH158" s="45"/>
      <c r="IAI158" s="45"/>
      <c r="IAJ158" s="46"/>
      <c r="IAK158" s="44"/>
      <c r="IAL158" s="7"/>
      <c r="IAM158" s="51"/>
      <c r="IAN158" s="52"/>
      <c r="IAO158" s="53"/>
      <c r="IAP158" s="54"/>
      <c r="IAQ158" s="52"/>
      <c r="IAR158" s="53"/>
      <c r="IAS158" s="54"/>
      <c r="IAT158" s="52"/>
      <c r="IAU158" s="53"/>
      <c r="IAV158" s="8"/>
      <c r="IAW158" s="45"/>
      <c r="IAX158" s="45"/>
      <c r="IAY158" s="46"/>
      <c r="IAZ158" s="44"/>
      <c r="IBA158" s="7"/>
      <c r="IBB158" s="51"/>
      <c r="IBC158" s="52"/>
      <c r="IBD158" s="53"/>
      <c r="IBE158" s="54"/>
      <c r="IBF158" s="52"/>
      <c r="IBG158" s="53"/>
      <c r="IBH158" s="54"/>
      <c r="IBI158" s="52"/>
      <c r="IBJ158" s="53"/>
      <c r="IBK158" s="8"/>
      <c r="IBL158" s="45"/>
      <c r="IBM158" s="45"/>
      <c r="IBN158" s="46"/>
      <c r="IBO158" s="44"/>
      <c r="IBP158" s="7"/>
      <c r="IBQ158" s="51"/>
      <c r="IBR158" s="52"/>
      <c r="IBS158" s="53"/>
      <c r="IBT158" s="54"/>
      <c r="IBU158" s="52"/>
      <c r="IBV158" s="53"/>
      <c r="IBW158" s="54"/>
      <c r="IBX158" s="52"/>
      <c r="IBY158" s="53"/>
      <c r="IBZ158" s="8"/>
      <c r="ICA158" s="45"/>
      <c r="ICB158" s="45"/>
      <c r="ICC158" s="46"/>
      <c r="ICD158" s="44"/>
      <c r="ICE158" s="7"/>
      <c r="ICF158" s="51"/>
      <c r="ICG158" s="52"/>
      <c r="ICH158" s="53"/>
      <c r="ICI158" s="54"/>
      <c r="ICJ158" s="52"/>
      <c r="ICK158" s="53"/>
      <c r="ICL158" s="54"/>
      <c r="ICM158" s="52"/>
      <c r="ICN158" s="53"/>
      <c r="ICO158" s="8"/>
      <c r="ICP158" s="45"/>
      <c r="ICQ158" s="45"/>
      <c r="ICR158" s="46"/>
      <c r="ICS158" s="44"/>
      <c r="ICT158" s="7"/>
      <c r="ICU158" s="51"/>
      <c r="ICV158" s="52"/>
      <c r="ICW158" s="53"/>
      <c r="ICX158" s="54"/>
      <c r="ICY158" s="52"/>
      <c r="ICZ158" s="53"/>
      <c r="IDA158" s="54"/>
      <c r="IDB158" s="52"/>
      <c r="IDC158" s="53"/>
      <c r="IDD158" s="8"/>
      <c r="IDE158" s="45"/>
      <c r="IDF158" s="45"/>
      <c r="IDG158" s="46"/>
      <c r="IDH158" s="44"/>
      <c r="IDI158" s="7"/>
      <c r="IDJ158" s="51"/>
      <c r="IDK158" s="52"/>
      <c r="IDL158" s="53"/>
      <c r="IDM158" s="54"/>
      <c r="IDN158" s="52"/>
      <c r="IDO158" s="53"/>
      <c r="IDP158" s="54"/>
      <c r="IDQ158" s="52"/>
      <c r="IDR158" s="53"/>
      <c r="IDS158" s="8"/>
      <c r="IDT158" s="45"/>
      <c r="IDU158" s="45"/>
      <c r="IDV158" s="46"/>
      <c r="IDW158" s="44"/>
      <c r="IDX158" s="7"/>
      <c r="IDY158" s="51"/>
      <c r="IDZ158" s="52"/>
      <c r="IEA158" s="53"/>
      <c r="IEB158" s="54"/>
      <c r="IEC158" s="52"/>
      <c r="IED158" s="53"/>
      <c r="IEE158" s="54"/>
      <c r="IEF158" s="52"/>
      <c r="IEG158" s="53"/>
      <c r="IEH158" s="8"/>
      <c r="IEI158" s="45"/>
      <c r="IEJ158" s="45"/>
      <c r="IEK158" s="46"/>
      <c r="IEL158" s="44"/>
      <c r="IEM158" s="7"/>
      <c r="IEN158" s="51"/>
      <c r="IEO158" s="52"/>
      <c r="IEP158" s="53"/>
      <c r="IEQ158" s="54"/>
      <c r="IER158" s="52"/>
      <c r="IES158" s="53"/>
      <c r="IET158" s="54"/>
      <c r="IEU158" s="52"/>
      <c r="IEV158" s="53"/>
      <c r="IEW158" s="8"/>
      <c r="IEX158" s="45"/>
      <c r="IEY158" s="45"/>
      <c r="IEZ158" s="46"/>
      <c r="IFA158" s="44"/>
      <c r="IFB158" s="7"/>
      <c r="IFC158" s="51"/>
      <c r="IFD158" s="52"/>
      <c r="IFE158" s="53"/>
      <c r="IFF158" s="54"/>
      <c r="IFG158" s="52"/>
      <c r="IFH158" s="53"/>
      <c r="IFI158" s="54"/>
      <c r="IFJ158" s="52"/>
      <c r="IFK158" s="53"/>
      <c r="IFL158" s="8"/>
      <c r="IFM158" s="45"/>
      <c r="IFN158" s="45"/>
      <c r="IFO158" s="46"/>
      <c r="IFP158" s="44"/>
      <c r="IFQ158" s="7"/>
      <c r="IFR158" s="51"/>
      <c r="IFS158" s="52"/>
      <c r="IFT158" s="53"/>
      <c r="IFU158" s="54"/>
      <c r="IFV158" s="52"/>
      <c r="IFW158" s="53"/>
      <c r="IFX158" s="54"/>
      <c r="IFY158" s="52"/>
      <c r="IFZ158" s="53"/>
      <c r="IGA158" s="8"/>
      <c r="IGB158" s="45"/>
      <c r="IGC158" s="45"/>
      <c r="IGD158" s="46"/>
      <c r="IGE158" s="44"/>
      <c r="IGF158" s="7"/>
      <c r="IGG158" s="51"/>
      <c r="IGH158" s="52"/>
      <c r="IGI158" s="53"/>
      <c r="IGJ158" s="54"/>
      <c r="IGK158" s="52"/>
      <c r="IGL158" s="53"/>
      <c r="IGM158" s="54"/>
      <c r="IGN158" s="52"/>
      <c r="IGO158" s="53"/>
      <c r="IGP158" s="8"/>
      <c r="IGQ158" s="45"/>
      <c r="IGR158" s="45"/>
      <c r="IGS158" s="46"/>
      <c r="IGT158" s="44"/>
      <c r="IGU158" s="7"/>
      <c r="IGV158" s="51"/>
      <c r="IGW158" s="52"/>
      <c r="IGX158" s="53"/>
      <c r="IGY158" s="54"/>
      <c r="IGZ158" s="52"/>
      <c r="IHA158" s="53"/>
      <c r="IHB158" s="54"/>
      <c r="IHC158" s="52"/>
      <c r="IHD158" s="53"/>
      <c r="IHE158" s="8"/>
      <c r="IHF158" s="45"/>
      <c r="IHG158" s="45"/>
      <c r="IHH158" s="46"/>
      <c r="IHI158" s="44"/>
      <c r="IHJ158" s="7"/>
      <c r="IHK158" s="51"/>
      <c r="IHL158" s="52"/>
      <c r="IHM158" s="53"/>
      <c r="IHN158" s="54"/>
      <c r="IHO158" s="52"/>
      <c r="IHP158" s="53"/>
      <c r="IHQ158" s="54"/>
      <c r="IHR158" s="52"/>
      <c r="IHS158" s="53"/>
      <c r="IHT158" s="8"/>
      <c r="IHU158" s="45"/>
      <c r="IHV158" s="45"/>
      <c r="IHW158" s="46"/>
      <c r="IHX158" s="44"/>
      <c r="IHY158" s="7"/>
      <c r="IHZ158" s="51"/>
      <c r="IIA158" s="52"/>
      <c r="IIB158" s="53"/>
      <c r="IIC158" s="54"/>
      <c r="IID158" s="52"/>
      <c r="IIE158" s="53"/>
      <c r="IIF158" s="54"/>
      <c r="IIG158" s="52"/>
      <c r="IIH158" s="53"/>
      <c r="III158" s="8"/>
      <c r="IIJ158" s="45"/>
      <c r="IIK158" s="45"/>
      <c r="IIL158" s="46"/>
      <c r="IIM158" s="44"/>
      <c r="IIN158" s="7"/>
      <c r="IIO158" s="51"/>
      <c r="IIP158" s="52"/>
      <c r="IIQ158" s="53"/>
      <c r="IIR158" s="54"/>
      <c r="IIS158" s="52"/>
      <c r="IIT158" s="53"/>
      <c r="IIU158" s="54"/>
      <c r="IIV158" s="52"/>
      <c r="IIW158" s="53"/>
      <c r="IIX158" s="8"/>
      <c r="IIY158" s="45"/>
      <c r="IIZ158" s="45"/>
      <c r="IJA158" s="46"/>
      <c r="IJB158" s="44"/>
      <c r="IJC158" s="7"/>
      <c r="IJD158" s="51"/>
      <c r="IJE158" s="52"/>
      <c r="IJF158" s="53"/>
      <c r="IJG158" s="54"/>
      <c r="IJH158" s="52"/>
      <c r="IJI158" s="53"/>
      <c r="IJJ158" s="54"/>
      <c r="IJK158" s="52"/>
      <c r="IJL158" s="53"/>
      <c r="IJM158" s="8"/>
      <c r="IJN158" s="45"/>
      <c r="IJO158" s="45"/>
      <c r="IJP158" s="46"/>
      <c r="IJQ158" s="44"/>
      <c r="IJR158" s="7"/>
      <c r="IJS158" s="51"/>
      <c r="IJT158" s="52"/>
      <c r="IJU158" s="53"/>
      <c r="IJV158" s="54"/>
      <c r="IJW158" s="52"/>
      <c r="IJX158" s="53"/>
      <c r="IJY158" s="54"/>
      <c r="IJZ158" s="52"/>
      <c r="IKA158" s="53"/>
      <c r="IKB158" s="8"/>
      <c r="IKC158" s="45"/>
      <c r="IKD158" s="45"/>
      <c r="IKE158" s="46"/>
      <c r="IKF158" s="44"/>
      <c r="IKG158" s="7"/>
      <c r="IKH158" s="51"/>
      <c r="IKI158" s="52"/>
      <c r="IKJ158" s="53"/>
      <c r="IKK158" s="54"/>
      <c r="IKL158" s="52"/>
      <c r="IKM158" s="53"/>
      <c r="IKN158" s="54"/>
      <c r="IKO158" s="52"/>
      <c r="IKP158" s="53"/>
      <c r="IKQ158" s="8"/>
      <c r="IKR158" s="45"/>
      <c r="IKS158" s="45"/>
      <c r="IKT158" s="46"/>
      <c r="IKU158" s="44"/>
      <c r="IKV158" s="7"/>
      <c r="IKW158" s="51"/>
      <c r="IKX158" s="52"/>
      <c r="IKY158" s="53"/>
      <c r="IKZ158" s="54"/>
      <c r="ILA158" s="52"/>
      <c r="ILB158" s="53"/>
      <c r="ILC158" s="54"/>
      <c r="ILD158" s="52"/>
      <c r="ILE158" s="53"/>
      <c r="ILF158" s="8"/>
      <c r="ILG158" s="45"/>
      <c r="ILH158" s="45"/>
      <c r="ILI158" s="46"/>
      <c r="ILJ158" s="44"/>
      <c r="ILK158" s="7"/>
      <c r="ILL158" s="51"/>
      <c r="ILM158" s="52"/>
      <c r="ILN158" s="53"/>
      <c r="ILO158" s="54"/>
      <c r="ILP158" s="52"/>
      <c r="ILQ158" s="53"/>
      <c r="ILR158" s="54"/>
      <c r="ILS158" s="52"/>
      <c r="ILT158" s="53"/>
      <c r="ILU158" s="8"/>
      <c r="ILV158" s="45"/>
      <c r="ILW158" s="45"/>
      <c r="ILX158" s="46"/>
      <c r="ILY158" s="44"/>
      <c r="ILZ158" s="7"/>
      <c r="IMA158" s="51"/>
      <c r="IMB158" s="52"/>
      <c r="IMC158" s="53"/>
      <c r="IMD158" s="54"/>
      <c r="IME158" s="52"/>
      <c r="IMF158" s="53"/>
      <c r="IMG158" s="54"/>
      <c r="IMH158" s="52"/>
      <c r="IMI158" s="53"/>
      <c r="IMJ158" s="8"/>
      <c r="IMK158" s="45"/>
      <c r="IML158" s="45"/>
      <c r="IMM158" s="46"/>
      <c r="IMN158" s="44"/>
      <c r="IMO158" s="7"/>
      <c r="IMP158" s="51"/>
      <c r="IMQ158" s="52"/>
      <c r="IMR158" s="53"/>
      <c r="IMS158" s="54"/>
      <c r="IMT158" s="52"/>
      <c r="IMU158" s="53"/>
      <c r="IMV158" s="54"/>
      <c r="IMW158" s="52"/>
      <c r="IMX158" s="53"/>
      <c r="IMY158" s="8"/>
      <c r="IMZ158" s="45"/>
      <c r="INA158" s="45"/>
      <c r="INB158" s="46"/>
      <c r="INC158" s="44"/>
      <c r="IND158" s="7"/>
      <c r="INE158" s="51"/>
      <c r="INF158" s="52"/>
      <c r="ING158" s="53"/>
      <c r="INH158" s="54"/>
      <c r="INI158" s="52"/>
      <c r="INJ158" s="53"/>
      <c r="INK158" s="54"/>
      <c r="INL158" s="52"/>
      <c r="INM158" s="53"/>
      <c r="INN158" s="8"/>
      <c r="INO158" s="45"/>
      <c r="INP158" s="45"/>
      <c r="INQ158" s="46"/>
      <c r="INR158" s="44"/>
      <c r="INS158" s="7"/>
      <c r="INT158" s="51"/>
      <c r="INU158" s="52"/>
      <c r="INV158" s="53"/>
      <c r="INW158" s="54"/>
      <c r="INX158" s="52"/>
      <c r="INY158" s="53"/>
      <c r="INZ158" s="54"/>
      <c r="IOA158" s="52"/>
      <c r="IOB158" s="53"/>
      <c r="IOC158" s="8"/>
      <c r="IOD158" s="45"/>
      <c r="IOE158" s="45"/>
      <c r="IOF158" s="46"/>
      <c r="IOG158" s="44"/>
      <c r="IOH158" s="7"/>
      <c r="IOI158" s="51"/>
      <c r="IOJ158" s="52"/>
      <c r="IOK158" s="53"/>
      <c r="IOL158" s="54"/>
      <c r="IOM158" s="52"/>
      <c r="ION158" s="53"/>
      <c r="IOO158" s="54"/>
      <c r="IOP158" s="52"/>
      <c r="IOQ158" s="53"/>
      <c r="IOR158" s="8"/>
      <c r="IOS158" s="45"/>
      <c r="IOT158" s="45"/>
      <c r="IOU158" s="46"/>
      <c r="IOV158" s="44"/>
      <c r="IOW158" s="7"/>
      <c r="IOX158" s="51"/>
      <c r="IOY158" s="52"/>
      <c r="IOZ158" s="53"/>
      <c r="IPA158" s="54"/>
      <c r="IPB158" s="52"/>
      <c r="IPC158" s="53"/>
      <c r="IPD158" s="54"/>
      <c r="IPE158" s="52"/>
      <c r="IPF158" s="53"/>
      <c r="IPG158" s="8"/>
      <c r="IPH158" s="45"/>
      <c r="IPI158" s="45"/>
      <c r="IPJ158" s="46"/>
      <c r="IPK158" s="44"/>
      <c r="IPL158" s="7"/>
      <c r="IPM158" s="51"/>
      <c r="IPN158" s="52"/>
      <c r="IPO158" s="53"/>
      <c r="IPP158" s="54"/>
      <c r="IPQ158" s="52"/>
      <c r="IPR158" s="53"/>
      <c r="IPS158" s="54"/>
      <c r="IPT158" s="52"/>
      <c r="IPU158" s="53"/>
      <c r="IPV158" s="8"/>
      <c r="IPW158" s="45"/>
      <c r="IPX158" s="45"/>
      <c r="IPY158" s="46"/>
      <c r="IPZ158" s="44"/>
      <c r="IQA158" s="7"/>
      <c r="IQB158" s="51"/>
      <c r="IQC158" s="52"/>
      <c r="IQD158" s="53"/>
      <c r="IQE158" s="54"/>
      <c r="IQF158" s="52"/>
      <c r="IQG158" s="53"/>
      <c r="IQH158" s="54"/>
      <c r="IQI158" s="52"/>
      <c r="IQJ158" s="53"/>
      <c r="IQK158" s="8"/>
      <c r="IQL158" s="45"/>
      <c r="IQM158" s="45"/>
      <c r="IQN158" s="46"/>
      <c r="IQO158" s="44"/>
      <c r="IQP158" s="7"/>
      <c r="IQQ158" s="51"/>
      <c r="IQR158" s="52"/>
      <c r="IQS158" s="53"/>
      <c r="IQT158" s="54"/>
      <c r="IQU158" s="52"/>
      <c r="IQV158" s="53"/>
      <c r="IQW158" s="54"/>
      <c r="IQX158" s="52"/>
      <c r="IQY158" s="53"/>
      <c r="IQZ158" s="8"/>
      <c r="IRA158" s="45"/>
      <c r="IRB158" s="45"/>
      <c r="IRC158" s="46"/>
      <c r="IRD158" s="44"/>
      <c r="IRE158" s="7"/>
      <c r="IRF158" s="51"/>
      <c r="IRG158" s="52"/>
      <c r="IRH158" s="53"/>
      <c r="IRI158" s="54"/>
      <c r="IRJ158" s="52"/>
      <c r="IRK158" s="53"/>
      <c r="IRL158" s="54"/>
      <c r="IRM158" s="52"/>
      <c r="IRN158" s="53"/>
      <c r="IRO158" s="8"/>
      <c r="IRP158" s="45"/>
      <c r="IRQ158" s="45"/>
      <c r="IRR158" s="46"/>
      <c r="IRS158" s="44"/>
      <c r="IRT158" s="7"/>
      <c r="IRU158" s="51"/>
      <c r="IRV158" s="52"/>
      <c r="IRW158" s="53"/>
      <c r="IRX158" s="54"/>
      <c r="IRY158" s="52"/>
      <c r="IRZ158" s="53"/>
      <c r="ISA158" s="54"/>
      <c r="ISB158" s="52"/>
      <c r="ISC158" s="53"/>
      <c r="ISD158" s="8"/>
      <c r="ISE158" s="45"/>
      <c r="ISF158" s="45"/>
      <c r="ISG158" s="46"/>
      <c r="ISH158" s="44"/>
      <c r="ISI158" s="7"/>
      <c r="ISJ158" s="51"/>
      <c r="ISK158" s="52"/>
      <c r="ISL158" s="53"/>
      <c r="ISM158" s="54"/>
      <c r="ISN158" s="52"/>
      <c r="ISO158" s="53"/>
      <c r="ISP158" s="54"/>
      <c r="ISQ158" s="52"/>
      <c r="ISR158" s="53"/>
      <c r="ISS158" s="8"/>
      <c r="IST158" s="45"/>
      <c r="ISU158" s="45"/>
      <c r="ISV158" s="46"/>
      <c r="ISW158" s="44"/>
      <c r="ISX158" s="7"/>
      <c r="ISY158" s="51"/>
      <c r="ISZ158" s="52"/>
      <c r="ITA158" s="53"/>
      <c r="ITB158" s="54"/>
      <c r="ITC158" s="52"/>
      <c r="ITD158" s="53"/>
      <c r="ITE158" s="54"/>
      <c r="ITF158" s="52"/>
      <c r="ITG158" s="53"/>
      <c r="ITH158" s="8"/>
      <c r="ITI158" s="45"/>
      <c r="ITJ158" s="45"/>
      <c r="ITK158" s="46"/>
      <c r="ITL158" s="44"/>
      <c r="ITM158" s="7"/>
      <c r="ITN158" s="51"/>
      <c r="ITO158" s="52"/>
      <c r="ITP158" s="53"/>
      <c r="ITQ158" s="54"/>
      <c r="ITR158" s="52"/>
      <c r="ITS158" s="53"/>
      <c r="ITT158" s="54"/>
      <c r="ITU158" s="52"/>
      <c r="ITV158" s="53"/>
      <c r="ITW158" s="8"/>
      <c r="ITX158" s="45"/>
      <c r="ITY158" s="45"/>
      <c r="ITZ158" s="46"/>
      <c r="IUA158" s="44"/>
      <c r="IUB158" s="7"/>
      <c r="IUC158" s="51"/>
      <c r="IUD158" s="52"/>
      <c r="IUE158" s="53"/>
      <c r="IUF158" s="54"/>
      <c r="IUG158" s="52"/>
      <c r="IUH158" s="53"/>
      <c r="IUI158" s="54"/>
      <c r="IUJ158" s="52"/>
      <c r="IUK158" s="53"/>
      <c r="IUL158" s="8"/>
      <c r="IUM158" s="45"/>
      <c r="IUN158" s="45"/>
      <c r="IUO158" s="46"/>
      <c r="IUP158" s="44"/>
      <c r="IUQ158" s="7"/>
      <c r="IUR158" s="51"/>
      <c r="IUS158" s="52"/>
      <c r="IUT158" s="53"/>
      <c r="IUU158" s="54"/>
      <c r="IUV158" s="52"/>
      <c r="IUW158" s="53"/>
      <c r="IUX158" s="54"/>
      <c r="IUY158" s="52"/>
      <c r="IUZ158" s="53"/>
      <c r="IVA158" s="8"/>
      <c r="IVB158" s="45"/>
      <c r="IVC158" s="45"/>
      <c r="IVD158" s="46"/>
      <c r="IVE158" s="44"/>
      <c r="IVF158" s="7"/>
      <c r="IVG158" s="51"/>
      <c r="IVH158" s="52"/>
      <c r="IVI158" s="53"/>
      <c r="IVJ158" s="54"/>
      <c r="IVK158" s="52"/>
      <c r="IVL158" s="53"/>
      <c r="IVM158" s="54"/>
      <c r="IVN158" s="52"/>
      <c r="IVO158" s="53"/>
      <c r="IVP158" s="8"/>
      <c r="IVQ158" s="45"/>
      <c r="IVR158" s="45"/>
      <c r="IVS158" s="46"/>
      <c r="IVT158" s="44"/>
      <c r="IVU158" s="7"/>
      <c r="IVV158" s="51"/>
      <c r="IVW158" s="52"/>
      <c r="IVX158" s="53"/>
      <c r="IVY158" s="54"/>
      <c r="IVZ158" s="52"/>
      <c r="IWA158" s="53"/>
      <c r="IWB158" s="54"/>
      <c r="IWC158" s="52"/>
      <c r="IWD158" s="53"/>
      <c r="IWE158" s="8"/>
      <c r="IWF158" s="45"/>
      <c r="IWG158" s="45"/>
      <c r="IWH158" s="46"/>
      <c r="IWI158" s="44"/>
      <c r="IWJ158" s="7"/>
      <c r="IWK158" s="51"/>
      <c r="IWL158" s="52"/>
      <c r="IWM158" s="53"/>
      <c r="IWN158" s="54"/>
      <c r="IWO158" s="52"/>
      <c r="IWP158" s="53"/>
      <c r="IWQ158" s="54"/>
      <c r="IWR158" s="52"/>
      <c r="IWS158" s="53"/>
      <c r="IWT158" s="8"/>
      <c r="IWU158" s="45"/>
      <c r="IWV158" s="45"/>
      <c r="IWW158" s="46"/>
      <c r="IWX158" s="44"/>
      <c r="IWY158" s="7"/>
      <c r="IWZ158" s="51"/>
      <c r="IXA158" s="52"/>
      <c r="IXB158" s="53"/>
      <c r="IXC158" s="54"/>
      <c r="IXD158" s="52"/>
      <c r="IXE158" s="53"/>
      <c r="IXF158" s="54"/>
      <c r="IXG158" s="52"/>
      <c r="IXH158" s="53"/>
      <c r="IXI158" s="8"/>
      <c r="IXJ158" s="45"/>
      <c r="IXK158" s="45"/>
      <c r="IXL158" s="46"/>
      <c r="IXM158" s="44"/>
      <c r="IXN158" s="7"/>
      <c r="IXO158" s="51"/>
      <c r="IXP158" s="52"/>
      <c r="IXQ158" s="53"/>
      <c r="IXR158" s="54"/>
      <c r="IXS158" s="52"/>
      <c r="IXT158" s="53"/>
      <c r="IXU158" s="54"/>
      <c r="IXV158" s="52"/>
      <c r="IXW158" s="53"/>
      <c r="IXX158" s="8"/>
      <c r="IXY158" s="45"/>
      <c r="IXZ158" s="45"/>
      <c r="IYA158" s="46"/>
      <c r="IYB158" s="44"/>
      <c r="IYC158" s="7"/>
      <c r="IYD158" s="51"/>
      <c r="IYE158" s="52"/>
      <c r="IYF158" s="53"/>
      <c r="IYG158" s="54"/>
      <c r="IYH158" s="52"/>
      <c r="IYI158" s="53"/>
      <c r="IYJ158" s="54"/>
      <c r="IYK158" s="52"/>
      <c r="IYL158" s="53"/>
      <c r="IYM158" s="8"/>
      <c r="IYN158" s="45"/>
      <c r="IYO158" s="45"/>
      <c r="IYP158" s="46"/>
      <c r="IYQ158" s="44"/>
      <c r="IYR158" s="7"/>
      <c r="IYS158" s="51"/>
      <c r="IYT158" s="52"/>
      <c r="IYU158" s="53"/>
      <c r="IYV158" s="54"/>
      <c r="IYW158" s="52"/>
      <c r="IYX158" s="53"/>
      <c r="IYY158" s="54"/>
      <c r="IYZ158" s="52"/>
      <c r="IZA158" s="53"/>
      <c r="IZB158" s="8"/>
      <c r="IZC158" s="45"/>
      <c r="IZD158" s="45"/>
      <c r="IZE158" s="46"/>
      <c r="IZF158" s="44"/>
      <c r="IZG158" s="7"/>
      <c r="IZH158" s="51"/>
      <c r="IZI158" s="52"/>
      <c r="IZJ158" s="53"/>
      <c r="IZK158" s="54"/>
      <c r="IZL158" s="52"/>
      <c r="IZM158" s="53"/>
      <c r="IZN158" s="54"/>
      <c r="IZO158" s="52"/>
      <c r="IZP158" s="53"/>
      <c r="IZQ158" s="8"/>
      <c r="IZR158" s="45"/>
      <c r="IZS158" s="45"/>
      <c r="IZT158" s="46"/>
      <c r="IZU158" s="44"/>
      <c r="IZV158" s="7"/>
      <c r="IZW158" s="51"/>
      <c r="IZX158" s="52"/>
      <c r="IZY158" s="53"/>
      <c r="IZZ158" s="54"/>
      <c r="JAA158" s="52"/>
      <c r="JAB158" s="53"/>
      <c r="JAC158" s="54"/>
      <c r="JAD158" s="52"/>
      <c r="JAE158" s="53"/>
      <c r="JAF158" s="8"/>
      <c r="JAG158" s="45"/>
      <c r="JAH158" s="45"/>
      <c r="JAI158" s="46"/>
      <c r="JAJ158" s="44"/>
      <c r="JAK158" s="7"/>
      <c r="JAL158" s="51"/>
      <c r="JAM158" s="52"/>
      <c r="JAN158" s="53"/>
      <c r="JAO158" s="54"/>
      <c r="JAP158" s="52"/>
      <c r="JAQ158" s="53"/>
      <c r="JAR158" s="54"/>
      <c r="JAS158" s="52"/>
      <c r="JAT158" s="53"/>
      <c r="JAU158" s="8"/>
      <c r="JAV158" s="45"/>
      <c r="JAW158" s="45"/>
      <c r="JAX158" s="46"/>
      <c r="JAY158" s="44"/>
      <c r="JAZ158" s="7"/>
      <c r="JBA158" s="51"/>
      <c r="JBB158" s="52"/>
      <c r="JBC158" s="53"/>
      <c r="JBD158" s="54"/>
      <c r="JBE158" s="52"/>
      <c r="JBF158" s="53"/>
      <c r="JBG158" s="54"/>
      <c r="JBH158" s="52"/>
      <c r="JBI158" s="53"/>
      <c r="JBJ158" s="8"/>
      <c r="JBK158" s="45"/>
      <c r="JBL158" s="45"/>
      <c r="JBM158" s="46"/>
      <c r="JBN158" s="44"/>
      <c r="JBO158" s="7"/>
      <c r="JBP158" s="51"/>
      <c r="JBQ158" s="52"/>
      <c r="JBR158" s="53"/>
      <c r="JBS158" s="54"/>
      <c r="JBT158" s="52"/>
      <c r="JBU158" s="53"/>
      <c r="JBV158" s="54"/>
      <c r="JBW158" s="52"/>
      <c r="JBX158" s="53"/>
      <c r="JBY158" s="8"/>
      <c r="JBZ158" s="45"/>
      <c r="JCA158" s="45"/>
      <c r="JCB158" s="46"/>
      <c r="JCC158" s="44"/>
      <c r="JCD158" s="7"/>
      <c r="JCE158" s="51"/>
      <c r="JCF158" s="52"/>
      <c r="JCG158" s="53"/>
      <c r="JCH158" s="54"/>
      <c r="JCI158" s="52"/>
      <c r="JCJ158" s="53"/>
      <c r="JCK158" s="54"/>
      <c r="JCL158" s="52"/>
      <c r="JCM158" s="53"/>
      <c r="JCN158" s="8"/>
      <c r="JCO158" s="45"/>
      <c r="JCP158" s="45"/>
      <c r="JCQ158" s="46"/>
      <c r="JCR158" s="44"/>
      <c r="JCS158" s="7"/>
      <c r="JCT158" s="51"/>
      <c r="JCU158" s="52"/>
      <c r="JCV158" s="53"/>
      <c r="JCW158" s="54"/>
      <c r="JCX158" s="52"/>
      <c r="JCY158" s="53"/>
      <c r="JCZ158" s="54"/>
      <c r="JDA158" s="52"/>
      <c r="JDB158" s="53"/>
      <c r="JDC158" s="8"/>
      <c r="JDD158" s="45"/>
      <c r="JDE158" s="45"/>
      <c r="JDF158" s="46"/>
      <c r="JDG158" s="44"/>
      <c r="JDH158" s="7"/>
      <c r="JDI158" s="51"/>
      <c r="JDJ158" s="52"/>
      <c r="JDK158" s="53"/>
      <c r="JDL158" s="54"/>
      <c r="JDM158" s="52"/>
      <c r="JDN158" s="53"/>
      <c r="JDO158" s="54"/>
      <c r="JDP158" s="52"/>
      <c r="JDQ158" s="53"/>
      <c r="JDR158" s="8"/>
      <c r="JDS158" s="45"/>
      <c r="JDT158" s="45"/>
      <c r="JDU158" s="46"/>
      <c r="JDV158" s="44"/>
      <c r="JDW158" s="7"/>
      <c r="JDX158" s="51"/>
      <c r="JDY158" s="52"/>
      <c r="JDZ158" s="53"/>
      <c r="JEA158" s="54"/>
      <c r="JEB158" s="52"/>
      <c r="JEC158" s="53"/>
      <c r="JED158" s="54"/>
      <c r="JEE158" s="52"/>
      <c r="JEF158" s="53"/>
      <c r="JEG158" s="8"/>
      <c r="JEH158" s="45"/>
      <c r="JEI158" s="45"/>
      <c r="JEJ158" s="46"/>
      <c r="JEK158" s="44"/>
      <c r="JEL158" s="7"/>
      <c r="JEM158" s="51"/>
      <c r="JEN158" s="52"/>
      <c r="JEO158" s="53"/>
      <c r="JEP158" s="54"/>
      <c r="JEQ158" s="52"/>
      <c r="JER158" s="53"/>
      <c r="JES158" s="54"/>
      <c r="JET158" s="52"/>
      <c r="JEU158" s="53"/>
      <c r="JEV158" s="8"/>
      <c r="JEW158" s="45"/>
      <c r="JEX158" s="45"/>
      <c r="JEY158" s="46"/>
      <c r="JEZ158" s="44"/>
      <c r="JFA158" s="7"/>
      <c r="JFB158" s="51"/>
      <c r="JFC158" s="52"/>
      <c r="JFD158" s="53"/>
      <c r="JFE158" s="54"/>
      <c r="JFF158" s="52"/>
      <c r="JFG158" s="53"/>
      <c r="JFH158" s="54"/>
      <c r="JFI158" s="52"/>
      <c r="JFJ158" s="53"/>
      <c r="JFK158" s="8"/>
      <c r="JFL158" s="45"/>
      <c r="JFM158" s="45"/>
      <c r="JFN158" s="46"/>
      <c r="JFO158" s="44"/>
      <c r="JFP158" s="7"/>
      <c r="JFQ158" s="51"/>
      <c r="JFR158" s="52"/>
      <c r="JFS158" s="53"/>
      <c r="JFT158" s="54"/>
      <c r="JFU158" s="52"/>
      <c r="JFV158" s="53"/>
      <c r="JFW158" s="54"/>
      <c r="JFX158" s="52"/>
      <c r="JFY158" s="53"/>
      <c r="JFZ158" s="8"/>
      <c r="JGA158" s="45"/>
      <c r="JGB158" s="45"/>
      <c r="JGC158" s="46"/>
      <c r="JGD158" s="44"/>
      <c r="JGE158" s="7"/>
      <c r="JGF158" s="51"/>
      <c r="JGG158" s="52"/>
      <c r="JGH158" s="53"/>
      <c r="JGI158" s="54"/>
      <c r="JGJ158" s="52"/>
      <c r="JGK158" s="53"/>
      <c r="JGL158" s="54"/>
      <c r="JGM158" s="52"/>
      <c r="JGN158" s="53"/>
      <c r="JGO158" s="8"/>
      <c r="JGP158" s="45"/>
      <c r="JGQ158" s="45"/>
      <c r="JGR158" s="46"/>
      <c r="JGS158" s="44"/>
      <c r="JGT158" s="7"/>
      <c r="JGU158" s="51"/>
      <c r="JGV158" s="52"/>
      <c r="JGW158" s="53"/>
      <c r="JGX158" s="54"/>
      <c r="JGY158" s="52"/>
      <c r="JGZ158" s="53"/>
      <c r="JHA158" s="54"/>
      <c r="JHB158" s="52"/>
      <c r="JHC158" s="53"/>
      <c r="JHD158" s="8"/>
      <c r="JHE158" s="45"/>
      <c r="JHF158" s="45"/>
      <c r="JHG158" s="46"/>
      <c r="JHH158" s="44"/>
      <c r="JHI158" s="7"/>
      <c r="JHJ158" s="51"/>
      <c r="JHK158" s="52"/>
      <c r="JHL158" s="53"/>
      <c r="JHM158" s="54"/>
      <c r="JHN158" s="52"/>
      <c r="JHO158" s="53"/>
      <c r="JHP158" s="54"/>
      <c r="JHQ158" s="52"/>
      <c r="JHR158" s="53"/>
      <c r="JHS158" s="8"/>
      <c r="JHT158" s="45"/>
      <c r="JHU158" s="45"/>
      <c r="JHV158" s="46"/>
      <c r="JHW158" s="44"/>
      <c r="JHX158" s="7"/>
      <c r="JHY158" s="51"/>
      <c r="JHZ158" s="52"/>
      <c r="JIA158" s="53"/>
      <c r="JIB158" s="54"/>
      <c r="JIC158" s="52"/>
      <c r="JID158" s="53"/>
      <c r="JIE158" s="54"/>
      <c r="JIF158" s="52"/>
      <c r="JIG158" s="53"/>
      <c r="JIH158" s="8"/>
      <c r="JII158" s="45"/>
      <c r="JIJ158" s="45"/>
      <c r="JIK158" s="46"/>
      <c r="JIL158" s="44"/>
      <c r="JIM158" s="7"/>
      <c r="JIN158" s="51"/>
      <c r="JIO158" s="52"/>
      <c r="JIP158" s="53"/>
      <c r="JIQ158" s="54"/>
      <c r="JIR158" s="52"/>
      <c r="JIS158" s="53"/>
      <c r="JIT158" s="54"/>
      <c r="JIU158" s="52"/>
      <c r="JIV158" s="53"/>
      <c r="JIW158" s="8"/>
      <c r="JIX158" s="45"/>
      <c r="JIY158" s="45"/>
      <c r="JIZ158" s="46"/>
      <c r="JJA158" s="44"/>
      <c r="JJB158" s="7"/>
      <c r="JJC158" s="51"/>
      <c r="JJD158" s="52"/>
      <c r="JJE158" s="53"/>
      <c r="JJF158" s="54"/>
      <c r="JJG158" s="52"/>
      <c r="JJH158" s="53"/>
      <c r="JJI158" s="54"/>
      <c r="JJJ158" s="52"/>
      <c r="JJK158" s="53"/>
      <c r="JJL158" s="8"/>
      <c r="JJM158" s="45"/>
      <c r="JJN158" s="45"/>
      <c r="JJO158" s="46"/>
      <c r="JJP158" s="44"/>
      <c r="JJQ158" s="7"/>
      <c r="JJR158" s="51"/>
      <c r="JJS158" s="52"/>
      <c r="JJT158" s="53"/>
      <c r="JJU158" s="54"/>
      <c r="JJV158" s="52"/>
      <c r="JJW158" s="53"/>
      <c r="JJX158" s="54"/>
      <c r="JJY158" s="52"/>
      <c r="JJZ158" s="53"/>
      <c r="JKA158" s="8"/>
      <c r="JKB158" s="45"/>
      <c r="JKC158" s="45"/>
      <c r="JKD158" s="46"/>
      <c r="JKE158" s="44"/>
      <c r="JKF158" s="7"/>
      <c r="JKG158" s="51"/>
      <c r="JKH158" s="52"/>
      <c r="JKI158" s="53"/>
      <c r="JKJ158" s="54"/>
      <c r="JKK158" s="52"/>
      <c r="JKL158" s="53"/>
      <c r="JKM158" s="54"/>
      <c r="JKN158" s="52"/>
      <c r="JKO158" s="53"/>
      <c r="JKP158" s="8"/>
      <c r="JKQ158" s="45"/>
      <c r="JKR158" s="45"/>
      <c r="JKS158" s="46"/>
      <c r="JKT158" s="44"/>
      <c r="JKU158" s="7"/>
      <c r="JKV158" s="51"/>
      <c r="JKW158" s="52"/>
      <c r="JKX158" s="53"/>
      <c r="JKY158" s="54"/>
      <c r="JKZ158" s="52"/>
      <c r="JLA158" s="53"/>
      <c r="JLB158" s="54"/>
      <c r="JLC158" s="52"/>
      <c r="JLD158" s="53"/>
      <c r="JLE158" s="8"/>
      <c r="JLF158" s="45"/>
      <c r="JLG158" s="45"/>
      <c r="JLH158" s="46"/>
      <c r="JLI158" s="44"/>
      <c r="JLJ158" s="7"/>
      <c r="JLK158" s="51"/>
      <c r="JLL158" s="52"/>
      <c r="JLM158" s="53"/>
      <c r="JLN158" s="54"/>
      <c r="JLO158" s="52"/>
      <c r="JLP158" s="53"/>
      <c r="JLQ158" s="54"/>
      <c r="JLR158" s="52"/>
      <c r="JLS158" s="53"/>
      <c r="JLT158" s="8"/>
      <c r="JLU158" s="45"/>
      <c r="JLV158" s="45"/>
      <c r="JLW158" s="46"/>
      <c r="JLX158" s="44"/>
      <c r="JLY158" s="7"/>
      <c r="JLZ158" s="51"/>
      <c r="JMA158" s="52"/>
      <c r="JMB158" s="53"/>
      <c r="JMC158" s="54"/>
      <c r="JMD158" s="52"/>
      <c r="JME158" s="53"/>
      <c r="JMF158" s="54"/>
      <c r="JMG158" s="52"/>
      <c r="JMH158" s="53"/>
      <c r="JMI158" s="8"/>
      <c r="JMJ158" s="45"/>
      <c r="JMK158" s="45"/>
      <c r="JML158" s="46"/>
      <c r="JMM158" s="44"/>
      <c r="JMN158" s="7"/>
      <c r="JMO158" s="51"/>
      <c r="JMP158" s="52"/>
      <c r="JMQ158" s="53"/>
      <c r="JMR158" s="54"/>
      <c r="JMS158" s="52"/>
      <c r="JMT158" s="53"/>
      <c r="JMU158" s="54"/>
      <c r="JMV158" s="52"/>
      <c r="JMW158" s="53"/>
      <c r="JMX158" s="8"/>
      <c r="JMY158" s="45"/>
      <c r="JMZ158" s="45"/>
      <c r="JNA158" s="46"/>
      <c r="JNB158" s="44"/>
      <c r="JNC158" s="7"/>
      <c r="JND158" s="51"/>
      <c r="JNE158" s="52"/>
      <c r="JNF158" s="53"/>
      <c r="JNG158" s="54"/>
      <c r="JNH158" s="52"/>
      <c r="JNI158" s="53"/>
      <c r="JNJ158" s="54"/>
      <c r="JNK158" s="52"/>
      <c r="JNL158" s="53"/>
      <c r="JNM158" s="8"/>
      <c r="JNN158" s="45"/>
      <c r="JNO158" s="45"/>
      <c r="JNP158" s="46"/>
      <c r="JNQ158" s="44"/>
      <c r="JNR158" s="7"/>
      <c r="JNS158" s="51"/>
      <c r="JNT158" s="52"/>
      <c r="JNU158" s="53"/>
      <c r="JNV158" s="54"/>
      <c r="JNW158" s="52"/>
      <c r="JNX158" s="53"/>
      <c r="JNY158" s="54"/>
      <c r="JNZ158" s="52"/>
      <c r="JOA158" s="53"/>
      <c r="JOB158" s="8"/>
      <c r="JOC158" s="45"/>
      <c r="JOD158" s="45"/>
      <c r="JOE158" s="46"/>
      <c r="JOF158" s="44"/>
      <c r="JOG158" s="7"/>
      <c r="JOH158" s="51"/>
      <c r="JOI158" s="52"/>
      <c r="JOJ158" s="53"/>
      <c r="JOK158" s="54"/>
      <c r="JOL158" s="52"/>
      <c r="JOM158" s="53"/>
      <c r="JON158" s="54"/>
      <c r="JOO158" s="52"/>
      <c r="JOP158" s="53"/>
      <c r="JOQ158" s="8"/>
      <c r="JOR158" s="45"/>
      <c r="JOS158" s="45"/>
      <c r="JOT158" s="46"/>
      <c r="JOU158" s="44"/>
      <c r="JOV158" s="7"/>
      <c r="JOW158" s="51"/>
      <c r="JOX158" s="52"/>
      <c r="JOY158" s="53"/>
      <c r="JOZ158" s="54"/>
      <c r="JPA158" s="52"/>
      <c r="JPB158" s="53"/>
      <c r="JPC158" s="54"/>
      <c r="JPD158" s="52"/>
      <c r="JPE158" s="53"/>
      <c r="JPF158" s="8"/>
      <c r="JPG158" s="45"/>
      <c r="JPH158" s="45"/>
      <c r="JPI158" s="46"/>
      <c r="JPJ158" s="44"/>
      <c r="JPK158" s="7"/>
      <c r="JPL158" s="51"/>
      <c r="JPM158" s="52"/>
      <c r="JPN158" s="53"/>
      <c r="JPO158" s="54"/>
      <c r="JPP158" s="52"/>
      <c r="JPQ158" s="53"/>
      <c r="JPR158" s="54"/>
      <c r="JPS158" s="52"/>
      <c r="JPT158" s="53"/>
      <c r="JPU158" s="8"/>
      <c r="JPV158" s="45"/>
      <c r="JPW158" s="45"/>
      <c r="JPX158" s="46"/>
      <c r="JPY158" s="44"/>
      <c r="JPZ158" s="7"/>
      <c r="JQA158" s="51"/>
      <c r="JQB158" s="52"/>
      <c r="JQC158" s="53"/>
      <c r="JQD158" s="54"/>
      <c r="JQE158" s="52"/>
      <c r="JQF158" s="53"/>
      <c r="JQG158" s="54"/>
      <c r="JQH158" s="52"/>
      <c r="JQI158" s="53"/>
      <c r="JQJ158" s="8"/>
      <c r="JQK158" s="45"/>
      <c r="JQL158" s="45"/>
      <c r="JQM158" s="46"/>
      <c r="JQN158" s="44"/>
      <c r="JQO158" s="7"/>
      <c r="JQP158" s="51"/>
      <c r="JQQ158" s="52"/>
      <c r="JQR158" s="53"/>
      <c r="JQS158" s="54"/>
      <c r="JQT158" s="52"/>
      <c r="JQU158" s="53"/>
      <c r="JQV158" s="54"/>
      <c r="JQW158" s="52"/>
      <c r="JQX158" s="53"/>
      <c r="JQY158" s="8"/>
      <c r="JQZ158" s="45"/>
      <c r="JRA158" s="45"/>
      <c r="JRB158" s="46"/>
      <c r="JRC158" s="44"/>
      <c r="JRD158" s="7"/>
      <c r="JRE158" s="51"/>
      <c r="JRF158" s="52"/>
      <c r="JRG158" s="53"/>
      <c r="JRH158" s="54"/>
      <c r="JRI158" s="52"/>
      <c r="JRJ158" s="53"/>
      <c r="JRK158" s="54"/>
      <c r="JRL158" s="52"/>
      <c r="JRM158" s="53"/>
      <c r="JRN158" s="8"/>
      <c r="JRO158" s="45"/>
      <c r="JRP158" s="45"/>
      <c r="JRQ158" s="46"/>
      <c r="JRR158" s="44"/>
      <c r="JRS158" s="7"/>
      <c r="JRT158" s="51"/>
      <c r="JRU158" s="52"/>
      <c r="JRV158" s="53"/>
      <c r="JRW158" s="54"/>
      <c r="JRX158" s="52"/>
      <c r="JRY158" s="53"/>
      <c r="JRZ158" s="54"/>
      <c r="JSA158" s="52"/>
      <c r="JSB158" s="53"/>
      <c r="JSC158" s="8"/>
      <c r="JSD158" s="45"/>
      <c r="JSE158" s="45"/>
      <c r="JSF158" s="46"/>
      <c r="JSG158" s="44"/>
      <c r="JSH158" s="7"/>
      <c r="JSI158" s="51"/>
      <c r="JSJ158" s="52"/>
      <c r="JSK158" s="53"/>
      <c r="JSL158" s="54"/>
      <c r="JSM158" s="52"/>
      <c r="JSN158" s="53"/>
      <c r="JSO158" s="54"/>
      <c r="JSP158" s="52"/>
      <c r="JSQ158" s="53"/>
      <c r="JSR158" s="8"/>
      <c r="JSS158" s="45"/>
      <c r="JST158" s="45"/>
      <c r="JSU158" s="46"/>
      <c r="JSV158" s="44"/>
      <c r="JSW158" s="7"/>
      <c r="JSX158" s="51"/>
      <c r="JSY158" s="52"/>
      <c r="JSZ158" s="53"/>
      <c r="JTA158" s="54"/>
      <c r="JTB158" s="52"/>
      <c r="JTC158" s="53"/>
      <c r="JTD158" s="54"/>
      <c r="JTE158" s="52"/>
      <c r="JTF158" s="53"/>
      <c r="JTG158" s="8"/>
      <c r="JTH158" s="45"/>
      <c r="JTI158" s="45"/>
      <c r="JTJ158" s="46"/>
      <c r="JTK158" s="44"/>
      <c r="JTL158" s="7"/>
      <c r="JTM158" s="51"/>
      <c r="JTN158" s="52"/>
      <c r="JTO158" s="53"/>
      <c r="JTP158" s="54"/>
      <c r="JTQ158" s="52"/>
      <c r="JTR158" s="53"/>
      <c r="JTS158" s="54"/>
      <c r="JTT158" s="52"/>
      <c r="JTU158" s="53"/>
      <c r="JTV158" s="8"/>
      <c r="JTW158" s="45"/>
      <c r="JTX158" s="45"/>
      <c r="JTY158" s="46"/>
      <c r="JTZ158" s="44"/>
      <c r="JUA158" s="7"/>
      <c r="JUB158" s="51"/>
      <c r="JUC158" s="52"/>
      <c r="JUD158" s="53"/>
      <c r="JUE158" s="54"/>
      <c r="JUF158" s="52"/>
      <c r="JUG158" s="53"/>
      <c r="JUH158" s="54"/>
      <c r="JUI158" s="52"/>
      <c r="JUJ158" s="53"/>
      <c r="JUK158" s="8"/>
      <c r="JUL158" s="45"/>
      <c r="JUM158" s="45"/>
      <c r="JUN158" s="46"/>
      <c r="JUO158" s="44"/>
      <c r="JUP158" s="7"/>
      <c r="JUQ158" s="51"/>
      <c r="JUR158" s="52"/>
      <c r="JUS158" s="53"/>
      <c r="JUT158" s="54"/>
      <c r="JUU158" s="52"/>
      <c r="JUV158" s="53"/>
      <c r="JUW158" s="54"/>
      <c r="JUX158" s="52"/>
      <c r="JUY158" s="53"/>
      <c r="JUZ158" s="8"/>
      <c r="JVA158" s="45"/>
      <c r="JVB158" s="45"/>
      <c r="JVC158" s="46"/>
      <c r="JVD158" s="44"/>
      <c r="JVE158" s="7"/>
      <c r="JVF158" s="51"/>
      <c r="JVG158" s="52"/>
      <c r="JVH158" s="53"/>
      <c r="JVI158" s="54"/>
      <c r="JVJ158" s="52"/>
      <c r="JVK158" s="53"/>
      <c r="JVL158" s="54"/>
      <c r="JVM158" s="52"/>
      <c r="JVN158" s="53"/>
      <c r="JVO158" s="8"/>
      <c r="JVP158" s="45"/>
      <c r="JVQ158" s="45"/>
      <c r="JVR158" s="46"/>
      <c r="JVS158" s="44"/>
      <c r="JVT158" s="7"/>
      <c r="JVU158" s="51"/>
      <c r="JVV158" s="52"/>
      <c r="JVW158" s="53"/>
      <c r="JVX158" s="54"/>
      <c r="JVY158" s="52"/>
      <c r="JVZ158" s="53"/>
      <c r="JWA158" s="54"/>
      <c r="JWB158" s="52"/>
      <c r="JWC158" s="53"/>
      <c r="JWD158" s="8"/>
      <c r="JWE158" s="45"/>
      <c r="JWF158" s="45"/>
      <c r="JWG158" s="46"/>
      <c r="JWH158" s="44"/>
      <c r="JWI158" s="7"/>
      <c r="JWJ158" s="51"/>
      <c r="JWK158" s="52"/>
      <c r="JWL158" s="53"/>
      <c r="JWM158" s="54"/>
      <c r="JWN158" s="52"/>
      <c r="JWO158" s="53"/>
      <c r="JWP158" s="54"/>
      <c r="JWQ158" s="52"/>
      <c r="JWR158" s="53"/>
      <c r="JWS158" s="8"/>
      <c r="JWT158" s="45"/>
      <c r="JWU158" s="45"/>
      <c r="JWV158" s="46"/>
      <c r="JWW158" s="44"/>
      <c r="JWX158" s="7"/>
      <c r="JWY158" s="51"/>
      <c r="JWZ158" s="52"/>
      <c r="JXA158" s="53"/>
      <c r="JXB158" s="54"/>
      <c r="JXC158" s="52"/>
      <c r="JXD158" s="53"/>
      <c r="JXE158" s="54"/>
      <c r="JXF158" s="52"/>
      <c r="JXG158" s="53"/>
      <c r="JXH158" s="8"/>
      <c r="JXI158" s="45"/>
      <c r="JXJ158" s="45"/>
      <c r="JXK158" s="46"/>
      <c r="JXL158" s="44"/>
      <c r="JXM158" s="7"/>
      <c r="JXN158" s="51"/>
      <c r="JXO158" s="52"/>
      <c r="JXP158" s="53"/>
      <c r="JXQ158" s="54"/>
      <c r="JXR158" s="52"/>
      <c r="JXS158" s="53"/>
      <c r="JXT158" s="54"/>
      <c r="JXU158" s="52"/>
      <c r="JXV158" s="53"/>
      <c r="JXW158" s="8"/>
      <c r="JXX158" s="45"/>
      <c r="JXY158" s="45"/>
      <c r="JXZ158" s="46"/>
      <c r="JYA158" s="44"/>
      <c r="JYB158" s="7"/>
      <c r="JYC158" s="51"/>
      <c r="JYD158" s="52"/>
      <c r="JYE158" s="53"/>
      <c r="JYF158" s="54"/>
      <c r="JYG158" s="52"/>
      <c r="JYH158" s="53"/>
      <c r="JYI158" s="54"/>
      <c r="JYJ158" s="52"/>
      <c r="JYK158" s="53"/>
      <c r="JYL158" s="8"/>
      <c r="JYM158" s="45"/>
      <c r="JYN158" s="45"/>
      <c r="JYO158" s="46"/>
      <c r="JYP158" s="44"/>
      <c r="JYQ158" s="7"/>
      <c r="JYR158" s="51"/>
      <c r="JYS158" s="52"/>
      <c r="JYT158" s="53"/>
      <c r="JYU158" s="54"/>
      <c r="JYV158" s="52"/>
      <c r="JYW158" s="53"/>
      <c r="JYX158" s="54"/>
      <c r="JYY158" s="52"/>
      <c r="JYZ158" s="53"/>
      <c r="JZA158" s="8"/>
      <c r="JZB158" s="45"/>
      <c r="JZC158" s="45"/>
      <c r="JZD158" s="46"/>
      <c r="JZE158" s="44"/>
      <c r="JZF158" s="7"/>
      <c r="JZG158" s="51"/>
      <c r="JZH158" s="52"/>
      <c r="JZI158" s="53"/>
      <c r="JZJ158" s="54"/>
      <c r="JZK158" s="52"/>
      <c r="JZL158" s="53"/>
      <c r="JZM158" s="54"/>
      <c r="JZN158" s="52"/>
      <c r="JZO158" s="53"/>
      <c r="JZP158" s="8"/>
      <c r="JZQ158" s="45"/>
      <c r="JZR158" s="45"/>
      <c r="JZS158" s="46"/>
      <c r="JZT158" s="44"/>
      <c r="JZU158" s="7"/>
      <c r="JZV158" s="51"/>
      <c r="JZW158" s="52"/>
      <c r="JZX158" s="53"/>
      <c r="JZY158" s="54"/>
      <c r="JZZ158" s="52"/>
      <c r="KAA158" s="53"/>
      <c r="KAB158" s="54"/>
      <c r="KAC158" s="52"/>
      <c r="KAD158" s="53"/>
      <c r="KAE158" s="8"/>
      <c r="KAF158" s="45"/>
      <c r="KAG158" s="45"/>
      <c r="KAH158" s="46"/>
      <c r="KAI158" s="44"/>
      <c r="KAJ158" s="7"/>
      <c r="KAK158" s="51"/>
      <c r="KAL158" s="52"/>
      <c r="KAM158" s="53"/>
      <c r="KAN158" s="54"/>
      <c r="KAO158" s="52"/>
      <c r="KAP158" s="53"/>
      <c r="KAQ158" s="54"/>
      <c r="KAR158" s="52"/>
      <c r="KAS158" s="53"/>
      <c r="KAT158" s="8"/>
      <c r="KAU158" s="45"/>
      <c r="KAV158" s="45"/>
      <c r="KAW158" s="46"/>
      <c r="KAX158" s="44"/>
      <c r="KAY158" s="7"/>
      <c r="KAZ158" s="51"/>
      <c r="KBA158" s="52"/>
      <c r="KBB158" s="53"/>
      <c r="KBC158" s="54"/>
      <c r="KBD158" s="52"/>
      <c r="KBE158" s="53"/>
      <c r="KBF158" s="54"/>
      <c r="KBG158" s="52"/>
      <c r="KBH158" s="53"/>
      <c r="KBI158" s="8"/>
      <c r="KBJ158" s="45"/>
      <c r="KBK158" s="45"/>
      <c r="KBL158" s="46"/>
      <c r="KBM158" s="44"/>
      <c r="KBN158" s="7"/>
      <c r="KBO158" s="51"/>
      <c r="KBP158" s="52"/>
      <c r="KBQ158" s="53"/>
      <c r="KBR158" s="54"/>
      <c r="KBS158" s="52"/>
      <c r="KBT158" s="53"/>
      <c r="KBU158" s="54"/>
      <c r="KBV158" s="52"/>
      <c r="KBW158" s="53"/>
      <c r="KBX158" s="8"/>
      <c r="KBY158" s="45"/>
      <c r="KBZ158" s="45"/>
      <c r="KCA158" s="46"/>
      <c r="KCB158" s="44"/>
      <c r="KCC158" s="7"/>
      <c r="KCD158" s="51"/>
      <c r="KCE158" s="52"/>
      <c r="KCF158" s="53"/>
      <c r="KCG158" s="54"/>
      <c r="KCH158" s="52"/>
      <c r="KCI158" s="53"/>
      <c r="KCJ158" s="54"/>
      <c r="KCK158" s="52"/>
      <c r="KCL158" s="53"/>
      <c r="KCM158" s="8"/>
      <c r="KCN158" s="45"/>
      <c r="KCO158" s="45"/>
      <c r="KCP158" s="46"/>
      <c r="KCQ158" s="44"/>
      <c r="KCR158" s="7"/>
      <c r="KCS158" s="51"/>
      <c r="KCT158" s="52"/>
      <c r="KCU158" s="53"/>
      <c r="KCV158" s="54"/>
      <c r="KCW158" s="52"/>
      <c r="KCX158" s="53"/>
      <c r="KCY158" s="54"/>
      <c r="KCZ158" s="52"/>
      <c r="KDA158" s="53"/>
      <c r="KDB158" s="8"/>
      <c r="KDC158" s="45"/>
      <c r="KDD158" s="45"/>
      <c r="KDE158" s="46"/>
      <c r="KDF158" s="44"/>
      <c r="KDG158" s="7"/>
      <c r="KDH158" s="51"/>
      <c r="KDI158" s="52"/>
      <c r="KDJ158" s="53"/>
      <c r="KDK158" s="54"/>
      <c r="KDL158" s="52"/>
      <c r="KDM158" s="53"/>
      <c r="KDN158" s="54"/>
      <c r="KDO158" s="52"/>
      <c r="KDP158" s="53"/>
      <c r="KDQ158" s="8"/>
      <c r="KDR158" s="45"/>
      <c r="KDS158" s="45"/>
      <c r="KDT158" s="46"/>
      <c r="KDU158" s="44"/>
      <c r="KDV158" s="7"/>
      <c r="KDW158" s="51"/>
      <c r="KDX158" s="52"/>
      <c r="KDY158" s="53"/>
      <c r="KDZ158" s="54"/>
      <c r="KEA158" s="52"/>
      <c r="KEB158" s="53"/>
      <c r="KEC158" s="54"/>
      <c r="KED158" s="52"/>
      <c r="KEE158" s="53"/>
      <c r="KEF158" s="8"/>
      <c r="KEG158" s="45"/>
      <c r="KEH158" s="45"/>
      <c r="KEI158" s="46"/>
      <c r="KEJ158" s="44"/>
      <c r="KEK158" s="7"/>
      <c r="KEL158" s="51"/>
      <c r="KEM158" s="52"/>
      <c r="KEN158" s="53"/>
      <c r="KEO158" s="54"/>
      <c r="KEP158" s="52"/>
      <c r="KEQ158" s="53"/>
      <c r="KER158" s="54"/>
      <c r="KES158" s="52"/>
      <c r="KET158" s="53"/>
      <c r="KEU158" s="8"/>
      <c r="KEV158" s="45"/>
      <c r="KEW158" s="45"/>
      <c r="KEX158" s="46"/>
      <c r="KEY158" s="44"/>
      <c r="KEZ158" s="7"/>
      <c r="KFA158" s="51"/>
      <c r="KFB158" s="52"/>
      <c r="KFC158" s="53"/>
      <c r="KFD158" s="54"/>
      <c r="KFE158" s="52"/>
      <c r="KFF158" s="53"/>
      <c r="KFG158" s="54"/>
      <c r="KFH158" s="52"/>
      <c r="KFI158" s="53"/>
      <c r="KFJ158" s="8"/>
      <c r="KFK158" s="45"/>
      <c r="KFL158" s="45"/>
      <c r="KFM158" s="46"/>
      <c r="KFN158" s="44"/>
      <c r="KFO158" s="7"/>
      <c r="KFP158" s="51"/>
      <c r="KFQ158" s="52"/>
      <c r="KFR158" s="53"/>
      <c r="KFS158" s="54"/>
      <c r="KFT158" s="52"/>
      <c r="KFU158" s="53"/>
      <c r="KFV158" s="54"/>
      <c r="KFW158" s="52"/>
      <c r="KFX158" s="53"/>
      <c r="KFY158" s="8"/>
      <c r="KFZ158" s="45"/>
      <c r="KGA158" s="45"/>
      <c r="KGB158" s="46"/>
      <c r="KGC158" s="44"/>
      <c r="KGD158" s="7"/>
      <c r="KGE158" s="51"/>
      <c r="KGF158" s="52"/>
      <c r="KGG158" s="53"/>
      <c r="KGH158" s="54"/>
      <c r="KGI158" s="52"/>
      <c r="KGJ158" s="53"/>
      <c r="KGK158" s="54"/>
      <c r="KGL158" s="52"/>
      <c r="KGM158" s="53"/>
      <c r="KGN158" s="8"/>
      <c r="KGO158" s="45"/>
      <c r="KGP158" s="45"/>
      <c r="KGQ158" s="46"/>
      <c r="KGR158" s="44"/>
      <c r="KGS158" s="7"/>
      <c r="KGT158" s="51"/>
      <c r="KGU158" s="52"/>
      <c r="KGV158" s="53"/>
      <c r="KGW158" s="54"/>
      <c r="KGX158" s="52"/>
      <c r="KGY158" s="53"/>
      <c r="KGZ158" s="54"/>
      <c r="KHA158" s="52"/>
      <c r="KHB158" s="53"/>
      <c r="KHC158" s="8"/>
      <c r="KHD158" s="45"/>
      <c r="KHE158" s="45"/>
      <c r="KHF158" s="46"/>
      <c r="KHG158" s="44"/>
      <c r="KHH158" s="7"/>
      <c r="KHI158" s="51"/>
      <c r="KHJ158" s="52"/>
      <c r="KHK158" s="53"/>
      <c r="KHL158" s="54"/>
      <c r="KHM158" s="52"/>
      <c r="KHN158" s="53"/>
      <c r="KHO158" s="54"/>
      <c r="KHP158" s="52"/>
      <c r="KHQ158" s="53"/>
      <c r="KHR158" s="8"/>
      <c r="KHS158" s="45"/>
      <c r="KHT158" s="45"/>
      <c r="KHU158" s="46"/>
      <c r="KHV158" s="44"/>
      <c r="KHW158" s="7"/>
      <c r="KHX158" s="51"/>
      <c r="KHY158" s="52"/>
      <c r="KHZ158" s="53"/>
      <c r="KIA158" s="54"/>
      <c r="KIB158" s="52"/>
      <c r="KIC158" s="53"/>
      <c r="KID158" s="54"/>
      <c r="KIE158" s="52"/>
      <c r="KIF158" s="53"/>
      <c r="KIG158" s="8"/>
      <c r="KIH158" s="45"/>
      <c r="KII158" s="45"/>
      <c r="KIJ158" s="46"/>
      <c r="KIK158" s="44"/>
      <c r="KIL158" s="7"/>
      <c r="KIM158" s="51"/>
      <c r="KIN158" s="52"/>
      <c r="KIO158" s="53"/>
      <c r="KIP158" s="54"/>
      <c r="KIQ158" s="52"/>
      <c r="KIR158" s="53"/>
      <c r="KIS158" s="54"/>
      <c r="KIT158" s="52"/>
      <c r="KIU158" s="53"/>
      <c r="KIV158" s="8"/>
      <c r="KIW158" s="45"/>
      <c r="KIX158" s="45"/>
      <c r="KIY158" s="46"/>
      <c r="KIZ158" s="44"/>
      <c r="KJA158" s="7"/>
      <c r="KJB158" s="51"/>
      <c r="KJC158" s="52"/>
      <c r="KJD158" s="53"/>
      <c r="KJE158" s="54"/>
      <c r="KJF158" s="52"/>
      <c r="KJG158" s="53"/>
      <c r="KJH158" s="54"/>
      <c r="KJI158" s="52"/>
      <c r="KJJ158" s="53"/>
      <c r="KJK158" s="8"/>
      <c r="KJL158" s="45"/>
      <c r="KJM158" s="45"/>
      <c r="KJN158" s="46"/>
      <c r="KJO158" s="44"/>
      <c r="KJP158" s="7"/>
      <c r="KJQ158" s="51"/>
      <c r="KJR158" s="52"/>
      <c r="KJS158" s="53"/>
      <c r="KJT158" s="54"/>
      <c r="KJU158" s="52"/>
      <c r="KJV158" s="53"/>
      <c r="KJW158" s="54"/>
      <c r="KJX158" s="52"/>
      <c r="KJY158" s="53"/>
      <c r="KJZ158" s="8"/>
      <c r="KKA158" s="45"/>
      <c r="KKB158" s="45"/>
      <c r="KKC158" s="46"/>
      <c r="KKD158" s="44"/>
      <c r="KKE158" s="7"/>
      <c r="KKF158" s="51"/>
      <c r="KKG158" s="52"/>
      <c r="KKH158" s="53"/>
      <c r="KKI158" s="54"/>
      <c r="KKJ158" s="52"/>
      <c r="KKK158" s="53"/>
      <c r="KKL158" s="54"/>
      <c r="KKM158" s="52"/>
      <c r="KKN158" s="53"/>
      <c r="KKO158" s="8"/>
      <c r="KKP158" s="45"/>
      <c r="KKQ158" s="45"/>
      <c r="KKR158" s="46"/>
      <c r="KKS158" s="44"/>
      <c r="KKT158" s="7"/>
      <c r="KKU158" s="51"/>
      <c r="KKV158" s="52"/>
      <c r="KKW158" s="53"/>
      <c r="KKX158" s="54"/>
      <c r="KKY158" s="52"/>
      <c r="KKZ158" s="53"/>
      <c r="KLA158" s="54"/>
      <c r="KLB158" s="52"/>
      <c r="KLC158" s="53"/>
      <c r="KLD158" s="8"/>
      <c r="KLE158" s="45"/>
      <c r="KLF158" s="45"/>
      <c r="KLG158" s="46"/>
      <c r="KLH158" s="44"/>
      <c r="KLI158" s="7"/>
      <c r="KLJ158" s="51"/>
      <c r="KLK158" s="52"/>
      <c r="KLL158" s="53"/>
      <c r="KLM158" s="54"/>
      <c r="KLN158" s="52"/>
      <c r="KLO158" s="53"/>
      <c r="KLP158" s="54"/>
      <c r="KLQ158" s="52"/>
      <c r="KLR158" s="53"/>
      <c r="KLS158" s="8"/>
      <c r="KLT158" s="45"/>
      <c r="KLU158" s="45"/>
      <c r="KLV158" s="46"/>
      <c r="KLW158" s="44"/>
      <c r="KLX158" s="7"/>
      <c r="KLY158" s="51"/>
      <c r="KLZ158" s="52"/>
      <c r="KMA158" s="53"/>
      <c r="KMB158" s="54"/>
      <c r="KMC158" s="52"/>
      <c r="KMD158" s="53"/>
      <c r="KME158" s="54"/>
      <c r="KMF158" s="52"/>
      <c r="KMG158" s="53"/>
      <c r="KMH158" s="8"/>
      <c r="KMI158" s="45"/>
      <c r="KMJ158" s="45"/>
      <c r="KMK158" s="46"/>
      <c r="KML158" s="44"/>
      <c r="KMM158" s="7"/>
      <c r="KMN158" s="51"/>
      <c r="KMO158" s="52"/>
      <c r="KMP158" s="53"/>
      <c r="KMQ158" s="54"/>
      <c r="KMR158" s="52"/>
      <c r="KMS158" s="53"/>
      <c r="KMT158" s="54"/>
      <c r="KMU158" s="52"/>
      <c r="KMV158" s="53"/>
      <c r="KMW158" s="8"/>
      <c r="KMX158" s="45"/>
      <c r="KMY158" s="45"/>
      <c r="KMZ158" s="46"/>
      <c r="KNA158" s="44"/>
      <c r="KNB158" s="7"/>
      <c r="KNC158" s="51"/>
      <c r="KND158" s="52"/>
      <c r="KNE158" s="53"/>
      <c r="KNF158" s="54"/>
      <c r="KNG158" s="52"/>
      <c r="KNH158" s="53"/>
      <c r="KNI158" s="54"/>
      <c r="KNJ158" s="52"/>
      <c r="KNK158" s="53"/>
      <c r="KNL158" s="8"/>
      <c r="KNM158" s="45"/>
      <c r="KNN158" s="45"/>
      <c r="KNO158" s="46"/>
      <c r="KNP158" s="44"/>
      <c r="KNQ158" s="7"/>
      <c r="KNR158" s="51"/>
      <c r="KNS158" s="52"/>
      <c r="KNT158" s="53"/>
      <c r="KNU158" s="54"/>
      <c r="KNV158" s="52"/>
      <c r="KNW158" s="53"/>
      <c r="KNX158" s="54"/>
      <c r="KNY158" s="52"/>
      <c r="KNZ158" s="53"/>
      <c r="KOA158" s="8"/>
      <c r="KOB158" s="45"/>
      <c r="KOC158" s="45"/>
      <c r="KOD158" s="46"/>
      <c r="KOE158" s="44"/>
      <c r="KOF158" s="7"/>
      <c r="KOG158" s="51"/>
      <c r="KOH158" s="52"/>
      <c r="KOI158" s="53"/>
      <c r="KOJ158" s="54"/>
      <c r="KOK158" s="52"/>
      <c r="KOL158" s="53"/>
      <c r="KOM158" s="54"/>
      <c r="KON158" s="52"/>
      <c r="KOO158" s="53"/>
      <c r="KOP158" s="8"/>
      <c r="KOQ158" s="45"/>
      <c r="KOR158" s="45"/>
      <c r="KOS158" s="46"/>
      <c r="KOT158" s="44"/>
      <c r="KOU158" s="7"/>
      <c r="KOV158" s="51"/>
      <c r="KOW158" s="52"/>
      <c r="KOX158" s="53"/>
      <c r="KOY158" s="54"/>
      <c r="KOZ158" s="52"/>
      <c r="KPA158" s="53"/>
      <c r="KPB158" s="54"/>
      <c r="KPC158" s="52"/>
      <c r="KPD158" s="53"/>
      <c r="KPE158" s="8"/>
      <c r="KPF158" s="45"/>
      <c r="KPG158" s="45"/>
      <c r="KPH158" s="46"/>
      <c r="KPI158" s="44"/>
      <c r="KPJ158" s="7"/>
      <c r="KPK158" s="51"/>
      <c r="KPL158" s="52"/>
      <c r="KPM158" s="53"/>
      <c r="KPN158" s="54"/>
      <c r="KPO158" s="52"/>
      <c r="KPP158" s="53"/>
      <c r="KPQ158" s="54"/>
      <c r="KPR158" s="52"/>
      <c r="KPS158" s="53"/>
      <c r="KPT158" s="8"/>
      <c r="KPU158" s="45"/>
      <c r="KPV158" s="45"/>
      <c r="KPW158" s="46"/>
      <c r="KPX158" s="44"/>
      <c r="KPY158" s="7"/>
      <c r="KPZ158" s="51"/>
      <c r="KQA158" s="52"/>
      <c r="KQB158" s="53"/>
      <c r="KQC158" s="54"/>
      <c r="KQD158" s="52"/>
      <c r="KQE158" s="53"/>
      <c r="KQF158" s="54"/>
      <c r="KQG158" s="52"/>
      <c r="KQH158" s="53"/>
      <c r="KQI158" s="8"/>
      <c r="KQJ158" s="45"/>
      <c r="KQK158" s="45"/>
      <c r="KQL158" s="46"/>
      <c r="KQM158" s="44"/>
      <c r="KQN158" s="7"/>
      <c r="KQO158" s="51"/>
      <c r="KQP158" s="52"/>
      <c r="KQQ158" s="53"/>
      <c r="KQR158" s="54"/>
      <c r="KQS158" s="52"/>
      <c r="KQT158" s="53"/>
      <c r="KQU158" s="54"/>
      <c r="KQV158" s="52"/>
      <c r="KQW158" s="53"/>
      <c r="KQX158" s="8"/>
      <c r="KQY158" s="45"/>
      <c r="KQZ158" s="45"/>
      <c r="KRA158" s="46"/>
      <c r="KRB158" s="44"/>
      <c r="KRC158" s="7"/>
      <c r="KRD158" s="51"/>
      <c r="KRE158" s="52"/>
      <c r="KRF158" s="53"/>
      <c r="KRG158" s="54"/>
      <c r="KRH158" s="52"/>
      <c r="KRI158" s="53"/>
      <c r="KRJ158" s="54"/>
      <c r="KRK158" s="52"/>
      <c r="KRL158" s="53"/>
      <c r="KRM158" s="8"/>
      <c r="KRN158" s="45"/>
      <c r="KRO158" s="45"/>
      <c r="KRP158" s="46"/>
      <c r="KRQ158" s="44"/>
      <c r="KRR158" s="7"/>
      <c r="KRS158" s="51"/>
      <c r="KRT158" s="52"/>
      <c r="KRU158" s="53"/>
      <c r="KRV158" s="54"/>
      <c r="KRW158" s="52"/>
      <c r="KRX158" s="53"/>
      <c r="KRY158" s="54"/>
      <c r="KRZ158" s="52"/>
      <c r="KSA158" s="53"/>
      <c r="KSB158" s="8"/>
      <c r="KSC158" s="45"/>
      <c r="KSD158" s="45"/>
      <c r="KSE158" s="46"/>
      <c r="KSF158" s="44"/>
      <c r="KSG158" s="7"/>
      <c r="KSH158" s="51"/>
      <c r="KSI158" s="52"/>
      <c r="KSJ158" s="53"/>
      <c r="KSK158" s="54"/>
      <c r="KSL158" s="52"/>
      <c r="KSM158" s="53"/>
      <c r="KSN158" s="54"/>
      <c r="KSO158" s="52"/>
      <c r="KSP158" s="53"/>
      <c r="KSQ158" s="8"/>
      <c r="KSR158" s="45"/>
      <c r="KSS158" s="45"/>
      <c r="KST158" s="46"/>
      <c r="KSU158" s="44"/>
      <c r="KSV158" s="7"/>
      <c r="KSW158" s="51"/>
      <c r="KSX158" s="52"/>
      <c r="KSY158" s="53"/>
      <c r="KSZ158" s="54"/>
      <c r="KTA158" s="52"/>
      <c r="KTB158" s="53"/>
      <c r="KTC158" s="54"/>
      <c r="KTD158" s="52"/>
      <c r="KTE158" s="53"/>
      <c r="KTF158" s="8"/>
      <c r="KTG158" s="45"/>
      <c r="KTH158" s="45"/>
      <c r="KTI158" s="46"/>
      <c r="KTJ158" s="44"/>
      <c r="KTK158" s="7"/>
      <c r="KTL158" s="51"/>
      <c r="KTM158" s="52"/>
      <c r="KTN158" s="53"/>
      <c r="KTO158" s="54"/>
      <c r="KTP158" s="52"/>
      <c r="KTQ158" s="53"/>
      <c r="KTR158" s="54"/>
      <c r="KTS158" s="52"/>
      <c r="KTT158" s="53"/>
      <c r="KTU158" s="8"/>
      <c r="KTV158" s="45"/>
      <c r="KTW158" s="45"/>
      <c r="KTX158" s="46"/>
      <c r="KTY158" s="44"/>
      <c r="KTZ158" s="7"/>
      <c r="KUA158" s="51"/>
      <c r="KUB158" s="52"/>
      <c r="KUC158" s="53"/>
      <c r="KUD158" s="54"/>
      <c r="KUE158" s="52"/>
      <c r="KUF158" s="53"/>
      <c r="KUG158" s="54"/>
      <c r="KUH158" s="52"/>
      <c r="KUI158" s="53"/>
      <c r="KUJ158" s="8"/>
      <c r="KUK158" s="45"/>
      <c r="KUL158" s="45"/>
      <c r="KUM158" s="46"/>
      <c r="KUN158" s="44"/>
      <c r="KUO158" s="7"/>
      <c r="KUP158" s="51"/>
      <c r="KUQ158" s="52"/>
      <c r="KUR158" s="53"/>
      <c r="KUS158" s="54"/>
      <c r="KUT158" s="52"/>
      <c r="KUU158" s="53"/>
      <c r="KUV158" s="54"/>
      <c r="KUW158" s="52"/>
      <c r="KUX158" s="53"/>
      <c r="KUY158" s="8"/>
      <c r="KUZ158" s="45"/>
      <c r="KVA158" s="45"/>
      <c r="KVB158" s="46"/>
      <c r="KVC158" s="44"/>
      <c r="KVD158" s="7"/>
      <c r="KVE158" s="51"/>
      <c r="KVF158" s="52"/>
      <c r="KVG158" s="53"/>
      <c r="KVH158" s="54"/>
      <c r="KVI158" s="52"/>
      <c r="KVJ158" s="53"/>
      <c r="KVK158" s="54"/>
      <c r="KVL158" s="52"/>
      <c r="KVM158" s="53"/>
      <c r="KVN158" s="8"/>
      <c r="KVO158" s="45"/>
      <c r="KVP158" s="45"/>
      <c r="KVQ158" s="46"/>
      <c r="KVR158" s="44"/>
      <c r="KVS158" s="7"/>
      <c r="KVT158" s="51"/>
      <c r="KVU158" s="52"/>
      <c r="KVV158" s="53"/>
      <c r="KVW158" s="54"/>
      <c r="KVX158" s="52"/>
      <c r="KVY158" s="53"/>
      <c r="KVZ158" s="54"/>
      <c r="KWA158" s="52"/>
      <c r="KWB158" s="53"/>
      <c r="KWC158" s="8"/>
      <c r="KWD158" s="45"/>
      <c r="KWE158" s="45"/>
      <c r="KWF158" s="46"/>
      <c r="KWG158" s="44"/>
      <c r="KWH158" s="7"/>
      <c r="KWI158" s="51"/>
      <c r="KWJ158" s="52"/>
      <c r="KWK158" s="53"/>
      <c r="KWL158" s="54"/>
      <c r="KWM158" s="52"/>
      <c r="KWN158" s="53"/>
      <c r="KWO158" s="54"/>
      <c r="KWP158" s="52"/>
      <c r="KWQ158" s="53"/>
      <c r="KWR158" s="8"/>
      <c r="KWS158" s="45"/>
      <c r="KWT158" s="45"/>
      <c r="KWU158" s="46"/>
      <c r="KWV158" s="44"/>
      <c r="KWW158" s="7"/>
      <c r="KWX158" s="51"/>
      <c r="KWY158" s="52"/>
      <c r="KWZ158" s="53"/>
      <c r="KXA158" s="54"/>
      <c r="KXB158" s="52"/>
      <c r="KXC158" s="53"/>
      <c r="KXD158" s="54"/>
      <c r="KXE158" s="52"/>
      <c r="KXF158" s="53"/>
      <c r="KXG158" s="8"/>
      <c r="KXH158" s="45"/>
      <c r="KXI158" s="45"/>
      <c r="KXJ158" s="46"/>
      <c r="KXK158" s="44"/>
      <c r="KXL158" s="7"/>
      <c r="KXM158" s="51"/>
      <c r="KXN158" s="52"/>
      <c r="KXO158" s="53"/>
      <c r="KXP158" s="54"/>
      <c r="KXQ158" s="52"/>
      <c r="KXR158" s="53"/>
      <c r="KXS158" s="54"/>
      <c r="KXT158" s="52"/>
      <c r="KXU158" s="53"/>
      <c r="KXV158" s="8"/>
      <c r="KXW158" s="45"/>
      <c r="KXX158" s="45"/>
      <c r="KXY158" s="46"/>
      <c r="KXZ158" s="44"/>
      <c r="KYA158" s="7"/>
      <c r="KYB158" s="51"/>
      <c r="KYC158" s="52"/>
      <c r="KYD158" s="53"/>
      <c r="KYE158" s="54"/>
      <c r="KYF158" s="52"/>
      <c r="KYG158" s="53"/>
      <c r="KYH158" s="54"/>
      <c r="KYI158" s="52"/>
      <c r="KYJ158" s="53"/>
      <c r="KYK158" s="8"/>
      <c r="KYL158" s="45"/>
      <c r="KYM158" s="45"/>
      <c r="KYN158" s="46"/>
      <c r="KYO158" s="44"/>
      <c r="KYP158" s="7"/>
      <c r="KYQ158" s="51"/>
      <c r="KYR158" s="52"/>
      <c r="KYS158" s="53"/>
      <c r="KYT158" s="54"/>
      <c r="KYU158" s="52"/>
      <c r="KYV158" s="53"/>
      <c r="KYW158" s="54"/>
      <c r="KYX158" s="52"/>
      <c r="KYY158" s="53"/>
      <c r="KYZ158" s="8"/>
      <c r="KZA158" s="45"/>
      <c r="KZB158" s="45"/>
      <c r="KZC158" s="46"/>
      <c r="KZD158" s="44"/>
      <c r="KZE158" s="7"/>
      <c r="KZF158" s="51"/>
      <c r="KZG158" s="52"/>
      <c r="KZH158" s="53"/>
      <c r="KZI158" s="54"/>
      <c r="KZJ158" s="52"/>
      <c r="KZK158" s="53"/>
      <c r="KZL158" s="54"/>
      <c r="KZM158" s="52"/>
      <c r="KZN158" s="53"/>
      <c r="KZO158" s="8"/>
      <c r="KZP158" s="45"/>
      <c r="KZQ158" s="45"/>
      <c r="KZR158" s="46"/>
      <c r="KZS158" s="44"/>
      <c r="KZT158" s="7"/>
      <c r="KZU158" s="51"/>
      <c r="KZV158" s="52"/>
      <c r="KZW158" s="53"/>
      <c r="KZX158" s="54"/>
      <c r="KZY158" s="52"/>
      <c r="KZZ158" s="53"/>
      <c r="LAA158" s="54"/>
      <c r="LAB158" s="52"/>
      <c r="LAC158" s="53"/>
      <c r="LAD158" s="8"/>
      <c r="LAE158" s="45"/>
      <c r="LAF158" s="45"/>
      <c r="LAG158" s="46"/>
      <c r="LAH158" s="44"/>
      <c r="LAI158" s="7"/>
      <c r="LAJ158" s="51"/>
      <c r="LAK158" s="52"/>
      <c r="LAL158" s="53"/>
      <c r="LAM158" s="54"/>
      <c r="LAN158" s="52"/>
      <c r="LAO158" s="53"/>
      <c r="LAP158" s="54"/>
      <c r="LAQ158" s="52"/>
      <c r="LAR158" s="53"/>
      <c r="LAS158" s="8"/>
      <c r="LAT158" s="45"/>
      <c r="LAU158" s="45"/>
      <c r="LAV158" s="46"/>
      <c r="LAW158" s="44"/>
      <c r="LAX158" s="7"/>
      <c r="LAY158" s="51"/>
      <c r="LAZ158" s="52"/>
      <c r="LBA158" s="53"/>
      <c r="LBB158" s="54"/>
      <c r="LBC158" s="52"/>
      <c r="LBD158" s="53"/>
      <c r="LBE158" s="54"/>
      <c r="LBF158" s="52"/>
      <c r="LBG158" s="53"/>
      <c r="LBH158" s="8"/>
      <c r="LBI158" s="45"/>
      <c r="LBJ158" s="45"/>
      <c r="LBK158" s="46"/>
      <c r="LBL158" s="44"/>
      <c r="LBM158" s="7"/>
      <c r="LBN158" s="51"/>
      <c r="LBO158" s="52"/>
      <c r="LBP158" s="53"/>
      <c r="LBQ158" s="54"/>
      <c r="LBR158" s="52"/>
      <c r="LBS158" s="53"/>
      <c r="LBT158" s="54"/>
      <c r="LBU158" s="52"/>
      <c r="LBV158" s="53"/>
      <c r="LBW158" s="8"/>
      <c r="LBX158" s="45"/>
      <c r="LBY158" s="45"/>
      <c r="LBZ158" s="46"/>
      <c r="LCA158" s="44"/>
      <c r="LCB158" s="7"/>
      <c r="LCC158" s="51"/>
      <c r="LCD158" s="52"/>
      <c r="LCE158" s="53"/>
      <c r="LCF158" s="54"/>
      <c r="LCG158" s="52"/>
      <c r="LCH158" s="53"/>
      <c r="LCI158" s="54"/>
      <c r="LCJ158" s="52"/>
      <c r="LCK158" s="53"/>
      <c r="LCL158" s="8"/>
      <c r="LCM158" s="45"/>
      <c r="LCN158" s="45"/>
      <c r="LCO158" s="46"/>
      <c r="LCP158" s="44"/>
      <c r="LCQ158" s="7"/>
      <c r="LCR158" s="51"/>
      <c r="LCS158" s="52"/>
      <c r="LCT158" s="53"/>
      <c r="LCU158" s="54"/>
      <c r="LCV158" s="52"/>
      <c r="LCW158" s="53"/>
      <c r="LCX158" s="54"/>
      <c r="LCY158" s="52"/>
      <c r="LCZ158" s="53"/>
      <c r="LDA158" s="8"/>
      <c r="LDB158" s="45"/>
      <c r="LDC158" s="45"/>
      <c r="LDD158" s="46"/>
      <c r="LDE158" s="44"/>
      <c r="LDF158" s="7"/>
      <c r="LDG158" s="51"/>
      <c r="LDH158" s="52"/>
      <c r="LDI158" s="53"/>
      <c r="LDJ158" s="54"/>
      <c r="LDK158" s="52"/>
      <c r="LDL158" s="53"/>
      <c r="LDM158" s="54"/>
      <c r="LDN158" s="52"/>
      <c r="LDO158" s="53"/>
      <c r="LDP158" s="8"/>
      <c r="LDQ158" s="45"/>
      <c r="LDR158" s="45"/>
      <c r="LDS158" s="46"/>
      <c r="LDT158" s="44"/>
      <c r="LDU158" s="7"/>
      <c r="LDV158" s="51"/>
      <c r="LDW158" s="52"/>
      <c r="LDX158" s="53"/>
      <c r="LDY158" s="54"/>
      <c r="LDZ158" s="52"/>
      <c r="LEA158" s="53"/>
      <c r="LEB158" s="54"/>
      <c r="LEC158" s="52"/>
      <c r="LED158" s="53"/>
      <c r="LEE158" s="8"/>
      <c r="LEF158" s="45"/>
      <c r="LEG158" s="45"/>
      <c r="LEH158" s="46"/>
      <c r="LEI158" s="44"/>
      <c r="LEJ158" s="7"/>
      <c r="LEK158" s="51"/>
      <c r="LEL158" s="52"/>
      <c r="LEM158" s="53"/>
      <c r="LEN158" s="54"/>
      <c r="LEO158" s="52"/>
      <c r="LEP158" s="53"/>
      <c r="LEQ158" s="54"/>
      <c r="LER158" s="52"/>
      <c r="LES158" s="53"/>
      <c r="LET158" s="8"/>
      <c r="LEU158" s="45"/>
      <c r="LEV158" s="45"/>
      <c r="LEW158" s="46"/>
      <c r="LEX158" s="44"/>
      <c r="LEY158" s="7"/>
      <c r="LEZ158" s="51"/>
      <c r="LFA158" s="52"/>
      <c r="LFB158" s="53"/>
      <c r="LFC158" s="54"/>
      <c r="LFD158" s="52"/>
      <c r="LFE158" s="53"/>
      <c r="LFF158" s="54"/>
      <c r="LFG158" s="52"/>
      <c r="LFH158" s="53"/>
      <c r="LFI158" s="8"/>
      <c r="LFJ158" s="45"/>
      <c r="LFK158" s="45"/>
      <c r="LFL158" s="46"/>
      <c r="LFM158" s="44"/>
      <c r="LFN158" s="7"/>
      <c r="LFO158" s="51"/>
      <c r="LFP158" s="52"/>
      <c r="LFQ158" s="53"/>
      <c r="LFR158" s="54"/>
      <c r="LFS158" s="52"/>
      <c r="LFT158" s="53"/>
      <c r="LFU158" s="54"/>
      <c r="LFV158" s="52"/>
      <c r="LFW158" s="53"/>
      <c r="LFX158" s="8"/>
      <c r="LFY158" s="45"/>
      <c r="LFZ158" s="45"/>
      <c r="LGA158" s="46"/>
      <c r="LGB158" s="44"/>
      <c r="LGC158" s="7"/>
      <c r="LGD158" s="51"/>
      <c r="LGE158" s="52"/>
      <c r="LGF158" s="53"/>
      <c r="LGG158" s="54"/>
      <c r="LGH158" s="52"/>
      <c r="LGI158" s="53"/>
      <c r="LGJ158" s="54"/>
      <c r="LGK158" s="52"/>
      <c r="LGL158" s="53"/>
      <c r="LGM158" s="8"/>
      <c r="LGN158" s="45"/>
      <c r="LGO158" s="45"/>
      <c r="LGP158" s="46"/>
      <c r="LGQ158" s="44"/>
      <c r="LGR158" s="7"/>
      <c r="LGS158" s="51"/>
      <c r="LGT158" s="52"/>
      <c r="LGU158" s="53"/>
      <c r="LGV158" s="54"/>
      <c r="LGW158" s="52"/>
      <c r="LGX158" s="53"/>
      <c r="LGY158" s="54"/>
      <c r="LGZ158" s="52"/>
      <c r="LHA158" s="53"/>
      <c r="LHB158" s="8"/>
      <c r="LHC158" s="45"/>
      <c r="LHD158" s="45"/>
      <c r="LHE158" s="46"/>
      <c r="LHF158" s="44"/>
      <c r="LHG158" s="7"/>
      <c r="LHH158" s="51"/>
      <c r="LHI158" s="52"/>
      <c r="LHJ158" s="53"/>
      <c r="LHK158" s="54"/>
      <c r="LHL158" s="52"/>
      <c r="LHM158" s="53"/>
      <c r="LHN158" s="54"/>
      <c r="LHO158" s="52"/>
      <c r="LHP158" s="53"/>
      <c r="LHQ158" s="8"/>
      <c r="LHR158" s="45"/>
      <c r="LHS158" s="45"/>
      <c r="LHT158" s="46"/>
      <c r="LHU158" s="44"/>
      <c r="LHV158" s="7"/>
      <c r="LHW158" s="51"/>
      <c r="LHX158" s="52"/>
      <c r="LHY158" s="53"/>
      <c r="LHZ158" s="54"/>
      <c r="LIA158" s="52"/>
      <c r="LIB158" s="53"/>
      <c r="LIC158" s="54"/>
      <c r="LID158" s="52"/>
      <c r="LIE158" s="53"/>
      <c r="LIF158" s="8"/>
      <c r="LIG158" s="45"/>
      <c r="LIH158" s="45"/>
      <c r="LII158" s="46"/>
      <c r="LIJ158" s="44"/>
      <c r="LIK158" s="7"/>
      <c r="LIL158" s="51"/>
      <c r="LIM158" s="52"/>
      <c r="LIN158" s="53"/>
      <c r="LIO158" s="54"/>
      <c r="LIP158" s="52"/>
      <c r="LIQ158" s="53"/>
      <c r="LIR158" s="54"/>
      <c r="LIS158" s="52"/>
      <c r="LIT158" s="53"/>
      <c r="LIU158" s="8"/>
      <c r="LIV158" s="45"/>
      <c r="LIW158" s="45"/>
      <c r="LIX158" s="46"/>
      <c r="LIY158" s="44"/>
      <c r="LIZ158" s="7"/>
      <c r="LJA158" s="51"/>
      <c r="LJB158" s="52"/>
      <c r="LJC158" s="53"/>
      <c r="LJD158" s="54"/>
      <c r="LJE158" s="52"/>
      <c r="LJF158" s="53"/>
      <c r="LJG158" s="54"/>
      <c r="LJH158" s="52"/>
      <c r="LJI158" s="53"/>
      <c r="LJJ158" s="8"/>
      <c r="LJK158" s="45"/>
      <c r="LJL158" s="45"/>
      <c r="LJM158" s="46"/>
      <c r="LJN158" s="44"/>
      <c r="LJO158" s="7"/>
      <c r="LJP158" s="51"/>
      <c r="LJQ158" s="52"/>
      <c r="LJR158" s="53"/>
      <c r="LJS158" s="54"/>
      <c r="LJT158" s="52"/>
      <c r="LJU158" s="53"/>
      <c r="LJV158" s="54"/>
      <c r="LJW158" s="52"/>
      <c r="LJX158" s="53"/>
      <c r="LJY158" s="8"/>
      <c r="LJZ158" s="45"/>
      <c r="LKA158" s="45"/>
      <c r="LKB158" s="46"/>
      <c r="LKC158" s="44"/>
      <c r="LKD158" s="7"/>
      <c r="LKE158" s="51"/>
      <c r="LKF158" s="52"/>
      <c r="LKG158" s="53"/>
      <c r="LKH158" s="54"/>
      <c r="LKI158" s="52"/>
      <c r="LKJ158" s="53"/>
      <c r="LKK158" s="54"/>
      <c r="LKL158" s="52"/>
      <c r="LKM158" s="53"/>
      <c r="LKN158" s="8"/>
      <c r="LKO158" s="45"/>
      <c r="LKP158" s="45"/>
      <c r="LKQ158" s="46"/>
      <c r="LKR158" s="44"/>
      <c r="LKS158" s="7"/>
      <c r="LKT158" s="51"/>
      <c r="LKU158" s="52"/>
      <c r="LKV158" s="53"/>
      <c r="LKW158" s="54"/>
      <c r="LKX158" s="52"/>
      <c r="LKY158" s="53"/>
      <c r="LKZ158" s="54"/>
      <c r="LLA158" s="52"/>
      <c r="LLB158" s="53"/>
      <c r="LLC158" s="8"/>
      <c r="LLD158" s="45"/>
      <c r="LLE158" s="45"/>
      <c r="LLF158" s="46"/>
      <c r="LLG158" s="44"/>
      <c r="LLH158" s="7"/>
      <c r="LLI158" s="51"/>
      <c r="LLJ158" s="52"/>
      <c r="LLK158" s="53"/>
      <c r="LLL158" s="54"/>
      <c r="LLM158" s="52"/>
      <c r="LLN158" s="53"/>
      <c r="LLO158" s="54"/>
      <c r="LLP158" s="52"/>
      <c r="LLQ158" s="53"/>
      <c r="LLR158" s="8"/>
      <c r="LLS158" s="45"/>
      <c r="LLT158" s="45"/>
      <c r="LLU158" s="46"/>
      <c r="LLV158" s="44"/>
      <c r="LLW158" s="7"/>
      <c r="LLX158" s="51"/>
      <c r="LLY158" s="52"/>
      <c r="LLZ158" s="53"/>
      <c r="LMA158" s="54"/>
      <c r="LMB158" s="52"/>
      <c r="LMC158" s="53"/>
      <c r="LMD158" s="54"/>
      <c r="LME158" s="52"/>
      <c r="LMF158" s="53"/>
      <c r="LMG158" s="8"/>
      <c r="LMH158" s="45"/>
      <c r="LMI158" s="45"/>
      <c r="LMJ158" s="46"/>
      <c r="LMK158" s="44"/>
      <c r="LML158" s="7"/>
      <c r="LMM158" s="51"/>
      <c r="LMN158" s="52"/>
      <c r="LMO158" s="53"/>
      <c r="LMP158" s="54"/>
      <c r="LMQ158" s="52"/>
      <c r="LMR158" s="53"/>
      <c r="LMS158" s="54"/>
      <c r="LMT158" s="52"/>
      <c r="LMU158" s="53"/>
      <c r="LMV158" s="8"/>
      <c r="LMW158" s="45"/>
      <c r="LMX158" s="45"/>
      <c r="LMY158" s="46"/>
      <c r="LMZ158" s="44"/>
      <c r="LNA158" s="7"/>
      <c r="LNB158" s="51"/>
      <c r="LNC158" s="52"/>
      <c r="LND158" s="53"/>
      <c r="LNE158" s="54"/>
      <c r="LNF158" s="52"/>
      <c r="LNG158" s="53"/>
      <c r="LNH158" s="54"/>
      <c r="LNI158" s="52"/>
      <c r="LNJ158" s="53"/>
      <c r="LNK158" s="8"/>
      <c r="LNL158" s="45"/>
      <c r="LNM158" s="45"/>
      <c r="LNN158" s="46"/>
      <c r="LNO158" s="44"/>
      <c r="LNP158" s="7"/>
      <c r="LNQ158" s="51"/>
      <c r="LNR158" s="52"/>
      <c r="LNS158" s="53"/>
      <c r="LNT158" s="54"/>
      <c r="LNU158" s="52"/>
      <c r="LNV158" s="53"/>
      <c r="LNW158" s="54"/>
      <c r="LNX158" s="52"/>
      <c r="LNY158" s="53"/>
      <c r="LNZ158" s="8"/>
      <c r="LOA158" s="45"/>
      <c r="LOB158" s="45"/>
      <c r="LOC158" s="46"/>
      <c r="LOD158" s="44"/>
      <c r="LOE158" s="7"/>
      <c r="LOF158" s="51"/>
      <c r="LOG158" s="52"/>
      <c r="LOH158" s="53"/>
      <c r="LOI158" s="54"/>
      <c r="LOJ158" s="52"/>
      <c r="LOK158" s="53"/>
      <c r="LOL158" s="54"/>
      <c r="LOM158" s="52"/>
      <c r="LON158" s="53"/>
      <c r="LOO158" s="8"/>
      <c r="LOP158" s="45"/>
      <c r="LOQ158" s="45"/>
      <c r="LOR158" s="46"/>
      <c r="LOS158" s="44"/>
      <c r="LOT158" s="7"/>
      <c r="LOU158" s="51"/>
      <c r="LOV158" s="52"/>
      <c r="LOW158" s="53"/>
      <c r="LOX158" s="54"/>
      <c r="LOY158" s="52"/>
      <c r="LOZ158" s="53"/>
      <c r="LPA158" s="54"/>
      <c r="LPB158" s="52"/>
      <c r="LPC158" s="53"/>
      <c r="LPD158" s="8"/>
      <c r="LPE158" s="45"/>
      <c r="LPF158" s="45"/>
      <c r="LPG158" s="46"/>
      <c r="LPH158" s="44"/>
      <c r="LPI158" s="7"/>
      <c r="LPJ158" s="51"/>
      <c r="LPK158" s="52"/>
      <c r="LPL158" s="53"/>
      <c r="LPM158" s="54"/>
      <c r="LPN158" s="52"/>
      <c r="LPO158" s="53"/>
      <c r="LPP158" s="54"/>
      <c r="LPQ158" s="52"/>
      <c r="LPR158" s="53"/>
      <c r="LPS158" s="8"/>
      <c r="LPT158" s="45"/>
      <c r="LPU158" s="45"/>
      <c r="LPV158" s="46"/>
      <c r="LPW158" s="44"/>
      <c r="LPX158" s="7"/>
      <c r="LPY158" s="51"/>
      <c r="LPZ158" s="52"/>
      <c r="LQA158" s="53"/>
      <c r="LQB158" s="54"/>
      <c r="LQC158" s="52"/>
      <c r="LQD158" s="53"/>
      <c r="LQE158" s="54"/>
      <c r="LQF158" s="52"/>
      <c r="LQG158" s="53"/>
      <c r="LQH158" s="8"/>
      <c r="LQI158" s="45"/>
      <c r="LQJ158" s="45"/>
      <c r="LQK158" s="46"/>
      <c r="LQL158" s="44"/>
      <c r="LQM158" s="7"/>
      <c r="LQN158" s="51"/>
      <c r="LQO158" s="52"/>
      <c r="LQP158" s="53"/>
      <c r="LQQ158" s="54"/>
      <c r="LQR158" s="52"/>
      <c r="LQS158" s="53"/>
      <c r="LQT158" s="54"/>
      <c r="LQU158" s="52"/>
      <c r="LQV158" s="53"/>
      <c r="LQW158" s="8"/>
      <c r="LQX158" s="45"/>
      <c r="LQY158" s="45"/>
      <c r="LQZ158" s="46"/>
      <c r="LRA158" s="44"/>
      <c r="LRB158" s="7"/>
      <c r="LRC158" s="51"/>
      <c r="LRD158" s="52"/>
      <c r="LRE158" s="53"/>
      <c r="LRF158" s="54"/>
      <c r="LRG158" s="52"/>
      <c r="LRH158" s="53"/>
      <c r="LRI158" s="54"/>
      <c r="LRJ158" s="52"/>
      <c r="LRK158" s="53"/>
      <c r="LRL158" s="8"/>
      <c r="LRM158" s="45"/>
      <c r="LRN158" s="45"/>
      <c r="LRO158" s="46"/>
      <c r="LRP158" s="44"/>
      <c r="LRQ158" s="7"/>
      <c r="LRR158" s="51"/>
      <c r="LRS158" s="52"/>
      <c r="LRT158" s="53"/>
      <c r="LRU158" s="54"/>
      <c r="LRV158" s="52"/>
      <c r="LRW158" s="53"/>
      <c r="LRX158" s="54"/>
      <c r="LRY158" s="52"/>
      <c r="LRZ158" s="53"/>
      <c r="LSA158" s="8"/>
      <c r="LSB158" s="45"/>
      <c r="LSC158" s="45"/>
      <c r="LSD158" s="46"/>
      <c r="LSE158" s="44"/>
      <c r="LSF158" s="7"/>
      <c r="LSG158" s="51"/>
      <c r="LSH158" s="52"/>
      <c r="LSI158" s="53"/>
      <c r="LSJ158" s="54"/>
      <c r="LSK158" s="52"/>
      <c r="LSL158" s="53"/>
      <c r="LSM158" s="54"/>
      <c r="LSN158" s="52"/>
      <c r="LSO158" s="53"/>
      <c r="LSP158" s="8"/>
      <c r="LSQ158" s="45"/>
      <c r="LSR158" s="45"/>
      <c r="LSS158" s="46"/>
      <c r="LST158" s="44"/>
      <c r="LSU158" s="7"/>
      <c r="LSV158" s="51"/>
      <c r="LSW158" s="52"/>
      <c r="LSX158" s="53"/>
      <c r="LSY158" s="54"/>
      <c r="LSZ158" s="52"/>
      <c r="LTA158" s="53"/>
      <c r="LTB158" s="54"/>
      <c r="LTC158" s="52"/>
      <c r="LTD158" s="53"/>
      <c r="LTE158" s="8"/>
      <c r="LTF158" s="45"/>
      <c r="LTG158" s="45"/>
      <c r="LTH158" s="46"/>
      <c r="LTI158" s="44"/>
      <c r="LTJ158" s="7"/>
      <c r="LTK158" s="51"/>
      <c r="LTL158" s="52"/>
      <c r="LTM158" s="53"/>
      <c r="LTN158" s="54"/>
      <c r="LTO158" s="52"/>
      <c r="LTP158" s="53"/>
      <c r="LTQ158" s="54"/>
      <c r="LTR158" s="52"/>
      <c r="LTS158" s="53"/>
      <c r="LTT158" s="8"/>
      <c r="LTU158" s="45"/>
      <c r="LTV158" s="45"/>
      <c r="LTW158" s="46"/>
      <c r="LTX158" s="44"/>
      <c r="LTY158" s="7"/>
      <c r="LTZ158" s="51"/>
      <c r="LUA158" s="52"/>
      <c r="LUB158" s="53"/>
      <c r="LUC158" s="54"/>
      <c r="LUD158" s="52"/>
      <c r="LUE158" s="53"/>
      <c r="LUF158" s="54"/>
      <c r="LUG158" s="52"/>
      <c r="LUH158" s="53"/>
      <c r="LUI158" s="8"/>
      <c r="LUJ158" s="45"/>
      <c r="LUK158" s="45"/>
      <c r="LUL158" s="46"/>
      <c r="LUM158" s="44"/>
      <c r="LUN158" s="7"/>
      <c r="LUO158" s="51"/>
      <c r="LUP158" s="52"/>
      <c r="LUQ158" s="53"/>
      <c r="LUR158" s="54"/>
      <c r="LUS158" s="52"/>
      <c r="LUT158" s="53"/>
      <c r="LUU158" s="54"/>
      <c r="LUV158" s="52"/>
      <c r="LUW158" s="53"/>
      <c r="LUX158" s="8"/>
      <c r="LUY158" s="45"/>
      <c r="LUZ158" s="45"/>
      <c r="LVA158" s="46"/>
      <c r="LVB158" s="44"/>
      <c r="LVC158" s="7"/>
      <c r="LVD158" s="51"/>
      <c r="LVE158" s="52"/>
      <c r="LVF158" s="53"/>
      <c r="LVG158" s="54"/>
      <c r="LVH158" s="52"/>
      <c r="LVI158" s="53"/>
      <c r="LVJ158" s="54"/>
      <c r="LVK158" s="52"/>
      <c r="LVL158" s="53"/>
      <c r="LVM158" s="8"/>
      <c r="LVN158" s="45"/>
      <c r="LVO158" s="45"/>
      <c r="LVP158" s="46"/>
      <c r="LVQ158" s="44"/>
      <c r="LVR158" s="7"/>
      <c r="LVS158" s="51"/>
      <c r="LVT158" s="52"/>
      <c r="LVU158" s="53"/>
      <c r="LVV158" s="54"/>
      <c r="LVW158" s="52"/>
      <c r="LVX158" s="53"/>
      <c r="LVY158" s="54"/>
      <c r="LVZ158" s="52"/>
      <c r="LWA158" s="53"/>
      <c r="LWB158" s="8"/>
      <c r="LWC158" s="45"/>
      <c r="LWD158" s="45"/>
      <c r="LWE158" s="46"/>
      <c r="LWF158" s="44"/>
      <c r="LWG158" s="7"/>
      <c r="LWH158" s="51"/>
      <c r="LWI158" s="52"/>
      <c r="LWJ158" s="53"/>
      <c r="LWK158" s="54"/>
      <c r="LWL158" s="52"/>
      <c r="LWM158" s="53"/>
      <c r="LWN158" s="54"/>
      <c r="LWO158" s="52"/>
      <c r="LWP158" s="53"/>
      <c r="LWQ158" s="8"/>
      <c r="LWR158" s="45"/>
      <c r="LWS158" s="45"/>
      <c r="LWT158" s="46"/>
      <c r="LWU158" s="44"/>
      <c r="LWV158" s="7"/>
      <c r="LWW158" s="51"/>
      <c r="LWX158" s="52"/>
      <c r="LWY158" s="53"/>
      <c r="LWZ158" s="54"/>
      <c r="LXA158" s="52"/>
      <c r="LXB158" s="53"/>
      <c r="LXC158" s="54"/>
      <c r="LXD158" s="52"/>
      <c r="LXE158" s="53"/>
      <c r="LXF158" s="8"/>
      <c r="LXG158" s="45"/>
      <c r="LXH158" s="45"/>
      <c r="LXI158" s="46"/>
      <c r="LXJ158" s="44"/>
      <c r="LXK158" s="7"/>
      <c r="LXL158" s="51"/>
      <c r="LXM158" s="52"/>
      <c r="LXN158" s="53"/>
      <c r="LXO158" s="54"/>
      <c r="LXP158" s="52"/>
      <c r="LXQ158" s="53"/>
      <c r="LXR158" s="54"/>
      <c r="LXS158" s="52"/>
      <c r="LXT158" s="53"/>
      <c r="LXU158" s="8"/>
      <c r="LXV158" s="45"/>
      <c r="LXW158" s="45"/>
      <c r="LXX158" s="46"/>
      <c r="LXY158" s="44"/>
      <c r="LXZ158" s="7"/>
      <c r="LYA158" s="51"/>
      <c r="LYB158" s="52"/>
      <c r="LYC158" s="53"/>
      <c r="LYD158" s="54"/>
      <c r="LYE158" s="52"/>
      <c r="LYF158" s="53"/>
      <c r="LYG158" s="54"/>
      <c r="LYH158" s="52"/>
      <c r="LYI158" s="53"/>
      <c r="LYJ158" s="8"/>
      <c r="LYK158" s="45"/>
      <c r="LYL158" s="45"/>
      <c r="LYM158" s="46"/>
      <c r="LYN158" s="44"/>
      <c r="LYO158" s="7"/>
      <c r="LYP158" s="51"/>
      <c r="LYQ158" s="52"/>
      <c r="LYR158" s="53"/>
      <c r="LYS158" s="54"/>
      <c r="LYT158" s="52"/>
      <c r="LYU158" s="53"/>
      <c r="LYV158" s="54"/>
      <c r="LYW158" s="52"/>
      <c r="LYX158" s="53"/>
      <c r="LYY158" s="8"/>
      <c r="LYZ158" s="45"/>
      <c r="LZA158" s="45"/>
      <c r="LZB158" s="46"/>
      <c r="LZC158" s="44"/>
      <c r="LZD158" s="7"/>
      <c r="LZE158" s="51"/>
      <c r="LZF158" s="52"/>
      <c r="LZG158" s="53"/>
      <c r="LZH158" s="54"/>
      <c r="LZI158" s="52"/>
      <c r="LZJ158" s="53"/>
      <c r="LZK158" s="54"/>
      <c r="LZL158" s="52"/>
      <c r="LZM158" s="53"/>
      <c r="LZN158" s="8"/>
      <c r="LZO158" s="45"/>
      <c r="LZP158" s="45"/>
      <c r="LZQ158" s="46"/>
      <c r="LZR158" s="44"/>
      <c r="LZS158" s="7"/>
      <c r="LZT158" s="51"/>
      <c r="LZU158" s="52"/>
      <c r="LZV158" s="53"/>
      <c r="LZW158" s="54"/>
      <c r="LZX158" s="52"/>
      <c r="LZY158" s="53"/>
      <c r="LZZ158" s="54"/>
      <c r="MAA158" s="52"/>
      <c r="MAB158" s="53"/>
      <c r="MAC158" s="8"/>
      <c r="MAD158" s="45"/>
      <c r="MAE158" s="45"/>
      <c r="MAF158" s="46"/>
      <c r="MAG158" s="44"/>
      <c r="MAH158" s="7"/>
      <c r="MAI158" s="51"/>
      <c r="MAJ158" s="52"/>
      <c r="MAK158" s="53"/>
      <c r="MAL158" s="54"/>
      <c r="MAM158" s="52"/>
      <c r="MAN158" s="53"/>
      <c r="MAO158" s="54"/>
      <c r="MAP158" s="52"/>
      <c r="MAQ158" s="53"/>
      <c r="MAR158" s="8"/>
      <c r="MAS158" s="45"/>
      <c r="MAT158" s="45"/>
      <c r="MAU158" s="46"/>
      <c r="MAV158" s="44"/>
      <c r="MAW158" s="7"/>
      <c r="MAX158" s="51"/>
      <c r="MAY158" s="52"/>
      <c r="MAZ158" s="53"/>
      <c r="MBA158" s="54"/>
      <c r="MBB158" s="52"/>
      <c r="MBC158" s="53"/>
      <c r="MBD158" s="54"/>
      <c r="MBE158" s="52"/>
      <c r="MBF158" s="53"/>
      <c r="MBG158" s="8"/>
      <c r="MBH158" s="45"/>
      <c r="MBI158" s="45"/>
      <c r="MBJ158" s="46"/>
      <c r="MBK158" s="44"/>
      <c r="MBL158" s="7"/>
      <c r="MBM158" s="51"/>
      <c r="MBN158" s="52"/>
      <c r="MBO158" s="53"/>
      <c r="MBP158" s="54"/>
      <c r="MBQ158" s="52"/>
      <c r="MBR158" s="53"/>
      <c r="MBS158" s="54"/>
      <c r="MBT158" s="52"/>
      <c r="MBU158" s="53"/>
      <c r="MBV158" s="8"/>
      <c r="MBW158" s="45"/>
      <c r="MBX158" s="45"/>
      <c r="MBY158" s="46"/>
      <c r="MBZ158" s="44"/>
      <c r="MCA158" s="7"/>
      <c r="MCB158" s="51"/>
      <c r="MCC158" s="52"/>
      <c r="MCD158" s="53"/>
      <c r="MCE158" s="54"/>
      <c r="MCF158" s="52"/>
      <c r="MCG158" s="53"/>
      <c r="MCH158" s="54"/>
      <c r="MCI158" s="52"/>
      <c r="MCJ158" s="53"/>
      <c r="MCK158" s="8"/>
      <c r="MCL158" s="45"/>
      <c r="MCM158" s="45"/>
      <c r="MCN158" s="46"/>
      <c r="MCO158" s="44"/>
      <c r="MCP158" s="7"/>
      <c r="MCQ158" s="51"/>
      <c r="MCR158" s="52"/>
      <c r="MCS158" s="53"/>
      <c r="MCT158" s="54"/>
      <c r="MCU158" s="52"/>
      <c r="MCV158" s="53"/>
      <c r="MCW158" s="54"/>
      <c r="MCX158" s="52"/>
      <c r="MCY158" s="53"/>
      <c r="MCZ158" s="8"/>
      <c r="MDA158" s="45"/>
      <c r="MDB158" s="45"/>
      <c r="MDC158" s="46"/>
      <c r="MDD158" s="44"/>
      <c r="MDE158" s="7"/>
      <c r="MDF158" s="51"/>
      <c r="MDG158" s="52"/>
      <c r="MDH158" s="53"/>
      <c r="MDI158" s="54"/>
      <c r="MDJ158" s="52"/>
      <c r="MDK158" s="53"/>
      <c r="MDL158" s="54"/>
      <c r="MDM158" s="52"/>
      <c r="MDN158" s="53"/>
      <c r="MDO158" s="8"/>
      <c r="MDP158" s="45"/>
      <c r="MDQ158" s="45"/>
      <c r="MDR158" s="46"/>
      <c r="MDS158" s="44"/>
      <c r="MDT158" s="7"/>
      <c r="MDU158" s="51"/>
      <c r="MDV158" s="52"/>
      <c r="MDW158" s="53"/>
      <c r="MDX158" s="54"/>
      <c r="MDY158" s="52"/>
      <c r="MDZ158" s="53"/>
      <c r="MEA158" s="54"/>
      <c r="MEB158" s="52"/>
      <c r="MEC158" s="53"/>
      <c r="MED158" s="8"/>
      <c r="MEE158" s="45"/>
      <c r="MEF158" s="45"/>
      <c r="MEG158" s="46"/>
      <c r="MEH158" s="44"/>
      <c r="MEI158" s="7"/>
      <c r="MEJ158" s="51"/>
      <c r="MEK158" s="52"/>
      <c r="MEL158" s="53"/>
      <c r="MEM158" s="54"/>
      <c r="MEN158" s="52"/>
      <c r="MEO158" s="53"/>
      <c r="MEP158" s="54"/>
      <c r="MEQ158" s="52"/>
      <c r="MER158" s="53"/>
      <c r="MES158" s="8"/>
      <c r="MET158" s="45"/>
      <c r="MEU158" s="45"/>
      <c r="MEV158" s="46"/>
      <c r="MEW158" s="44"/>
      <c r="MEX158" s="7"/>
      <c r="MEY158" s="51"/>
      <c r="MEZ158" s="52"/>
      <c r="MFA158" s="53"/>
      <c r="MFB158" s="54"/>
      <c r="MFC158" s="52"/>
      <c r="MFD158" s="53"/>
      <c r="MFE158" s="54"/>
      <c r="MFF158" s="52"/>
      <c r="MFG158" s="53"/>
      <c r="MFH158" s="8"/>
      <c r="MFI158" s="45"/>
      <c r="MFJ158" s="45"/>
      <c r="MFK158" s="46"/>
      <c r="MFL158" s="44"/>
      <c r="MFM158" s="7"/>
      <c r="MFN158" s="51"/>
      <c r="MFO158" s="52"/>
      <c r="MFP158" s="53"/>
      <c r="MFQ158" s="54"/>
      <c r="MFR158" s="52"/>
      <c r="MFS158" s="53"/>
      <c r="MFT158" s="54"/>
      <c r="MFU158" s="52"/>
      <c r="MFV158" s="53"/>
      <c r="MFW158" s="8"/>
      <c r="MFX158" s="45"/>
      <c r="MFY158" s="45"/>
      <c r="MFZ158" s="46"/>
      <c r="MGA158" s="44"/>
      <c r="MGB158" s="7"/>
      <c r="MGC158" s="51"/>
      <c r="MGD158" s="52"/>
      <c r="MGE158" s="53"/>
      <c r="MGF158" s="54"/>
      <c r="MGG158" s="52"/>
      <c r="MGH158" s="53"/>
      <c r="MGI158" s="54"/>
      <c r="MGJ158" s="52"/>
      <c r="MGK158" s="53"/>
      <c r="MGL158" s="8"/>
      <c r="MGM158" s="45"/>
      <c r="MGN158" s="45"/>
      <c r="MGO158" s="46"/>
      <c r="MGP158" s="44"/>
      <c r="MGQ158" s="7"/>
      <c r="MGR158" s="51"/>
      <c r="MGS158" s="52"/>
      <c r="MGT158" s="53"/>
      <c r="MGU158" s="54"/>
      <c r="MGV158" s="52"/>
      <c r="MGW158" s="53"/>
      <c r="MGX158" s="54"/>
      <c r="MGY158" s="52"/>
      <c r="MGZ158" s="53"/>
      <c r="MHA158" s="8"/>
      <c r="MHB158" s="45"/>
      <c r="MHC158" s="45"/>
      <c r="MHD158" s="46"/>
      <c r="MHE158" s="44"/>
      <c r="MHF158" s="7"/>
      <c r="MHG158" s="51"/>
      <c r="MHH158" s="52"/>
      <c r="MHI158" s="53"/>
      <c r="MHJ158" s="54"/>
      <c r="MHK158" s="52"/>
      <c r="MHL158" s="53"/>
      <c r="MHM158" s="54"/>
      <c r="MHN158" s="52"/>
      <c r="MHO158" s="53"/>
      <c r="MHP158" s="8"/>
      <c r="MHQ158" s="45"/>
      <c r="MHR158" s="45"/>
      <c r="MHS158" s="46"/>
      <c r="MHT158" s="44"/>
      <c r="MHU158" s="7"/>
      <c r="MHV158" s="51"/>
      <c r="MHW158" s="52"/>
      <c r="MHX158" s="53"/>
      <c r="MHY158" s="54"/>
      <c r="MHZ158" s="52"/>
      <c r="MIA158" s="53"/>
      <c r="MIB158" s="54"/>
      <c r="MIC158" s="52"/>
      <c r="MID158" s="53"/>
      <c r="MIE158" s="8"/>
      <c r="MIF158" s="45"/>
      <c r="MIG158" s="45"/>
      <c r="MIH158" s="46"/>
      <c r="MII158" s="44"/>
      <c r="MIJ158" s="7"/>
      <c r="MIK158" s="51"/>
      <c r="MIL158" s="52"/>
      <c r="MIM158" s="53"/>
      <c r="MIN158" s="54"/>
      <c r="MIO158" s="52"/>
      <c r="MIP158" s="53"/>
      <c r="MIQ158" s="54"/>
      <c r="MIR158" s="52"/>
      <c r="MIS158" s="53"/>
      <c r="MIT158" s="8"/>
      <c r="MIU158" s="45"/>
      <c r="MIV158" s="45"/>
      <c r="MIW158" s="46"/>
      <c r="MIX158" s="44"/>
      <c r="MIY158" s="7"/>
      <c r="MIZ158" s="51"/>
      <c r="MJA158" s="52"/>
      <c r="MJB158" s="53"/>
      <c r="MJC158" s="54"/>
      <c r="MJD158" s="52"/>
      <c r="MJE158" s="53"/>
      <c r="MJF158" s="54"/>
      <c r="MJG158" s="52"/>
      <c r="MJH158" s="53"/>
      <c r="MJI158" s="8"/>
      <c r="MJJ158" s="45"/>
      <c r="MJK158" s="45"/>
      <c r="MJL158" s="46"/>
      <c r="MJM158" s="44"/>
      <c r="MJN158" s="7"/>
      <c r="MJO158" s="51"/>
      <c r="MJP158" s="52"/>
      <c r="MJQ158" s="53"/>
      <c r="MJR158" s="54"/>
      <c r="MJS158" s="52"/>
      <c r="MJT158" s="53"/>
      <c r="MJU158" s="54"/>
      <c r="MJV158" s="52"/>
      <c r="MJW158" s="53"/>
      <c r="MJX158" s="8"/>
      <c r="MJY158" s="45"/>
      <c r="MJZ158" s="45"/>
      <c r="MKA158" s="46"/>
      <c r="MKB158" s="44"/>
      <c r="MKC158" s="7"/>
      <c r="MKD158" s="51"/>
      <c r="MKE158" s="52"/>
      <c r="MKF158" s="53"/>
    </row>
    <row r="159" spans="1:9080">
      <c r="A159" s="44"/>
      <c r="B159" s="7"/>
      <c r="C159" s="51"/>
      <c r="D159" s="52"/>
      <c r="E159" s="53"/>
      <c r="F159" s="54"/>
      <c r="G159" s="52"/>
      <c r="H159" s="53"/>
      <c r="I159" s="54"/>
      <c r="J159" s="52"/>
      <c r="K159" s="53"/>
      <c r="L159" s="8"/>
      <c r="M159" s="45"/>
      <c r="N159" s="45"/>
      <c r="O159" s="46"/>
      <c r="NB159" s="54"/>
      <c r="NC159" s="52"/>
      <c r="ND159" s="53"/>
      <c r="NE159" s="54"/>
      <c r="NF159" s="52"/>
      <c r="NG159" s="53"/>
      <c r="NH159" s="8"/>
      <c r="NI159" s="45"/>
      <c r="NJ159" s="45"/>
      <c r="NK159" s="46"/>
      <c r="NL159" s="44"/>
      <c r="NM159" s="7"/>
      <c r="NN159" s="51"/>
      <c r="NO159" s="52"/>
      <c r="NP159" s="53"/>
      <c r="NQ159" s="54"/>
      <c r="NR159" s="52"/>
      <c r="NS159" s="53"/>
      <c r="NT159" s="54"/>
      <c r="NU159" s="52"/>
      <c r="NV159" s="53"/>
      <c r="NW159" s="8"/>
      <c r="NX159" s="45"/>
      <c r="NY159" s="45"/>
      <c r="NZ159" s="46"/>
      <c r="OA159" s="44"/>
      <c r="OB159" s="7"/>
      <c r="OC159" s="51"/>
      <c r="OD159" s="52"/>
      <c r="OE159" s="53"/>
      <c r="OF159" s="54"/>
      <c r="OG159" s="52"/>
      <c r="OH159" s="53"/>
      <c r="OI159" s="54"/>
      <c r="OJ159" s="52"/>
      <c r="OK159" s="53"/>
      <c r="OL159" s="8"/>
      <c r="OM159" s="45"/>
      <c r="ON159" s="45"/>
      <c r="OO159" s="46"/>
      <c r="OP159" s="44"/>
      <c r="OQ159" s="7"/>
      <c r="OR159" s="51"/>
      <c r="OS159" s="52"/>
      <c r="OT159" s="53"/>
      <c r="OU159" s="54"/>
      <c r="OV159" s="52"/>
      <c r="OW159" s="53"/>
      <c r="OX159" s="54"/>
      <c r="OY159" s="52"/>
      <c r="OZ159" s="53"/>
      <c r="PA159" s="8"/>
      <c r="PB159" s="45"/>
      <c r="PC159" s="45"/>
      <c r="PD159" s="46"/>
      <c r="PE159" s="44"/>
      <c r="PF159" s="7"/>
      <c r="PG159" s="51"/>
      <c r="PH159" s="52"/>
      <c r="PI159" s="53"/>
      <c r="PJ159" s="54"/>
      <c r="PK159" s="52"/>
      <c r="PL159" s="53"/>
      <c r="PM159" s="54"/>
      <c r="PN159" s="52"/>
      <c r="PO159" s="53"/>
      <c r="PP159" s="8"/>
      <c r="PQ159" s="45"/>
      <c r="PR159" s="45"/>
      <c r="PS159" s="46"/>
      <c r="PT159" s="44"/>
      <c r="PU159" s="7"/>
      <c r="PV159" s="51"/>
      <c r="PW159" s="52"/>
      <c r="PX159" s="53"/>
      <c r="PY159" s="54"/>
      <c r="PZ159" s="52"/>
      <c r="QA159" s="53"/>
      <c r="QB159" s="54"/>
      <c r="QC159" s="52"/>
      <c r="QD159" s="53"/>
      <c r="QE159" s="8"/>
      <c r="QF159" s="45"/>
      <c r="QG159" s="45"/>
      <c r="QH159" s="46"/>
      <c r="QI159" s="44"/>
      <c r="QJ159" s="7"/>
      <c r="QK159" s="51"/>
      <c r="QL159" s="52"/>
      <c r="QM159" s="53"/>
      <c r="QN159" s="54"/>
      <c r="QO159" s="52"/>
      <c r="QP159" s="53"/>
      <c r="QQ159" s="54"/>
      <c r="QR159" s="52"/>
      <c r="QS159" s="53"/>
      <c r="QT159" s="8"/>
      <c r="QU159" s="45"/>
      <c r="QV159" s="45"/>
      <c r="QW159" s="46"/>
      <c r="QX159" s="44"/>
      <c r="QY159" s="7"/>
      <c r="QZ159" s="51"/>
      <c r="RA159" s="52"/>
      <c r="RB159" s="53"/>
      <c r="RC159" s="54"/>
      <c r="RD159" s="52"/>
      <c r="RE159" s="53"/>
      <c r="RF159" s="54"/>
      <c r="RG159" s="52"/>
      <c r="RH159" s="53"/>
      <c r="RI159" s="8"/>
      <c r="RJ159" s="45"/>
      <c r="RK159" s="45"/>
      <c r="RL159" s="46"/>
      <c r="RM159" s="44"/>
      <c r="RN159" s="7"/>
      <c r="RO159" s="51"/>
      <c r="RP159" s="52"/>
      <c r="RQ159" s="53"/>
      <c r="RR159" s="54"/>
      <c r="RS159" s="52"/>
      <c r="RT159" s="53"/>
      <c r="RU159" s="54"/>
      <c r="RV159" s="52"/>
      <c r="RW159" s="53"/>
      <c r="RX159" s="8"/>
      <c r="RY159" s="45"/>
      <c r="RZ159" s="45"/>
      <c r="SA159" s="46"/>
      <c r="SB159" s="44"/>
      <c r="SC159" s="7"/>
      <c r="SD159" s="51"/>
      <c r="SE159" s="52"/>
      <c r="SF159" s="53"/>
      <c r="SG159" s="54"/>
      <c r="SH159" s="52"/>
      <c r="SI159" s="53"/>
      <c r="SJ159" s="54"/>
      <c r="SK159" s="52"/>
      <c r="SL159" s="53"/>
      <c r="SM159" s="8"/>
      <c r="SN159" s="45"/>
      <c r="SO159" s="45"/>
      <c r="SP159" s="46"/>
      <c r="SQ159" s="44"/>
      <c r="SR159" s="7"/>
      <c r="SS159" s="51"/>
      <c r="ST159" s="52"/>
      <c r="SU159" s="53"/>
      <c r="SV159" s="54"/>
      <c r="SW159" s="52"/>
      <c r="SX159" s="53"/>
      <c r="SY159" s="54"/>
      <c r="SZ159" s="52"/>
      <c r="TA159" s="53"/>
      <c r="TB159" s="8"/>
      <c r="TC159" s="45"/>
      <c r="TD159" s="45"/>
      <c r="TE159" s="46"/>
      <c r="TF159" s="44"/>
      <c r="TG159" s="7"/>
      <c r="TH159" s="51"/>
      <c r="TI159" s="52"/>
      <c r="TJ159" s="53"/>
      <c r="TK159" s="54"/>
      <c r="TL159" s="52"/>
      <c r="TM159" s="53"/>
      <c r="TN159" s="54"/>
      <c r="TO159" s="52"/>
      <c r="TP159" s="53"/>
      <c r="TQ159" s="8"/>
      <c r="TR159" s="45"/>
      <c r="TS159" s="45"/>
      <c r="TT159" s="46"/>
      <c r="TU159" s="44"/>
      <c r="TV159" s="7"/>
      <c r="TW159" s="51"/>
      <c r="TX159" s="52"/>
      <c r="TY159" s="53"/>
      <c r="TZ159" s="54"/>
      <c r="UA159" s="52"/>
      <c r="UB159" s="53"/>
      <c r="UC159" s="54"/>
      <c r="UD159" s="52"/>
      <c r="UE159" s="53"/>
      <c r="UF159" s="8"/>
      <c r="UG159" s="45"/>
      <c r="UH159" s="45"/>
      <c r="UI159" s="46"/>
      <c r="UJ159" s="44"/>
      <c r="UK159" s="7"/>
      <c r="UL159" s="51"/>
      <c r="UM159" s="52"/>
      <c r="UN159" s="53"/>
      <c r="UO159" s="54"/>
      <c r="UP159" s="52"/>
      <c r="UQ159" s="53"/>
      <c r="UR159" s="54"/>
      <c r="US159" s="52"/>
      <c r="UT159" s="53"/>
      <c r="UU159" s="8"/>
      <c r="UV159" s="45"/>
      <c r="UW159" s="45"/>
      <c r="UX159" s="46"/>
      <c r="UY159" s="44"/>
      <c r="UZ159" s="7"/>
      <c r="VA159" s="51"/>
      <c r="VB159" s="52"/>
      <c r="VC159" s="53"/>
      <c r="VD159" s="54"/>
      <c r="VE159" s="52"/>
      <c r="VF159" s="53"/>
      <c r="VG159" s="54"/>
      <c r="VH159" s="52"/>
      <c r="VI159" s="53"/>
      <c r="VJ159" s="8"/>
      <c r="VK159" s="45"/>
      <c r="VL159" s="45"/>
      <c r="VM159" s="46"/>
      <c r="VN159" s="44"/>
      <c r="VO159" s="7"/>
      <c r="VP159" s="51"/>
      <c r="VQ159" s="52"/>
      <c r="VR159" s="53"/>
      <c r="VS159" s="54"/>
      <c r="VT159" s="52"/>
      <c r="VU159" s="53"/>
      <c r="VV159" s="54"/>
      <c r="VW159" s="52"/>
      <c r="VX159" s="53"/>
      <c r="VY159" s="8"/>
      <c r="VZ159" s="45"/>
      <c r="WA159" s="45"/>
      <c r="WB159" s="46"/>
      <c r="WC159" s="44"/>
      <c r="WD159" s="7"/>
      <c r="WE159" s="51"/>
      <c r="WF159" s="52"/>
      <c r="WG159" s="53"/>
      <c r="WH159" s="54"/>
      <c r="WI159" s="52"/>
      <c r="WJ159" s="53"/>
      <c r="WK159" s="54"/>
      <c r="WL159" s="52"/>
      <c r="WM159" s="53"/>
      <c r="WN159" s="8"/>
      <c r="WO159" s="45"/>
      <c r="WP159" s="45"/>
      <c r="WQ159" s="46"/>
      <c r="WR159" s="44"/>
      <c r="WS159" s="7"/>
      <c r="WT159" s="51"/>
      <c r="WU159" s="52"/>
      <c r="WV159" s="53"/>
      <c r="WW159" s="54"/>
      <c r="WX159" s="52"/>
      <c r="WY159" s="53"/>
      <c r="WZ159" s="54"/>
      <c r="XA159" s="52"/>
      <c r="XB159" s="53"/>
      <c r="XC159" s="8"/>
      <c r="XD159" s="45"/>
      <c r="XE159" s="45"/>
      <c r="XF159" s="46"/>
      <c r="XG159" s="44"/>
      <c r="XH159" s="7"/>
      <c r="XI159" s="51"/>
      <c r="XJ159" s="52"/>
      <c r="XK159" s="53"/>
      <c r="XL159" s="54"/>
      <c r="XM159" s="52"/>
      <c r="XN159" s="53"/>
      <c r="XO159" s="54"/>
      <c r="XP159" s="52"/>
      <c r="XQ159" s="53"/>
      <c r="XR159" s="8"/>
      <c r="XS159" s="45"/>
      <c r="XT159" s="45"/>
      <c r="XU159" s="46"/>
      <c r="XV159" s="44"/>
      <c r="XW159" s="7"/>
      <c r="XX159" s="51"/>
      <c r="XY159" s="52"/>
      <c r="XZ159" s="53"/>
      <c r="YA159" s="54"/>
      <c r="YB159" s="52"/>
      <c r="YC159" s="53"/>
      <c r="YD159" s="54"/>
      <c r="YE159" s="52"/>
      <c r="YF159" s="53"/>
      <c r="YG159" s="8"/>
      <c r="YH159" s="45"/>
      <c r="YI159" s="45"/>
      <c r="YJ159" s="46"/>
      <c r="YK159" s="44"/>
      <c r="YL159" s="7"/>
      <c r="YM159" s="51"/>
      <c r="YN159" s="52"/>
      <c r="YO159" s="53"/>
      <c r="YP159" s="54"/>
      <c r="YQ159" s="52"/>
      <c r="YR159" s="53"/>
      <c r="YS159" s="54"/>
      <c r="YT159" s="52"/>
      <c r="YU159" s="53"/>
      <c r="YV159" s="8"/>
      <c r="YW159" s="45"/>
      <c r="YX159" s="45"/>
      <c r="YY159" s="46"/>
      <c r="YZ159" s="44"/>
      <c r="ZA159" s="7"/>
      <c r="ZB159" s="51"/>
      <c r="ZC159" s="52"/>
      <c r="ZD159" s="53"/>
      <c r="ZE159" s="54"/>
      <c r="ZF159" s="52"/>
      <c r="ZG159" s="53"/>
      <c r="ZH159" s="54"/>
      <c r="ZI159" s="52"/>
      <c r="ZJ159" s="53"/>
      <c r="ZK159" s="8"/>
      <c r="ZL159" s="45"/>
      <c r="ZM159" s="45"/>
      <c r="ZN159" s="46"/>
      <c r="ZO159" s="44"/>
      <c r="ZP159" s="7"/>
      <c r="ZQ159" s="51"/>
      <c r="ZR159" s="52"/>
      <c r="ZS159" s="53"/>
      <c r="ZT159" s="54"/>
      <c r="ZU159" s="52"/>
      <c r="ZV159" s="53"/>
      <c r="ZW159" s="54"/>
      <c r="ZX159" s="52"/>
      <c r="ZY159" s="53"/>
      <c r="ZZ159" s="8"/>
      <c r="AAA159" s="45"/>
      <c r="AAB159" s="45"/>
      <c r="AAC159" s="46"/>
      <c r="AAD159" s="44"/>
      <c r="AAE159" s="7"/>
      <c r="AAF159" s="51"/>
      <c r="AAG159" s="52"/>
      <c r="AAH159" s="53"/>
      <c r="AAI159" s="54"/>
      <c r="AAJ159" s="52"/>
      <c r="AAK159" s="53"/>
      <c r="AAL159" s="54"/>
      <c r="AAM159" s="52"/>
      <c r="AAN159" s="53"/>
      <c r="AAO159" s="8"/>
      <c r="AAP159" s="45"/>
      <c r="AAQ159" s="45"/>
      <c r="AAR159" s="46"/>
      <c r="AAS159" s="44"/>
      <c r="AAT159" s="7"/>
      <c r="AAU159" s="51"/>
      <c r="AAV159" s="52"/>
      <c r="AAW159" s="53"/>
      <c r="AAX159" s="54"/>
      <c r="AAY159" s="52"/>
      <c r="AAZ159" s="53"/>
      <c r="ABA159" s="54"/>
      <c r="ABB159" s="52"/>
      <c r="ABC159" s="53"/>
      <c r="ABD159" s="8"/>
      <c r="ABE159" s="45"/>
      <c r="ABF159" s="45"/>
      <c r="ABG159" s="46"/>
      <c r="ABH159" s="44"/>
      <c r="ABI159" s="7"/>
      <c r="ABJ159" s="51"/>
      <c r="ABK159" s="52"/>
      <c r="ABL159" s="53"/>
      <c r="ABM159" s="54"/>
      <c r="ABN159" s="52"/>
      <c r="ABO159" s="53"/>
      <c r="ABP159" s="54"/>
      <c r="ABQ159" s="52"/>
      <c r="ABR159" s="53"/>
      <c r="ABS159" s="8"/>
      <c r="ABT159" s="45"/>
      <c r="ABU159" s="45"/>
      <c r="ABV159" s="46"/>
      <c r="ABW159" s="44"/>
      <c r="ABX159" s="7"/>
      <c r="ABY159" s="51"/>
      <c r="ABZ159" s="52"/>
      <c r="ACA159" s="53"/>
      <c r="ACB159" s="54"/>
      <c r="ACC159" s="52"/>
      <c r="ACD159" s="53"/>
      <c r="ACE159" s="54"/>
      <c r="ACF159" s="52"/>
      <c r="ACG159" s="53"/>
      <c r="ACH159" s="8"/>
      <c r="ACI159" s="45"/>
      <c r="ACJ159" s="45"/>
      <c r="ACK159" s="46"/>
      <c r="ACL159" s="44"/>
      <c r="ACM159" s="7"/>
      <c r="ACN159" s="51"/>
      <c r="ACO159" s="52"/>
      <c r="ACP159" s="53"/>
      <c r="ACQ159" s="54"/>
      <c r="ACR159" s="52"/>
      <c r="ACS159" s="53"/>
      <c r="ACT159" s="54"/>
      <c r="ACU159" s="52"/>
      <c r="ACV159" s="53"/>
      <c r="ACW159" s="8"/>
      <c r="ACX159" s="45"/>
      <c r="ACY159" s="45"/>
      <c r="ACZ159" s="46"/>
      <c r="ADA159" s="44"/>
      <c r="ADB159" s="7"/>
      <c r="ADC159" s="51"/>
      <c r="ADD159" s="52"/>
      <c r="ADE159" s="53"/>
      <c r="ADF159" s="54"/>
      <c r="ADG159" s="52"/>
      <c r="ADH159" s="53"/>
      <c r="ADI159" s="54"/>
      <c r="ADJ159" s="52"/>
      <c r="ADK159" s="53"/>
      <c r="ADL159" s="8"/>
      <c r="ADM159" s="45"/>
      <c r="ADN159" s="45"/>
      <c r="ADO159" s="46"/>
      <c r="ADP159" s="44"/>
      <c r="ADQ159" s="7"/>
      <c r="ADR159" s="51"/>
      <c r="ADS159" s="52"/>
      <c r="ADT159" s="53"/>
      <c r="ADU159" s="54"/>
      <c r="ADV159" s="52"/>
      <c r="ADW159" s="53"/>
      <c r="ADX159" s="54"/>
      <c r="ADY159" s="52"/>
      <c r="ADZ159" s="53"/>
      <c r="AEA159" s="8"/>
      <c r="AEB159" s="45"/>
      <c r="AEC159" s="45"/>
      <c r="AED159" s="46"/>
      <c r="AEE159" s="44"/>
      <c r="AEF159" s="7"/>
      <c r="AEG159" s="51"/>
      <c r="AEH159" s="52"/>
      <c r="AEI159" s="53"/>
      <c r="AEJ159" s="54"/>
      <c r="AEK159" s="52"/>
      <c r="AEL159" s="53"/>
      <c r="AEM159" s="54"/>
      <c r="AEN159" s="52"/>
      <c r="AEO159" s="53"/>
      <c r="AEP159" s="8"/>
      <c r="AEQ159" s="45"/>
      <c r="AER159" s="45"/>
      <c r="AES159" s="46"/>
      <c r="AET159" s="44"/>
      <c r="AEU159" s="7"/>
      <c r="AEV159" s="51"/>
      <c r="AEW159" s="52"/>
      <c r="AEX159" s="53"/>
      <c r="AEY159" s="54"/>
      <c r="AEZ159" s="52"/>
      <c r="AFA159" s="53"/>
      <c r="AFB159" s="54"/>
      <c r="AFC159" s="52"/>
      <c r="AFD159" s="53"/>
      <c r="AFE159" s="8"/>
      <c r="AFF159" s="45"/>
      <c r="AFG159" s="45"/>
      <c r="AFH159" s="46"/>
      <c r="AFI159" s="44"/>
      <c r="AFJ159" s="7"/>
      <c r="AFK159" s="51"/>
      <c r="AFL159" s="52"/>
      <c r="AFM159" s="53"/>
      <c r="AFN159" s="54"/>
      <c r="AFO159" s="52"/>
      <c r="AFP159" s="53"/>
      <c r="AFQ159" s="54"/>
      <c r="AFR159" s="52"/>
      <c r="AFS159" s="53"/>
      <c r="AFT159" s="8"/>
      <c r="AFU159" s="45"/>
      <c r="AFV159" s="45"/>
      <c r="AFW159" s="46"/>
      <c r="AFX159" s="44"/>
      <c r="AFY159" s="7"/>
      <c r="AFZ159" s="51"/>
      <c r="AGA159" s="52"/>
      <c r="AGB159" s="53"/>
      <c r="AGC159" s="54"/>
      <c r="AGD159" s="52"/>
      <c r="AGE159" s="53"/>
      <c r="AGF159" s="54"/>
      <c r="AGG159" s="52"/>
      <c r="AGH159" s="53"/>
      <c r="AGI159" s="8"/>
      <c r="AGJ159" s="45"/>
      <c r="AGK159" s="45"/>
      <c r="AGL159" s="46"/>
      <c r="AGM159" s="44"/>
      <c r="AGN159" s="7"/>
      <c r="AGO159" s="51"/>
      <c r="AGP159" s="52"/>
      <c r="AGQ159" s="53"/>
      <c r="AGR159" s="54"/>
      <c r="AGS159" s="52"/>
      <c r="AGT159" s="53"/>
      <c r="AGU159" s="54"/>
      <c r="AGV159" s="52"/>
      <c r="AGW159" s="53"/>
      <c r="AGX159" s="8"/>
      <c r="AGY159" s="45"/>
      <c r="AGZ159" s="45"/>
      <c r="AHA159" s="46"/>
      <c r="AHB159" s="44"/>
      <c r="AHC159" s="7"/>
      <c r="AHD159" s="51"/>
      <c r="AHE159" s="52"/>
      <c r="AHF159" s="53"/>
      <c r="AHG159" s="54"/>
      <c r="AHH159" s="52"/>
      <c r="AHI159" s="53"/>
      <c r="AHJ159" s="54"/>
      <c r="AHK159" s="52"/>
      <c r="AHL159" s="53"/>
      <c r="AHM159" s="8"/>
      <c r="AHN159" s="45"/>
      <c r="AHO159" s="45"/>
      <c r="AHP159" s="46"/>
      <c r="AHQ159" s="44"/>
      <c r="AHR159" s="7"/>
      <c r="AHS159" s="51"/>
      <c r="AHT159" s="52"/>
      <c r="AHU159" s="53"/>
      <c r="AHV159" s="54"/>
      <c r="AHW159" s="52"/>
      <c r="AHX159" s="53"/>
      <c r="AHY159" s="54"/>
      <c r="AHZ159" s="52"/>
      <c r="AIA159" s="53"/>
      <c r="AIB159" s="8"/>
      <c r="AIC159" s="45"/>
      <c r="AID159" s="45"/>
      <c r="AIE159" s="46"/>
      <c r="AIF159" s="44"/>
      <c r="AIG159" s="7"/>
      <c r="AIH159" s="51"/>
      <c r="AII159" s="52"/>
      <c r="AIJ159" s="53"/>
      <c r="AIK159" s="54"/>
      <c r="AIL159" s="52"/>
      <c r="AIM159" s="53"/>
      <c r="AIN159" s="54"/>
      <c r="AIO159" s="52"/>
      <c r="AIP159" s="53"/>
      <c r="AIQ159" s="8"/>
      <c r="AIR159" s="45"/>
      <c r="AIS159" s="45"/>
      <c r="AIT159" s="46"/>
      <c r="AIU159" s="44"/>
      <c r="AIV159" s="7"/>
      <c r="AIW159" s="51"/>
      <c r="AIX159" s="52"/>
      <c r="AIY159" s="53"/>
      <c r="AIZ159" s="54"/>
      <c r="AJA159" s="52"/>
      <c r="AJB159" s="53"/>
      <c r="AJC159" s="54"/>
      <c r="AJD159" s="52"/>
      <c r="AJE159" s="53"/>
      <c r="AJF159" s="8"/>
      <c r="AJG159" s="45"/>
      <c r="AJH159" s="45"/>
      <c r="AJI159" s="46"/>
      <c r="AJJ159" s="44"/>
      <c r="AJK159" s="7"/>
      <c r="AJL159" s="51"/>
      <c r="AJM159" s="52"/>
      <c r="AJN159" s="53"/>
      <c r="AJO159" s="54"/>
      <c r="AJP159" s="52"/>
      <c r="AJQ159" s="53"/>
      <c r="AJR159" s="54"/>
      <c r="AJS159" s="52"/>
      <c r="AJT159" s="53"/>
      <c r="AJU159" s="8"/>
      <c r="AJV159" s="45"/>
      <c r="AJW159" s="45"/>
      <c r="AJX159" s="46"/>
      <c r="AJY159" s="44"/>
      <c r="AJZ159" s="7"/>
      <c r="AKA159" s="51"/>
      <c r="AKB159" s="52"/>
      <c r="AKC159" s="53"/>
      <c r="AKD159" s="54"/>
      <c r="AKE159" s="52"/>
      <c r="AKF159" s="53"/>
      <c r="AKG159" s="54"/>
      <c r="AKH159" s="52"/>
      <c r="AKI159" s="53"/>
      <c r="AKJ159" s="8"/>
      <c r="AKK159" s="45"/>
      <c r="AKL159" s="45"/>
      <c r="AKM159" s="46"/>
      <c r="AKN159" s="44"/>
      <c r="AKO159" s="7"/>
      <c r="AKP159" s="51"/>
      <c r="AKQ159" s="52"/>
      <c r="AKR159" s="53"/>
      <c r="AKS159" s="54"/>
      <c r="AKT159" s="52"/>
      <c r="AKU159" s="53"/>
      <c r="AKV159" s="54"/>
      <c r="AKW159" s="52"/>
      <c r="AKX159" s="53"/>
      <c r="AKY159" s="8"/>
      <c r="AKZ159" s="45"/>
      <c r="ALA159" s="45"/>
      <c r="ALB159" s="46"/>
      <c r="ALC159" s="44"/>
      <c r="ALD159" s="7"/>
      <c r="ALE159" s="51"/>
      <c r="ALF159" s="52"/>
      <c r="ALG159" s="53"/>
      <c r="ALH159" s="54"/>
      <c r="ALI159" s="52"/>
      <c r="ALJ159" s="53"/>
      <c r="ALK159" s="54"/>
      <c r="ALL159" s="52"/>
      <c r="ALM159" s="53"/>
      <c r="ALN159" s="8"/>
      <c r="ALO159" s="45"/>
      <c r="ALP159" s="45"/>
      <c r="ALQ159" s="46"/>
      <c r="ALR159" s="44"/>
      <c r="ALS159" s="7"/>
      <c r="ALT159" s="51"/>
      <c r="ALU159" s="52"/>
      <c r="ALV159" s="53"/>
      <c r="ALW159" s="54"/>
      <c r="ALX159" s="52"/>
      <c r="ALY159" s="53"/>
      <c r="ALZ159" s="54"/>
      <c r="AMA159" s="52"/>
      <c r="AMB159" s="53"/>
      <c r="AMC159" s="8"/>
      <c r="AMD159" s="45"/>
      <c r="AME159" s="45"/>
      <c r="AMF159" s="46"/>
      <c r="AMG159" s="44"/>
      <c r="AMH159" s="7"/>
      <c r="AMI159" s="51"/>
      <c r="AMJ159" s="52"/>
      <c r="AMK159" s="53"/>
      <c r="AML159" s="54"/>
      <c r="AMM159" s="52"/>
      <c r="AMN159" s="53"/>
      <c r="AMO159" s="54"/>
      <c r="AMP159" s="52"/>
      <c r="AMQ159" s="53"/>
      <c r="AMR159" s="8"/>
      <c r="AMS159" s="45"/>
      <c r="AMT159" s="45"/>
      <c r="AMU159" s="46"/>
      <c r="AMV159" s="44"/>
      <c r="AMW159" s="7"/>
      <c r="AMX159" s="51"/>
      <c r="AMY159" s="52"/>
      <c r="AMZ159" s="53"/>
      <c r="ANA159" s="54"/>
      <c r="ANB159" s="52"/>
      <c r="ANC159" s="53"/>
      <c r="AND159" s="54"/>
      <c r="ANE159" s="52"/>
      <c r="ANF159" s="53"/>
      <c r="ANG159" s="8"/>
      <c r="ANH159" s="45"/>
      <c r="ANI159" s="45"/>
      <c r="ANJ159" s="46"/>
      <c r="ANK159" s="44"/>
      <c r="ANL159" s="7"/>
      <c r="ANM159" s="51"/>
      <c r="ANN159" s="52"/>
      <c r="ANO159" s="53"/>
      <c r="ANP159" s="54"/>
      <c r="ANQ159" s="52"/>
      <c r="ANR159" s="53"/>
      <c r="ANS159" s="54"/>
      <c r="ANT159" s="52"/>
      <c r="ANU159" s="53"/>
      <c r="ANV159" s="8"/>
      <c r="ANW159" s="45"/>
      <c r="ANX159" s="45"/>
      <c r="ANY159" s="46"/>
      <c r="ANZ159" s="44"/>
      <c r="AOA159" s="7"/>
      <c r="AOB159" s="51"/>
      <c r="AOC159" s="52"/>
      <c r="AOD159" s="53"/>
      <c r="AOE159" s="54"/>
      <c r="AOF159" s="52"/>
      <c r="AOG159" s="53"/>
      <c r="AOH159" s="54"/>
      <c r="AOI159" s="52"/>
      <c r="AOJ159" s="53"/>
      <c r="AOK159" s="8"/>
      <c r="AOL159" s="45"/>
      <c r="AOM159" s="45"/>
      <c r="AON159" s="46"/>
      <c r="AOO159" s="44"/>
      <c r="AOP159" s="7"/>
      <c r="AOQ159" s="51"/>
      <c r="AOR159" s="52"/>
      <c r="AOS159" s="53"/>
      <c r="AOT159" s="54"/>
      <c r="AOU159" s="52"/>
      <c r="AOV159" s="53"/>
      <c r="AOW159" s="54"/>
      <c r="AOX159" s="52"/>
      <c r="AOY159" s="53"/>
      <c r="AOZ159" s="8"/>
      <c r="APA159" s="45"/>
      <c r="APB159" s="45"/>
      <c r="APC159" s="46"/>
      <c r="APD159" s="44"/>
      <c r="APE159" s="7"/>
      <c r="APF159" s="51"/>
      <c r="APG159" s="52"/>
      <c r="APH159" s="53"/>
      <c r="API159" s="54"/>
      <c r="APJ159" s="52"/>
      <c r="APK159" s="53"/>
      <c r="APL159" s="54"/>
      <c r="APM159" s="52"/>
      <c r="APN159" s="53"/>
      <c r="APO159" s="8"/>
      <c r="APP159" s="45"/>
      <c r="APQ159" s="45"/>
      <c r="APR159" s="46"/>
      <c r="APS159" s="44"/>
      <c r="APT159" s="7"/>
      <c r="APU159" s="51"/>
      <c r="APV159" s="52"/>
      <c r="APW159" s="53"/>
      <c r="APX159" s="54"/>
      <c r="APY159" s="52"/>
      <c r="APZ159" s="53"/>
      <c r="AQA159" s="54"/>
      <c r="AQB159" s="52"/>
      <c r="AQC159" s="53"/>
      <c r="AQD159" s="8"/>
      <c r="AQE159" s="45"/>
      <c r="AQF159" s="45"/>
      <c r="AQG159" s="46"/>
      <c r="AQH159" s="44"/>
      <c r="AQI159" s="7"/>
      <c r="AQJ159" s="51"/>
      <c r="AQK159" s="52"/>
      <c r="AQL159" s="53"/>
      <c r="AQM159" s="54"/>
      <c r="AQN159" s="52"/>
      <c r="AQO159" s="53"/>
      <c r="AQP159" s="54"/>
      <c r="AQQ159" s="52"/>
      <c r="AQR159" s="53"/>
      <c r="AQS159" s="8"/>
      <c r="AQT159" s="45"/>
      <c r="AQU159" s="45"/>
      <c r="AQV159" s="46"/>
      <c r="AQW159" s="44"/>
      <c r="AQX159" s="7"/>
      <c r="AQY159" s="51"/>
      <c r="AQZ159" s="52"/>
      <c r="ARA159" s="53"/>
      <c r="ARB159" s="54"/>
      <c r="ARC159" s="52"/>
      <c r="ARD159" s="53"/>
      <c r="ARE159" s="54"/>
      <c r="ARF159" s="52"/>
      <c r="ARG159" s="53"/>
      <c r="ARH159" s="8"/>
      <c r="ARI159" s="45"/>
      <c r="ARJ159" s="45"/>
      <c r="ARK159" s="46"/>
      <c r="ARL159" s="44"/>
      <c r="ARM159" s="7"/>
      <c r="ARN159" s="51"/>
      <c r="ARO159" s="52"/>
      <c r="ARP159" s="53"/>
      <c r="ARQ159" s="54"/>
      <c r="ARR159" s="52"/>
      <c r="ARS159" s="53"/>
      <c r="ART159" s="54"/>
      <c r="ARU159" s="52"/>
      <c r="ARV159" s="53"/>
      <c r="ARW159" s="8"/>
      <c r="ARX159" s="45"/>
      <c r="ARY159" s="45"/>
      <c r="ARZ159" s="46"/>
      <c r="ASA159" s="44"/>
      <c r="ASB159" s="7"/>
      <c r="ASC159" s="51"/>
      <c r="ASD159" s="52"/>
      <c r="ASE159" s="53"/>
      <c r="ASF159" s="54"/>
      <c r="ASG159" s="52"/>
      <c r="ASH159" s="53"/>
      <c r="ASI159" s="54"/>
      <c r="ASJ159" s="52"/>
      <c r="ASK159" s="53"/>
      <c r="ASL159" s="8"/>
      <c r="ASM159" s="45"/>
      <c r="ASN159" s="45"/>
      <c r="ASO159" s="46"/>
      <c r="ASP159" s="44"/>
      <c r="ASQ159" s="7"/>
      <c r="ASR159" s="51"/>
      <c r="ASS159" s="52"/>
      <c r="AST159" s="53"/>
      <c r="ASU159" s="54"/>
      <c r="ASV159" s="52"/>
      <c r="ASW159" s="53"/>
      <c r="ASX159" s="54"/>
      <c r="ASY159" s="52"/>
      <c r="ASZ159" s="53"/>
      <c r="ATA159" s="8"/>
      <c r="ATB159" s="45"/>
      <c r="ATC159" s="45"/>
      <c r="ATD159" s="46"/>
      <c r="ATE159" s="44"/>
      <c r="ATF159" s="7"/>
      <c r="ATG159" s="51"/>
      <c r="ATH159" s="52"/>
      <c r="ATI159" s="53"/>
      <c r="ATJ159" s="54"/>
      <c r="ATK159" s="52"/>
      <c r="ATL159" s="53"/>
      <c r="ATM159" s="54"/>
      <c r="ATN159" s="52"/>
      <c r="ATO159" s="53"/>
      <c r="ATP159" s="8"/>
      <c r="ATQ159" s="45"/>
      <c r="ATR159" s="45"/>
      <c r="ATS159" s="46"/>
      <c r="ATT159" s="44"/>
      <c r="ATU159" s="7"/>
      <c r="ATV159" s="51"/>
      <c r="ATW159" s="52"/>
      <c r="ATX159" s="53"/>
      <c r="ATY159" s="54"/>
      <c r="ATZ159" s="52"/>
      <c r="AUA159" s="53"/>
      <c r="AUB159" s="54"/>
      <c r="AUC159" s="52"/>
      <c r="AUD159" s="53"/>
      <c r="AUE159" s="8"/>
      <c r="AUF159" s="45"/>
      <c r="AUG159" s="45"/>
      <c r="AUH159" s="46"/>
      <c r="AUI159" s="44"/>
      <c r="AUJ159" s="7"/>
      <c r="AUK159" s="51"/>
      <c r="AUL159" s="52"/>
      <c r="AUM159" s="53"/>
      <c r="AUN159" s="54"/>
      <c r="AUO159" s="52"/>
      <c r="AUP159" s="53"/>
      <c r="AUQ159" s="54"/>
      <c r="AUR159" s="52"/>
      <c r="AUS159" s="53"/>
      <c r="AUT159" s="8"/>
      <c r="AUU159" s="45"/>
      <c r="AUV159" s="45"/>
      <c r="AUW159" s="46"/>
      <c r="AUX159" s="44"/>
      <c r="AUY159" s="7"/>
      <c r="AUZ159" s="51"/>
      <c r="AVA159" s="52"/>
      <c r="AVB159" s="53"/>
      <c r="AVC159" s="54"/>
      <c r="AVD159" s="52"/>
      <c r="AVE159" s="53"/>
      <c r="AVF159" s="54"/>
      <c r="AVG159" s="52"/>
      <c r="AVH159" s="53"/>
      <c r="AVI159" s="8"/>
      <c r="AVJ159" s="45"/>
      <c r="AVK159" s="45"/>
      <c r="AVL159" s="46"/>
      <c r="AVM159" s="44"/>
      <c r="AVN159" s="7"/>
      <c r="AVO159" s="51"/>
      <c r="AVP159" s="52"/>
      <c r="AVQ159" s="53"/>
      <c r="AVR159" s="54"/>
      <c r="AVS159" s="52"/>
      <c r="AVT159" s="53"/>
      <c r="AVU159" s="54"/>
      <c r="AVV159" s="52"/>
      <c r="AVW159" s="53"/>
      <c r="AVX159" s="8"/>
      <c r="AVY159" s="45"/>
      <c r="AVZ159" s="45"/>
      <c r="AWA159" s="46"/>
      <c r="AWB159" s="44"/>
      <c r="AWC159" s="7"/>
      <c r="AWD159" s="51"/>
      <c r="AWE159" s="52"/>
      <c r="AWF159" s="53"/>
      <c r="AWG159" s="54"/>
      <c r="AWH159" s="52"/>
      <c r="AWI159" s="53"/>
      <c r="AWJ159" s="54"/>
      <c r="AWK159" s="52"/>
      <c r="AWL159" s="53"/>
      <c r="AWM159" s="8"/>
      <c r="AWN159" s="45"/>
      <c r="AWO159" s="45"/>
      <c r="AWP159" s="46"/>
      <c r="AWQ159" s="44"/>
      <c r="AWR159" s="7"/>
      <c r="AWS159" s="51"/>
      <c r="AWT159" s="52"/>
      <c r="AWU159" s="53"/>
      <c r="AWV159" s="54"/>
      <c r="AWW159" s="52"/>
      <c r="AWX159" s="53"/>
      <c r="AWY159" s="54"/>
      <c r="AWZ159" s="52"/>
      <c r="AXA159" s="53"/>
      <c r="AXB159" s="8"/>
      <c r="AXC159" s="45"/>
      <c r="AXD159" s="45"/>
      <c r="AXE159" s="46"/>
      <c r="AXF159" s="44"/>
      <c r="AXG159" s="7"/>
      <c r="AXH159" s="51"/>
      <c r="AXI159" s="52"/>
      <c r="AXJ159" s="53"/>
      <c r="AXK159" s="54"/>
      <c r="AXL159" s="52"/>
      <c r="AXM159" s="53"/>
      <c r="AXN159" s="54"/>
      <c r="AXO159" s="52"/>
      <c r="AXP159" s="53"/>
      <c r="AXQ159" s="8"/>
      <c r="AXR159" s="45"/>
      <c r="AXS159" s="45"/>
      <c r="AXT159" s="46"/>
      <c r="AXU159" s="44"/>
      <c r="AXV159" s="7"/>
      <c r="AXW159" s="51"/>
      <c r="AXX159" s="52"/>
      <c r="AXY159" s="53"/>
      <c r="AXZ159" s="54"/>
      <c r="AYA159" s="52"/>
      <c r="AYB159" s="53"/>
      <c r="AYC159" s="54"/>
      <c r="AYD159" s="52"/>
      <c r="AYE159" s="53"/>
      <c r="AYF159" s="8"/>
      <c r="AYG159" s="45"/>
      <c r="AYH159" s="45"/>
      <c r="AYI159" s="46"/>
      <c r="AYJ159" s="44"/>
      <c r="AYK159" s="7"/>
      <c r="AYL159" s="51"/>
      <c r="AYM159" s="52"/>
      <c r="AYN159" s="53"/>
      <c r="AYO159" s="54"/>
      <c r="AYP159" s="52"/>
      <c r="AYQ159" s="53"/>
      <c r="AYR159" s="54"/>
      <c r="AYS159" s="52"/>
      <c r="AYT159" s="53"/>
      <c r="AYU159" s="8"/>
      <c r="AYV159" s="45"/>
      <c r="AYW159" s="45"/>
      <c r="AYX159" s="46"/>
      <c r="AYY159" s="44"/>
      <c r="AYZ159" s="7"/>
      <c r="AZA159" s="51"/>
      <c r="AZB159" s="52"/>
      <c r="AZC159" s="53"/>
      <c r="AZD159" s="54"/>
      <c r="AZE159" s="52"/>
      <c r="AZF159" s="53"/>
      <c r="AZG159" s="54"/>
      <c r="AZH159" s="52"/>
      <c r="AZI159" s="53"/>
      <c r="AZJ159" s="8"/>
      <c r="AZK159" s="45"/>
      <c r="AZL159" s="45"/>
      <c r="AZM159" s="46"/>
      <c r="AZN159" s="44"/>
      <c r="AZO159" s="7"/>
      <c r="AZP159" s="51"/>
      <c r="AZQ159" s="52"/>
      <c r="AZR159" s="53"/>
      <c r="AZS159" s="54"/>
      <c r="AZT159" s="52"/>
      <c r="AZU159" s="53"/>
      <c r="AZV159" s="54"/>
      <c r="AZW159" s="52"/>
      <c r="AZX159" s="53"/>
      <c r="AZY159" s="8"/>
      <c r="AZZ159" s="45"/>
      <c r="BAA159" s="45"/>
      <c r="BAB159" s="46"/>
      <c r="BAC159" s="44"/>
      <c r="BAD159" s="7"/>
      <c r="BAE159" s="51"/>
      <c r="BAF159" s="52"/>
      <c r="BAG159" s="53"/>
      <c r="BAH159" s="54"/>
      <c r="BAI159" s="52"/>
      <c r="BAJ159" s="53"/>
      <c r="BAK159" s="54"/>
      <c r="BAL159" s="52"/>
      <c r="BAM159" s="53"/>
      <c r="BAN159" s="8"/>
      <c r="BAO159" s="45"/>
      <c r="BAP159" s="45"/>
      <c r="BAQ159" s="46"/>
      <c r="BAR159" s="44"/>
      <c r="BAS159" s="7"/>
      <c r="BAT159" s="51"/>
      <c r="BAU159" s="52"/>
      <c r="BAV159" s="53"/>
      <c r="BAW159" s="54"/>
      <c r="BAX159" s="52"/>
      <c r="BAY159" s="53"/>
      <c r="BAZ159" s="54"/>
      <c r="BBA159" s="52"/>
      <c r="BBB159" s="53"/>
      <c r="BBC159" s="8"/>
      <c r="BBD159" s="45"/>
      <c r="BBE159" s="45"/>
      <c r="BBF159" s="46"/>
      <c r="BBG159" s="44"/>
      <c r="BBH159" s="7"/>
      <c r="BBI159" s="51"/>
      <c r="BBJ159" s="52"/>
      <c r="BBK159" s="53"/>
      <c r="BBL159" s="54"/>
      <c r="BBM159" s="52"/>
      <c r="BBN159" s="53"/>
      <c r="BBO159" s="54"/>
      <c r="BBP159" s="52"/>
      <c r="BBQ159" s="53"/>
      <c r="BBR159" s="8"/>
      <c r="BBS159" s="45"/>
      <c r="BBT159" s="45"/>
      <c r="BBU159" s="46"/>
      <c r="BBV159" s="44"/>
      <c r="BBW159" s="7"/>
      <c r="BBX159" s="51"/>
      <c r="BBY159" s="52"/>
      <c r="BBZ159" s="53"/>
      <c r="BCA159" s="54"/>
      <c r="BCB159" s="52"/>
      <c r="BCC159" s="53"/>
      <c r="BCD159" s="54"/>
      <c r="BCE159" s="52"/>
      <c r="BCF159" s="53"/>
      <c r="BCG159" s="8"/>
      <c r="BCH159" s="45"/>
      <c r="BCI159" s="45"/>
      <c r="BCJ159" s="46"/>
      <c r="BCK159" s="44"/>
      <c r="BCL159" s="7"/>
      <c r="BCM159" s="51"/>
      <c r="BCN159" s="52"/>
      <c r="BCO159" s="53"/>
      <c r="BCP159" s="54"/>
      <c r="BCQ159" s="52"/>
      <c r="BCR159" s="53"/>
      <c r="BCS159" s="54"/>
      <c r="BCT159" s="52"/>
      <c r="BCU159" s="53"/>
      <c r="BCV159" s="8"/>
      <c r="BCW159" s="45"/>
      <c r="BCX159" s="45"/>
      <c r="BCY159" s="46"/>
      <c r="BCZ159" s="44"/>
      <c r="BDA159" s="7"/>
      <c r="BDB159" s="51"/>
      <c r="BDC159" s="52"/>
      <c r="BDD159" s="53"/>
      <c r="BDE159" s="54"/>
      <c r="BDF159" s="52"/>
      <c r="BDG159" s="53"/>
      <c r="BDH159" s="54"/>
      <c r="BDI159" s="52"/>
      <c r="BDJ159" s="53"/>
      <c r="BDK159" s="8"/>
      <c r="BDL159" s="45"/>
      <c r="BDM159" s="45"/>
      <c r="BDN159" s="46"/>
      <c r="BDO159" s="44"/>
      <c r="BDP159" s="7"/>
      <c r="BDQ159" s="51"/>
      <c r="BDR159" s="52"/>
      <c r="BDS159" s="53"/>
      <c r="BDT159" s="54"/>
      <c r="BDU159" s="52"/>
      <c r="BDV159" s="53"/>
      <c r="BDW159" s="54"/>
      <c r="BDX159" s="52"/>
      <c r="BDY159" s="53"/>
      <c r="BDZ159" s="8"/>
      <c r="BEA159" s="45"/>
      <c r="BEB159" s="45"/>
      <c r="BEC159" s="46"/>
      <c r="BED159" s="44"/>
      <c r="BEE159" s="7"/>
      <c r="BEF159" s="51"/>
      <c r="BEG159" s="52"/>
      <c r="BEH159" s="53"/>
      <c r="BEI159" s="54"/>
      <c r="BEJ159" s="52"/>
      <c r="BEK159" s="53"/>
      <c r="BEL159" s="54"/>
      <c r="BEM159" s="52"/>
      <c r="BEN159" s="53"/>
      <c r="BEO159" s="8"/>
      <c r="BEP159" s="45"/>
      <c r="BEQ159" s="45"/>
      <c r="BER159" s="46"/>
      <c r="BES159" s="44"/>
      <c r="BET159" s="7"/>
      <c r="BEU159" s="51"/>
      <c r="BEV159" s="52"/>
      <c r="BEW159" s="53"/>
      <c r="BEX159" s="54"/>
      <c r="BEY159" s="52"/>
      <c r="BEZ159" s="53"/>
      <c r="BFA159" s="54"/>
      <c r="BFB159" s="52"/>
      <c r="BFC159" s="53"/>
      <c r="BFD159" s="8"/>
      <c r="BFE159" s="45"/>
      <c r="BFF159" s="45"/>
      <c r="BFG159" s="46"/>
      <c r="BFH159" s="44"/>
      <c r="BFI159" s="7"/>
      <c r="BFJ159" s="51"/>
      <c r="BFK159" s="52"/>
      <c r="BFL159" s="53"/>
      <c r="BFM159" s="54"/>
      <c r="BFN159" s="52"/>
      <c r="BFO159" s="53"/>
      <c r="BFP159" s="54"/>
      <c r="BFQ159" s="52"/>
      <c r="BFR159" s="53"/>
      <c r="BFS159" s="8"/>
      <c r="BFT159" s="45"/>
      <c r="BFU159" s="45"/>
      <c r="BFV159" s="46"/>
      <c r="BFW159" s="44"/>
      <c r="BFX159" s="7"/>
      <c r="BFY159" s="51"/>
      <c r="BFZ159" s="52"/>
      <c r="BGA159" s="53"/>
      <c r="BGB159" s="54"/>
      <c r="BGC159" s="52"/>
      <c r="BGD159" s="53"/>
      <c r="BGE159" s="54"/>
      <c r="BGF159" s="52"/>
      <c r="BGG159" s="53"/>
      <c r="BGH159" s="8"/>
      <c r="BGI159" s="45"/>
      <c r="BGJ159" s="45"/>
      <c r="BGK159" s="46"/>
      <c r="BGL159" s="44"/>
      <c r="BGM159" s="7"/>
      <c r="BGN159" s="51"/>
      <c r="BGO159" s="52"/>
      <c r="BGP159" s="53"/>
      <c r="BGQ159" s="54"/>
      <c r="BGR159" s="52"/>
      <c r="BGS159" s="53"/>
      <c r="BGT159" s="54"/>
      <c r="BGU159" s="52"/>
      <c r="BGV159" s="53"/>
      <c r="BGW159" s="8"/>
      <c r="BGX159" s="45"/>
      <c r="BGY159" s="45"/>
      <c r="BGZ159" s="46"/>
      <c r="BHA159" s="44"/>
      <c r="BHB159" s="7"/>
      <c r="BHC159" s="51"/>
      <c r="BHD159" s="52"/>
      <c r="BHE159" s="53"/>
      <c r="BHF159" s="54"/>
      <c r="BHG159" s="52"/>
      <c r="BHH159" s="53"/>
      <c r="BHI159" s="54"/>
      <c r="BHJ159" s="52"/>
      <c r="BHK159" s="53"/>
      <c r="BHL159" s="8"/>
      <c r="BHM159" s="45"/>
      <c r="BHN159" s="45"/>
      <c r="BHO159" s="46"/>
      <c r="BHP159" s="44"/>
      <c r="BHQ159" s="7"/>
      <c r="BHR159" s="51"/>
      <c r="BHS159" s="52"/>
      <c r="BHT159" s="53"/>
      <c r="BHU159" s="54"/>
      <c r="BHV159" s="52"/>
      <c r="BHW159" s="53"/>
      <c r="BHX159" s="54"/>
      <c r="BHY159" s="52"/>
      <c r="BHZ159" s="53"/>
      <c r="BIA159" s="8"/>
      <c r="BIB159" s="45"/>
      <c r="BIC159" s="45"/>
      <c r="BID159" s="46"/>
      <c r="BIE159" s="44"/>
      <c r="BIF159" s="7"/>
      <c r="BIG159" s="51"/>
      <c r="BIH159" s="52"/>
      <c r="BII159" s="53"/>
      <c r="BIJ159" s="54"/>
      <c r="BIK159" s="52"/>
      <c r="BIL159" s="53"/>
      <c r="BIM159" s="54"/>
      <c r="BIN159" s="52"/>
      <c r="BIO159" s="53"/>
      <c r="BIP159" s="8"/>
      <c r="BIQ159" s="45"/>
      <c r="BIR159" s="45"/>
      <c r="BIS159" s="46"/>
      <c r="BIT159" s="44"/>
      <c r="BIU159" s="7"/>
      <c r="BIV159" s="51"/>
      <c r="BIW159" s="52"/>
      <c r="BIX159" s="53"/>
      <c r="BIY159" s="54"/>
      <c r="BIZ159" s="52"/>
      <c r="BJA159" s="53"/>
      <c r="BJB159" s="54"/>
      <c r="BJC159" s="52"/>
      <c r="BJD159" s="53"/>
      <c r="BJE159" s="8"/>
      <c r="BJF159" s="45"/>
      <c r="BJG159" s="45"/>
      <c r="BJH159" s="46"/>
      <c r="BJI159" s="44"/>
      <c r="BJJ159" s="7"/>
      <c r="BJK159" s="51"/>
      <c r="BJL159" s="52"/>
      <c r="BJM159" s="53"/>
      <c r="BJN159" s="54"/>
      <c r="BJO159" s="52"/>
      <c r="BJP159" s="53"/>
      <c r="BJQ159" s="54"/>
      <c r="BJR159" s="52"/>
      <c r="BJS159" s="53"/>
      <c r="BJT159" s="8"/>
      <c r="BJU159" s="45"/>
      <c r="BJV159" s="45"/>
      <c r="BJW159" s="46"/>
      <c r="BJX159" s="44"/>
      <c r="BJY159" s="7"/>
      <c r="BJZ159" s="51"/>
      <c r="BKA159" s="52"/>
      <c r="BKB159" s="53"/>
      <c r="BKC159" s="54"/>
      <c r="BKD159" s="52"/>
      <c r="BKE159" s="53"/>
      <c r="BKF159" s="54"/>
      <c r="BKG159" s="52"/>
      <c r="BKH159" s="53"/>
      <c r="BKI159" s="8"/>
      <c r="BKJ159" s="45"/>
      <c r="BKK159" s="45"/>
      <c r="BKL159" s="46"/>
      <c r="BKM159" s="44"/>
      <c r="BKN159" s="7"/>
      <c r="BKO159" s="51"/>
      <c r="BKP159" s="52"/>
      <c r="BKQ159" s="53"/>
      <c r="BKR159" s="54"/>
      <c r="BKS159" s="52"/>
      <c r="BKT159" s="53"/>
      <c r="BKU159" s="54"/>
      <c r="BKV159" s="52"/>
      <c r="BKW159" s="53"/>
      <c r="BKX159" s="8"/>
      <c r="BKY159" s="45"/>
      <c r="BKZ159" s="45"/>
      <c r="BLA159" s="46"/>
      <c r="BLB159" s="44"/>
      <c r="BLC159" s="7"/>
      <c r="BLD159" s="51"/>
      <c r="BLE159" s="52"/>
      <c r="BLF159" s="53"/>
      <c r="BLG159" s="54"/>
      <c r="BLH159" s="52"/>
      <c r="BLI159" s="53"/>
      <c r="BLJ159" s="54"/>
      <c r="BLK159" s="52"/>
      <c r="BLL159" s="53"/>
      <c r="BLM159" s="8"/>
      <c r="BLN159" s="45"/>
      <c r="BLO159" s="45"/>
      <c r="BLP159" s="46"/>
      <c r="BLQ159" s="44"/>
      <c r="BLR159" s="7"/>
      <c r="BLS159" s="51"/>
      <c r="BLT159" s="52"/>
      <c r="BLU159" s="53"/>
      <c r="BLV159" s="54"/>
      <c r="BLW159" s="52"/>
      <c r="BLX159" s="53"/>
      <c r="BLY159" s="54"/>
      <c r="BLZ159" s="52"/>
      <c r="BMA159" s="53"/>
      <c r="BMB159" s="8"/>
      <c r="BMC159" s="45"/>
      <c r="BMD159" s="45"/>
      <c r="BME159" s="46"/>
      <c r="BMF159" s="44"/>
      <c r="BMG159" s="7"/>
      <c r="BMH159" s="51"/>
      <c r="BMI159" s="52"/>
      <c r="BMJ159" s="53"/>
      <c r="BMK159" s="54"/>
      <c r="BML159" s="52"/>
      <c r="BMM159" s="53"/>
      <c r="BMN159" s="54"/>
      <c r="BMO159" s="52"/>
      <c r="BMP159" s="53"/>
      <c r="BMQ159" s="8"/>
      <c r="BMR159" s="45"/>
      <c r="BMS159" s="45"/>
      <c r="BMT159" s="46"/>
      <c r="BMU159" s="44"/>
      <c r="BMV159" s="7"/>
      <c r="BMW159" s="51"/>
      <c r="BMX159" s="52"/>
      <c r="BMY159" s="53"/>
      <c r="BMZ159" s="54"/>
      <c r="BNA159" s="52"/>
      <c r="BNB159" s="53"/>
      <c r="BNC159" s="54"/>
      <c r="BND159" s="52"/>
      <c r="BNE159" s="53"/>
      <c r="BNF159" s="8"/>
      <c r="BNG159" s="45"/>
      <c r="BNH159" s="45"/>
      <c r="BNI159" s="46"/>
      <c r="BNJ159" s="44"/>
      <c r="BNK159" s="7"/>
      <c r="BNL159" s="51"/>
      <c r="BNM159" s="52"/>
      <c r="BNN159" s="53"/>
      <c r="BNO159" s="54"/>
      <c r="BNP159" s="52"/>
      <c r="BNQ159" s="53"/>
      <c r="BNR159" s="54"/>
      <c r="BNS159" s="52"/>
      <c r="BNT159" s="53"/>
      <c r="BNU159" s="8"/>
      <c r="BNV159" s="45"/>
      <c r="BNW159" s="45"/>
      <c r="BNX159" s="46"/>
      <c r="BNY159" s="44"/>
      <c r="BNZ159" s="7"/>
      <c r="BOA159" s="51"/>
      <c r="BOB159" s="52"/>
      <c r="BOC159" s="53"/>
      <c r="BOD159" s="54"/>
      <c r="BOE159" s="52"/>
      <c r="BOF159" s="53"/>
      <c r="BOG159" s="54"/>
      <c r="BOH159" s="52"/>
      <c r="BOI159" s="53"/>
      <c r="BOJ159" s="8"/>
      <c r="BOK159" s="45"/>
      <c r="BOL159" s="45"/>
      <c r="BOM159" s="46"/>
      <c r="BON159" s="44"/>
      <c r="BOO159" s="7"/>
      <c r="BOP159" s="51"/>
      <c r="BOQ159" s="52"/>
      <c r="BOR159" s="53"/>
      <c r="BOS159" s="54"/>
      <c r="BOT159" s="52"/>
      <c r="BOU159" s="53"/>
      <c r="BOV159" s="54"/>
      <c r="BOW159" s="52"/>
      <c r="BOX159" s="53"/>
      <c r="BOY159" s="8"/>
      <c r="BOZ159" s="45"/>
      <c r="BPA159" s="45"/>
      <c r="BPB159" s="46"/>
      <c r="BPC159" s="44"/>
      <c r="BPD159" s="7"/>
      <c r="BPE159" s="51"/>
      <c r="BPF159" s="52"/>
      <c r="BPG159" s="53"/>
      <c r="BPH159" s="54"/>
      <c r="BPI159" s="52"/>
      <c r="BPJ159" s="53"/>
      <c r="BPK159" s="54"/>
      <c r="BPL159" s="52"/>
      <c r="BPM159" s="53"/>
      <c r="BPN159" s="8"/>
      <c r="BPO159" s="45"/>
      <c r="BPP159" s="45"/>
      <c r="BPQ159" s="46"/>
      <c r="BPR159" s="44"/>
      <c r="BPS159" s="7"/>
      <c r="BPT159" s="51"/>
      <c r="BPU159" s="52"/>
      <c r="BPV159" s="53"/>
      <c r="BPW159" s="54"/>
      <c r="BPX159" s="52"/>
      <c r="BPY159" s="53"/>
      <c r="BPZ159" s="54"/>
      <c r="BQA159" s="52"/>
      <c r="BQB159" s="53"/>
      <c r="BQC159" s="8"/>
      <c r="BQD159" s="45"/>
      <c r="BQE159" s="45"/>
      <c r="BQF159" s="46"/>
      <c r="BQG159" s="44"/>
      <c r="BQH159" s="7"/>
      <c r="BQI159" s="51"/>
      <c r="BQJ159" s="52"/>
      <c r="BQK159" s="53"/>
      <c r="BQL159" s="54"/>
      <c r="BQM159" s="52"/>
      <c r="BQN159" s="53"/>
      <c r="BQO159" s="54"/>
      <c r="BQP159" s="52"/>
      <c r="BQQ159" s="53"/>
      <c r="BQR159" s="8"/>
      <c r="BQS159" s="45"/>
      <c r="BQT159" s="45"/>
      <c r="BQU159" s="46"/>
      <c r="BQV159" s="44"/>
      <c r="BQW159" s="7"/>
      <c r="BQX159" s="51"/>
      <c r="BQY159" s="52"/>
      <c r="BQZ159" s="53"/>
      <c r="BRA159" s="54"/>
      <c r="BRB159" s="52"/>
      <c r="BRC159" s="53"/>
      <c r="BRD159" s="54"/>
      <c r="BRE159" s="52"/>
      <c r="BRF159" s="53"/>
      <c r="BRG159" s="8"/>
      <c r="BRH159" s="45"/>
      <c r="BRI159" s="45"/>
      <c r="BRJ159" s="46"/>
      <c r="BRK159" s="44"/>
      <c r="BRL159" s="7"/>
      <c r="BRM159" s="51"/>
      <c r="BRN159" s="52"/>
      <c r="BRO159" s="53"/>
      <c r="BRP159" s="54"/>
      <c r="BRQ159" s="52"/>
      <c r="BRR159" s="53"/>
      <c r="BRS159" s="54"/>
      <c r="BRT159" s="52"/>
      <c r="BRU159" s="53"/>
      <c r="BRV159" s="8"/>
      <c r="BRW159" s="45"/>
      <c r="BRX159" s="45"/>
      <c r="BRY159" s="46"/>
      <c r="BRZ159" s="44"/>
      <c r="BSA159" s="7"/>
      <c r="BSB159" s="51"/>
      <c r="BSC159" s="52"/>
      <c r="BSD159" s="53"/>
      <c r="BSE159" s="54"/>
      <c r="BSF159" s="52"/>
      <c r="BSG159" s="53"/>
      <c r="BSH159" s="54"/>
      <c r="BSI159" s="52"/>
      <c r="BSJ159" s="53"/>
      <c r="BSK159" s="8"/>
      <c r="BSL159" s="45"/>
      <c r="BSM159" s="45"/>
      <c r="BSN159" s="46"/>
      <c r="BSO159" s="44"/>
      <c r="BSP159" s="7"/>
      <c r="BSQ159" s="51"/>
      <c r="BSR159" s="52"/>
      <c r="BSS159" s="53"/>
      <c r="BST159" s="54"/>
      <c r="BSU159" s="52"/>
      <c r="BSV159" s="53"/>
      <c r="BSW159" s="54"/>
      <c r="BSX159" s="52"/>
      <c r="BSY159" s="53"/>
      <c r="BSZ159" s="8"/>
      <c r="BTA159" s="45"/>
      <c r="BTB159" s="45"/>
      <c r="BTC159" s="46"/>
      <c r="BTD159" s="44"/>
      <c r="BTE159" s="7"/>
      <c r="BTF159" s="51"/>
      <c r="BTG159" s="52"/>
      <c r="BTH159" s="53"/>
      <c r="BTI159" s="54"/>
      <c r="BTJ159" s="52"/>
      <c r="BTK159" s="53"/>
      <c r="BTL159" s="54"/>
      <c r="BTM159" s="52"/>
      <c r="BTN159" s="53"/>
      <c r="BTO159" s="8"/>
      <c r="BTP159" s="45"/>
      <c r="BTQ159" s="45"/>
      <c r="BTR159" s="46"/>
      <c r="BTS159" s="44"/>
      <c r="BTT159" s="7"/>
      <c r="BTU159" s="51"/>
      <c r="BTV159" s="52"/>
      <c r="BTW159" s="53"/>
      <c r="BTX159" s="54"/>
      <c r="BTY159" s="52"/>
      <c r="BTZ159" s="53"/>
      <c r="BUA159" s="54"/>
      <c r="BUB159" s="52"/>
      <c r="BUC159" s="53"/>
      <c r="BUD159" s="8"/>
      <c r="BUE159" s="45"/>
      <c r="BUF159" s="45"/>
      <c r="BUG159" s="46"/>
      <c r="BUH159" s="44"/>
      <c r="BUI159" s="7"/>
      <c r="BUJ159" s="51"/>
      <c r="BUK159" s="52"/>
      <c r="BUL159" s="53"/>
      <c r="BUM159" s="54"/>
      <c r="BUN159" s="52"/>
      <c r="BUO159" s="53"/>
      <c r="BUP159" s="54"/>
      <c r="BUQ159" s="52"/>
      <c r="BUR159" s="53"/>
      <c r="BUS159" s="8"/>
      <c r="BUT159" s="45"/>
      <c r="BUU159" s="45"/>
      <c r="BUV159" s="46"/>
      <c r="BUW159" s="44"/>
      <c r="BUX159" s="7"/>
      <c r="BUY159" s="51"/>
      <c r="BUZ159" s="52"/>
      <c r="BVA159" s="53"/>
      <c r="BVB159" s="54"/>
      <c r="BVC159" s="52"/>
      <c r="BVD159" s="53"/>
      <c r="BVE159" s="54"/>
      <c r="BVF159" s="52"/>
      <c r="BVG159" s="53"/>
      <c r="BVH159" s="8"/>
      <c r="BVI159" s="45"/>
      <c r="BVJ159" s="45"/>
      <c r="BVK159" s="46"/>
      <c r="BVL159" s="44"/>
      <c r="BVM159" s="7"/>
      <c r="BVN159" s="51"/>
      <c r="BVO159" s="52"/>
      <c r="BVP159" s="53"/>
      <c r="BVQ159" s="54"/>
      <c r="BVR159" s="52"/>
      <c r="BVS159" s="53"/>
      <c r="BVT159" s="54"/>
      <c r="BVU159" s="52"/>
      <c r="BVV159" s="53"/>
      <c r="BVW159" s="8"/>
      <c r="BVX159" s="45"/>
      <c r="BVY159" s="45"/>
      <c r="BVZ159" s="46"/>
      <c r="BWA159" s="44"/>
      <c r="BWB159" s="7"/>
      <c r="BWC159" s="51"/>
      <c r="BWD159" s="52"/>
      <c r="BWE159" s="53"/>
      <c r="BWF159" s="54"/>
      <c r="BWG159" s="52"/>
      <c r="BWH159" s="53"/>
      <c r="BWI159" s="54"/>
      <c r="BWJ159" s="52"/>
      <c r="BWK159" s="53"/>
      <c r="BWL159" s="8"/>
      <c r="BWM159" s="45"/>
      <c r="BWN159" s="45"/>
      <c r="BWO159" s="46"/>
      <c r="BWP159" s="44"/>
      <c r="BWQ159" s="7"/>
      <c r="BWR159" s="51"/>
      <c r="BWS159" s="52"/>
      <c r="BWT159" s="53"/>
      <c r="BWU159" s="54"/>
      <c r="BWV159" s="52"/>
      <c r="BWW159" s="53"/>
      <c r="BWX159" s="54"/>
      <c r="BWY159" s="52"/>
      <c r="BWZ159" s="53"/>
      <c r="BXA159" s="8"/>
      <c r="BXB159" s="45"/>
      <c r="BXC159" s="45"/>
      <c r="BXD159" s="46"/>
      <c r="BXE159" s="44"/>
      <c r="BXF159" s="7"/>
      <c r="BXG159" s="51"/>
      <c r="BXH159" s="52"/>
      <c r="BXI159" s="53"/>
      <c r="BXJ159" s="54"/>
      <c r="BXK159" s="52"/>
      <c r="BXL159" s="53"/>
      <c r="BXM159" s="54"/>
      <c r="BXN159" s="52"/>
      <c r="BXO159" s="53"/>
      <c r="BXP159" s="8"/>
      <c r="BXQ159" s="45"/>
      <c r="BXR159" s="45"/>
      <c r="BXS159" s="46"/>
      <c r="BXT159" s="44"/>
      <c r="BXU159" s="7"/>
      <c r="BXV159" s="51"/>
      <c r="BXW159" s="52"/>
      <c r="BXX159" s="53"/>
      <c r="BXY159" s="54"/>
      <c r="BXZ159" s="52"/>
      <c r="BYA159" s="53"/>
      <c r="BYB159" s="54"/>
      <c r="BYC159" s="52"/>
      <c r="BYD159" s="53"/>
      <c r="BYE159" s="8"/>
      <c r="BYF159" s="45"/>
      <c r="BYG159" s="45"/>
      <c r="BYH159" s="46"/>
      <c r="BYI159" s="44"/>
      <c r="BYJ159" s="7"/>
      <c r="BYK159" s="51"/>
      <c r="BYL159" s="52"/>
      <c r="BYM159" s="53"/>
      <c r="BYN159" s="54"/>
      <c r="BYO159" s="52"/>
      <c r="BYP159" s="53"/>
      <c r="BYQ159" s="54"/>
      <c r="BYR159" s="52"/>
      <c r="BYS159" s="53"/>
      <c r="BYT159" s="8"/>
      <c r="BYU159" s="45"/>
      <c r="BYV159" s="45"/>
      <c r="BYW159" s="46"/>
      <c r="BYX159" s="44"/>
      <c r="BYY159" s="7"/>
      <c r="BYZ159" s="51"/>
      <c r="BZA159" s="52"/>
      <c r="BZB159" s="53"/>
      <c r="BZC159" s="54"/>
      <c r="BZD159" s="52"/>
      <c r="BZE159" s="53"/>
      <c r="BZF159" s="54"/>
      <c r="BZG159" s="52"/>
      <c r="BZH159" s="53"/>
      <c r="BZI159" s="8"/>
      <c r="BZJ159" s="45"/>
      <c r="BZK159" s="45"/>
      <c r="BZL159" s="46"/>
      <c r="BZM159" s="44"/>
      <c r="BZN159" s="7"/>
      <c r="BZO159" s="51"/>
      <c r="BZP159" s="52"/>
      <c r="BZQ159" s="53"/>
      <c r="BZR159" s="54"/>
      <c r="BZS159" s="52"/>
      <c r="BZT159" s="53"/>
      <c r="BZU159" s="54"/>
      <c r="BZV159" s="52"/>
      <c r="BZW159" s="53"/>
      <c r="BZX159" s="8"/>
      <c r="BZY159" s="45"/>
      <c r="BZZ159" s="45"/>
      <c r="CAA159" s="46"/>
      <c r="CAB159" s="44"/>
      <c r="CAC159" s="7"/>
      <c r="CAD159" s="51"/>
      <c r="CAE159" s="52"/>
      <c r="CAF159" s="53"/>
      <c r="CAG159" s="54"/>
      <c r="CAH159" s="52"/>
      <c r="CAI159" s="53"/>
      <c r="CAJ159" s="54"/>
      <c r="CAK159" s="52"/>
      <c r="CAL159" s="53"/>
      <c r="CAM159" s="8"/>
      <c r="CAN159" s="45"/>
      <c r="CAO159" s="45"/>
      <c r="CAP159" s="46"/>
      <c r="CAQ159" s="44"/>
      <c r="CAR159" s="7"/>
      <c r="CAS159" s="51"/>
      <c r="CAT159" s="52"/>
      <c r="CAU159" s="53"/>
      <c r="CAV159" s="54"/>
      <c r="CAW159" s="52"/>
      <c r="CAX159" s="53"/>
      <c r="CAY159" s="54"/>
      <c r="CAZ159" s="52"/>
      <c r="CBA159" s="53"/>
      <c r="CBB159" s="8"/>
      <c r="CBC159" s="45"/>
      <c r="CBD159" s="45"/>
      <c r="CBE159" s="46"/>
      <c r="CBF159" s="44"/>
      <c r="CBG159" s="7"/>
      <c r="CBH159" s="51"/>
      <c r="CBI159" s="52"/>
      <c r="CBJ159" s="53"/>
      <c r="CBK159" s="54"/>
      <c r="CBL159" s="52"/>
      <c r="CBM159" s="53"/>
      <c r="CBN159" s="54"/>
      <c r="CBO159" s="52"/>
      <c r="CBP159" s="53"/>
      <c r="CBQ159" s="8"/>
      <c r="CBR159" s="45"/>
      <c r="CBS159" s="45"/>
      <c r="CBT159" s="46"/>
      <c r="CBU159" s="44"/>
      <c r="CBV159" s="7"/>
      <c r="CBW159" s="51"/>
      <c r="CBX159" s="52"/>
      <c r="CBY159" s="53"/>
      <c r="CBZ159" s="54"/>
      <c r="CCA159" s="52"/>
      <c r="CCB159" s="53"/>
      <c r="CCC159" s="54"/>
      <c r="CCD159" s="52"/>
      <c r="CCE159" s="53"/>
      <c r="CCF159" s="8"/>
      <c r="CCG159" s="45"/>
      <c r="CCH159" s="45"/>
      <c r="CCI159" s="46"/>
      <c r="CCJ159" s="44"/>
      <c r="CCK159" s="7"/>
      <c r="CCL159" s="51"/>
      <c r="CCM159" s="52"/>
      <c r="CCN159" s="53"/>
      <c r="CCO159" s="54"/>
      <c r="CCP159" s="52"/>
      <c r="CCQ159" s="53"/>
      <c r="CCR159" s="54"/>
      <c r="CCS159" s="52"/>
      <c r="CCT159" s="53"/>
      <c r="CCU159" s="8"/>
      <c r="CCV159" s="45"/>
      <c r="CCW159" s="45"/>
      <c r="CCX159" s="46"/>
      <c r="CCY159" s="44"/>
      <c r="CCZ159" s="7"/>
      <c r="CDA159" s="51"/>
      <c r="CDB159" s="52"/>
      <c r="CDC159" s="53"/>
      <c r="CDD159" s="54"/>
      <c r="CDE159" s="52"/>
      <c r="CDF159" s="53"/>
      <c r="CDG159" s="54"/>
      <c r="CDH159" s="52"/>
      <c r="CDI159" s="53"/>
      <c r="CDJ159" s="8"/>
      <c r="CDK159" s="45"/>
      <c r="CDL159" s="45"/>
      <c r="CDM159" s="46"/>
      <c r="CDN159" s="44"/>
      <c r="CDO159" s="7"/>
      <c r="CDP159" s="51"/>
      <c r="CDQ159" s="52"/>
      <c r="CDR159" s="53"/>
      <c r="CDS159" s="54"/>
      <c r="CDT159" s="52"/>
      <c r="CDU159" s="53"/>
      <c r="CDV159" s="54"/>
      <c r="CDW159" s="52"/>
      <c r="CDX159" s="53"/>
      <c r="CDY159" s="8"/>
      <c r="CDZ159" s="45"/>
      <c r="CEA159" s="45"/>
      <c r="CEB159" s="46"/>
      <c r="CEC159" s="44"/>
      <c r="CED159" s="7"/>
      <c r="CEE159" s="51"/>
      <c r="CEF159" s="52"/>
      <c r="CEG159" s="53"/>
      <c r="CEH159" s="54"/>
      <c r="CEI159" s="52"/>
      <c r="CEJ159" s="53"/>
      <c r="CEK159" s="54"/>
      <c r="CEL159" s="52"/>
      <c r="CEM159" s="53"/>
      <c r="CEN159" s="8"/>
      <c r="CEO159" s="45"/>
      <c r="CEP159" s="45"/>
      <c r="CEQ159" s="46"/>
      <c r="CER159" s="44"/>
      <c r="CES159" s="7"/>
      <c r="CET159" s="51"/>
      <c r="CEU159" s="52"/>
      <c r="CEV159" s="53"/>
      <c r="CEW159" s="54"/>
      <c r="CEX159" s="52"/>
      <c r="CEY159" s="53"/>
      <c r="CEZ159" s="54"/>
      <c r="CFA159" s="52"/>
      <c r="CFB159" s="53"/>
      <c r="CFC159" s="8"/>
      <c r="CFD159" s="45"/>
      <c r="CFE159" s="45"/>
      <c r="CFF159" s="46"/>
      <c r="CFG159" s="44"/>
      <c r="CFH159" s="7"/>
      <c r="CFI159" s="51"/>
      <c r="CFJ159" s="52"/>
      <c r="CFK159" s="53"/>
      <c r="CFL159" s="54"/>
      <c r="CFM159" s="52"/>
      <c r="CFN159" s="53"/>
      <c r="CFO159" s="54"/>
      <c r="CFP159" s="52"/>
      <c r="CFQ159" s="53"/>
      <c r="CFR159" s="8"/>
      <c r="CFS159" s="45"/>
      <c r="CFT159" s="45"/>
      <c r="CFU159" s="46"/>
      <c r="CFV159" s="44"/>
      <c r="CFW159" s="7"/>
      <c r="CFX159" s="51"/>
      <c r="CFY159" s="52"/>
      <c r="CFZ159" s="53"/>
      <c r="CGA159" s="54"/>
      <c r="CGB159" s="52"/>
      <c r="CGC159" s="53"/>
      <c r="CGD159" s="54"/>
      <c r="CGE159" s="52"/>
      <c r="CGF159" s="53"/>
      <c r="CGG159" s="8"/>
      <c r="CGH159" s="45"/>
      <c r="CGI159" s="45"/>
      <c r="CGJ159" s="46"/>
      <c r="CGK159" s="44"/>
      <c r="CGL159" s="7"/>
      <c r="CGM159" s="51"/>
      <c r="CGN159" s="52"/>
      <c r="CGO159" s="53"/>
      <c r="CGP159" s="54"/>
      <c r="CGQ159" s="52"/>
      <c r="CGR159" s="53"/>
      <c r="CGS159" s="54"/>
      <c r="CGT159" s="52"/>
      <c r="CGU159" s="53"/>
      <c r="CGV159" s="8"/>
      <c r="CGW159" s="45"/>
      <c r="CGX159" s="45"/>
      <c r="CGY159" s="46"/>
      <c r="CGZ159" s="44"/>
      <c r="CHA159" s="7"/>
      <c r="CHB159" s="51"/>
      <c r="CHC159" s="52"/>
      <c r="CHD159" s="53"/>
      <c r="CHE159" s="54"/>
      <c r="CHF159" s="52"/>
      <c r="CHG159" s="53"/>
      <c r="CHH159" s="54"/>
      <c r="CHI159" s="52"/>
      <c r="CHJ159" s="53"/>
      <c r="CHK159" s="8"/>
      <c r="CHL159" s="45"/>
      <c r="CHM159" s="45"/>
      <c r="CHN159" s="46"/>
      <c r="CHO159" s="44"/>
      <c r="CHP159" s="7"/>
      <c r="CHQ159" s="51"/>
      <c r="CHR159" s="52"/>
      <c r="CHS159" s="53"/>
      <c r="CHT159" s="54"/>
      <c r="CHU159" s="52"/>
      <c r="CHV159" s="53"/>
      <c r="CHW159" s="54"/>
      <c r="CHX159" s="52"/>
      <c r="CHY159" s="53"/>
      <c r="CHZ159" s="8"/>
      <c r="CIA159" s="45"/>
      <c r="CIB159" s="45"/>
      <c r="CIC159" s="46"/>
      <c r="CID159" s="44"/>
      <c r="CIE159" s="7"/>
      <c r="CIF159" s="51"/>
      <c r="CIG159" s="52"/>
      <c r="CIH159" s="53"/>
      <c r="CII159" s="54"/>
      <c r="CIJ159" s="52"/>
      <c r="CIK159" s="53"/>
      <c r="CIL159" s="54"/>
      <c r="CIM159" s="52"/>
      <c r="CIN159" s="53"/>
      <c r="CIO159" s="8"/>
      <c r="CIP159" s="45"/>
      <c r="CIQ159" s="45"/>
      <c r="CIR159" s="46"/>
      <c r="CIS159" s="44"/>
      <c r="CIT159" s="7"/>
      <c r="CIU159" s="51"/>
      <c r="CIV159" s="52"/>
      <c r="CIW159" s="53"/>
      <c r="CIX159" s="54"/>
      <c r="CIY159" s="52"/>
      <c r="CIZ159" s="53"/>
      <c r="CJA159" s="54"/>
      <c r="CJB159" s="52"/>
      <c r="CJC159" s="53"/>
      <c r="CJD159" s="8"/>
      <c r="CJE159" s="45"/>
      <c r="CJF159" s="45"/>
      <c r="CJG159" s="46"/>
      <c r="CJH159" s="44"/>
      <c r="CJI159" s="7"/>
      <c r="CJJ159" s="51"/>
      <c r="CJK159" s="52"/>
      <c r="CJL159" s="53"/>
      <c r="CJM159" s="54"/>
      <c r="CJN159" s="52"/>
      <c r="CJO159" s="53"/>
      <c r="CJP159" s="54"/>
      <c r="CJQ159" s="52"/>
      <c r="CJR159" s="53"/>
      <c r="CJS159" s="8"/>
      <c r="CJT159" s="45"/>
      <c r="CJU159" s="45"/>
      <c r="CJV159" s="46"/>
      <c r="CJW159" s="44"/>
      <c r="CJX159" s="7"/>
      <c r="CJY159" s="51"/>
      <c r="CJZ159" s="52"/>
      <c r="CKA159" s="53"/>
      <c r="CKB159" s="54"/>
      <c r="CKC159" s="52"/>
      <c r="CKD159" s="53"/>
      <c r="CKE159" s="54"/>
      <c r="CKF159" s="52"/>
      <c r="CKG159" s="53"/>
      <c r="CKH159" s="8"/>
      <c r="CKI159" s="45"/>
      <c r="CKJ159" s="45"/>
      <c r="CKK159" s="46"/>
      <c r="CKL159" s="44"/>
      <c r="CKM159" s="7"/>
      <c r="CKN159" s="51"/>
      <c r="CKO159" s="52"/>
      <c r="CKP159" s="53"/>
      <c r="CKQ159" s="54"/>
      <c r="CKR159" s="52"/>
      <c r="CKS159" s="53"/>
      <c r="CKT159" s="54"/>
      <c r="CKU159" s="52"/>
      <c r="CKV159" s="53"/>
      <c r="CKW159" s="8"/>
      <c r="CKX159" s="45"/>
      <c r="CKY159" s="45"/>
      <c r="CKZ159" s="46"/>
      <c r="CLA159" s="44"/>
      <c r="CLB159" s="7"/>
      <c r="CLC159" s="51"/>
      <c r="CLD159" s="52"/>
      <c r="CLE159" s="53"/>
      <c r="CLF159" s="54"/>
      <c r="CLG159" s="52"/>
      <c r="CLH159" s="53"/>
      <c r="CLI159" s="54"/>
      <c r="CLJ159" s="52"/>
      <c r="CLK159" s="53"/>
      <c r="CLL159" s="8"/>
      <c r="CLM159" s="45"/>
      <c r="CLN159" s="45"/>
      <c r="CLO159" s="46"/>
      <c r="CLP159" s="44"/>
      <c r="CLQ159" s="7"/>
      <c r="CLR159" s="51"/>
      <c r="CLS159" s="52"/>
      <c r="CLT159" s="53"/>
      <c r="CLU159" s="54"/>
      <c r="CLV159" s="52"/>
      <c r="CLW159" s="53"/>
      <c r="CLX159" s="54"/>
      <c r="CLY159" s="52"/>
      <c r="CLZ159" s="53"/>
      <c r="CMA159" s="8"/>
      <c r="CMB159" s="45"/>
      <c r="CMC159" s="45"/>
      <c r="CMD159" s="46"/>
      <c r="CME159" s="44"/>
      <c r="CMF159" s="7"/>
      <c r="CMG159" s="51"/>
      <c r="CMH159" s="52"/>
      <c r="CMI159" s="53"/>
      <c r="CMJ159" s="54"/>
      <c r="CMK159" s="52"/>
      <c r="CML159" s="53"/>
      <c r="CMM159" s="54"/>
      <c r="CMN159" s="52"/>
      <c r="CMO159" s="53"/>
      <c r="CMP159" s="8"/>
      <c r="CMQ159" s="45"/>
      <c r="CMR159" s="45"/>
      <c r="CMS159" s="46"/>
      <c r="CMT159" s="44"/>
      <c r="CMU159" s="7"/>
      <c r="CMV159" s="51"/>
      <c r="CMW159" s="52"/>
      <c r="CMX159" s="53"/>
      <c r="CMY159" s="54"/>
      <c r="CMZ159" s="52"/>
      <c r="CNA159" s="53"/>
      <c r="CNB159" s="54"/>
      <c r="CNC159" s="52"/>
      <c r="CND159" s="53"/>
      <c r="CNE159" s="8"/>
      <c r="CNF159" s="45"/>
      <c r="CNG159" s="45"/>
      <c r="CNH159" s="46"/>
      <c r="CNI159" s="44"/>
      <c r="CNJ159" s="7"/>
      <c r="CNK159" s="51"/>
      <c r="CNL159" s="52"/>
      <c r="CNM159" s="53"/>
      <c r="CNN159" s="54"/>
      <c r="CNO159" s="52"/>
      <c r="CNP159" s="53"/>
      <c r="CNQ159" s="54"/>
      <c r="CNR159" s="52"/>
      <c r="CNS159" s="53"/>
      <c r="CNT159" s="8"/>
      <c r="CNU159" s="45"/>
      <c r="CNV159" s="45"/>
      <c r="CNW159" s="46"/>
      <c r="CNX159" s="44"/>
      <c r="CNY159" s="7"/>
      <c r="CNZ159" s="51"/>
      <c r="COA159" s="52"/>
      <c r="COB159" s="53"/>
      <c r="COC159" s="54"/>
      <c r="COD159" s="52"/>
      <c r="COE159" s="53"/>
      <c r="COF159" s="54"/>
      <c r="COG159" s="52"/>
      <c r="COH159" s="53"/>
      <c r="COI159" s="8"/>
      <c r="COJ159" s="45"/>
      <c r="COK159" s="45"/>
      <c r="COL159" s="46"/>
      <c r="COM159" s="44"/>
      <c r="CON159" s="7"/>
      <c r="COO159" s="51"/>
      <c r="COP159" s="52"/>
      <c r="COQ159" s="53"/>
      <c r="COR159" s="54"/>
      <c r="COS159" s="52"/>
      <c r="COT159" s="53"/>
      <c r="COU159" s="54"/>
      <c r="COV159" s="52"/>
      <c r="COW159" s="53"/>
      <c r="COX159" s="8"/>
      <c r="COY159" s="45"/>
      <c r="COZ159" s="45"/>
      <c r="CPA159" s="46"/>
      <c r="CPB159" s="44"/>
      <c r="CPC159" s="7"/>
      <c r="CPD159" s="51"/>
      <c r="CPE159" s="52"/>
      <c r="CPF159" s="53"/>
      <c r="CPG159" s="54"/>
      <c r="CPH159" s="52"/>
      <c r="CPI159" s="53"/>
      <c r="CPJ159" s="54"/>
      <c r="CPK159" s="52"/>
      <c r="CPL159" s="53"/>
      <c r="CPM159" s="8"/>
      <c r="CPN159" s="45"/>
      <c r="CPO159" s="45"/>
      <c r="CPP159" s="46"/>
      <c r="CPQ159" s="44"/>
      <c r="CPR159" s="7"/>
      <c r="CPS159" s="51"/>
      <c r="CPT159" s="52"/>
      <c r="CPU159" s="53"/>
      <c r="CPV159" s="54"/>
      <c r="CPW159" s="52"/>
      <c r="CPX159" s="53"/>
      <c r="CPY159" s="54"/>
      <c r="CPZ159" s="52"/>
      <c r="CQA159" s="53"/>
      <c r="CQB159" s="8"/>
      <c r="CQC159" s="45"/>
      <c r="CQD159" s="45"/>
      <c r="CQE159" s="46"/>
      <c r="CQF159" s="44"/>
      <c r="CQG159" s="7"/>
      <c r="CQH159" s="51"/>
      <c r="CQI159" s="52"/>
      <c r="CQJ159" s="53"/>
      <c r="CQK159" s="54"/>
      <c r="CQL159" s="52"/>
      <c r="CQM159" s="53"/>
      <c r="CQN159" s="54"/>
      <c r="CQO159" s="52"/>
      <c r="CQP159" s="53"/>
      <c r="CQQ159" s="8"/>
      <c r="CQR159" s="45"/>
      <c r="CQS159" s="45"/>
      <c r="CQT159" s="46"/>
      <c r="CQU159" s="44"/>
      <c r="CQV159" s="7"/>
      <c r="CQW159" s="51"/>
      <c r="CQX159" s="52"/>
      <c r="CQY159" s="53"/>
      <c r="CQZ159" s="54"/>
      <c r="CRA159" s="52"/>
      <c r="CRB159" s="53"/>
      <c r="CRC159" s="54"/>
      <c r="CRD159" s="52"/>
      <c r="CRE159" s="53"/>
      <c r="CRF159" s="8"/>
      <c r="CRG159" s="45"/>
      <c r="CRH159" s="45"/>
      <c r="CRI159" s="46"/>
      <c r="CRJ159" s="44"/>
      <c r="CRK159" s="7"/>
      <c r="CRL159" s="51"/>
      <c r="CRM159" s="52"/>
      <c r="CRN159" s="53"/>
      <c r="CRO159" s="54"/>
      <c r="CRP159" s="52"/>
      <c r="CRQ159" s="53"/>
      <c r="CRR159" s="54"/>
      <c r="CRS159" s="52"/>
      <c r="CRT159" s="53"/>
      <c r="CRU159" s="8"/>
      <c r="CRV159" s="45"/>
      <c r="CRW159" s="45"/>
      <c r="CRX159" s="46"/>
      <c r="CRY159" s="44"/>
      <c r="CRZ159" s="7"/>
      <c r="CSA159" s="51"/>
      <c r="CSB159" s="52"/>
      <c r="CSC159" s="53"/>
      <c r="CSD159" s="54"/>
      <c r="CSE159" s="52"/>
      <c r="CSF159" s="53"/>
      <c r="CSG159" s="54"/>
      <c r="CSH159" s="52"/>
      <c r="CSI159" s="53"/>
      <c r="CSJ159" s="8"/>
      <c r="CSK159" s="45"/>
      <c r="CSL159" s="45"/>
      <c r="CSM159" s="46"/>
      <c r="CSN159" s="44"/>
      <c r="CSO159" s="7"/>
      <c r="CSP159" s="51"/>
      <c r="CSQ159" s="52"/>
      <c r="CSR159" s="53"/>
      <c r="CSS159" s="54"/>
      <c r="CST159" s="52"/>
      <c r="CSU159" s="53"/>
      <c r="CSV159" s="54"/>
      <c r="CSW159" s="52"/>
      <c r="CSX159" s="53"/>
      <c r="CSY159" s="8"/>
      <c r="CSZ159" s="45"/>
      <c r="CTA159" s="45"/>
      <c r="CTB159" s="46"/>
      <c r="CTC159" s="44"/>
      <c r="CTD159" s="7"/>
      <c r="CTE159" s="51"/>
      <c r="CTF159" s="52"/>
      <c r="CTG159" s="53"/>
      <c r="CTH159" s="54"/>
      <c r="CTI159" s="52"/>
      <c r="CTJ159" s="53"/>
      <c r="CTK159" s="54"/>
      <c r="CTL159" s="52"/>
      <c r="CTM159" s="53"/>
      <c r="CTN159" s="8"/>
      <c r="CTO159" s="45"/>
      <c r="CTP159" s="45"/>
      <c r="CTQ159" s="46"/>
      <c r="CTR159" s="44"/>
      <c r="CTS159" s="7"/>
      <c r="CTT159" s="51"/>
      <c r="CTU159" s="52"/>
      <c r="CTV159" s="53"/>
      <c r="CTW159" s="54"/>
      <c r="CTX159" s="52"/>
      <c r="CTY159" s="53"/>
      <c r="CTZ159" s="54"/>
      <c r="CUA159" s="52"/>
      <c r="CUB159" s="53"/>
      <c r="CUC159" s="8"/>
      <c r="CUD159" s="45"/>
      <c r="CUE159" s="45"/>
      <c r="CUF159" s="46"/>
      <c r="CUG159" s="44"/>
      <c r="CUH159" s="7"/>
      <c r="CUI159" s="51"/>
      <c r="CUJ159" s="52"/>
      <c r="CUK159" s="53"/>
      <c r="CUL159" s="54"/>
      <c r="CUM159" s="52"/>
      <c r="CUN159" s="53"/>
      <c r="CUO159" s="54"/>
      <c r="CUP159" s="52"/>
      <c r="CUQ159" s="53"/>
      <c r="CUR159" s="8"/>
      <c r="CUS159" s="45"/>
      <c r="CUT159" s="45"/>
      <c r="CUU159" s="46"/>
      <c r="CUV159" s="44"/>
      <c r="CUW159" s="7"/>
      <c r="CUX159" s="51"/>
      <c r="CUY159" s="52"/>
      <c r="CUZ159" s="53"/>
      <c r="CVA159" s="54"/>
      <c r="CVB159" s="52"/>
      <c r="CVC159" s="53"/>
      <c r="CVD159" s="54"/>
      <c r="CVE159" s="52"/>
      <c r="CVF159" s="53"/>
      <c r="CVG159" s="8"/>
      <c r="CVH159" s="45"/>
      <c r="CVI159" s="45"/>
      <c r="CVJ159" s="46"/>
      <c r="CVK159" s="44"/>
      <c r="CVL159" s="7"/>
      <c r="CVM159" s="51"/>
      <c r="CVN159" s="52"/>
      <c r="CVO159" s="53"/>
      <c r="CVP159" s="54"/>
      <c r="CVQ159" s="52"/>
      <c r="CVR159" s="53"/>
      <c r="CVS159" s="54"/>
      <c r="CVT159" s="52"/>
      <c r="CVU159" s="53"/>
      <c r="CVV159" s="8"/>
      <c r="CVW159" s="45"/>
      <c r="CVX159" s="45"/>
      <c r="CVY159" s="46"/>
      <c r="CVZ159" s="44"/>
      <c r="CWA159" s="7"/>
      <c r="CWB159" s="51"/>
      <c r="CWC159" s="52"/>
      <c r="CWD159" s="53"/>
      <c r="CWE159" s="54"/>
      <c r="CWF159" s="52"/>
      <c r="CWG159" s="53"/>
      <c r="CWH159" s="54"/>
      <c r="CWI159" s="52"/>
      <c r="CWJ159" s="53"/>
      <c r="CWK159" s="8"/>
      <c r="CWL159" s="45"/>
      <c r="CWM159" s="45"/>
      <c r="CWN159" s="46"/>
      <c r="CWO159" s="44"/>
      <c r="CWP159" s="7"/>
      <c r="CWQ159" s="51"/>
      <c r="CWR159" s="52"/>
      <c r="CWS159" s="53"/>
      <c r="CWT159" s="54"/>
      <c r="CWU159" s="52"/>
      <c r="CWV159" s="53"/>
      <c r="CWW159" s="54"/>
      <c r="CWX159" s="52"/>
      <c r="CWY159" s="53"/>
      <c r="CWZ159" s="8"/>
      <c r="CXA159" s="45"/>
      <c r="CXB159" s="45"/>
      <c r="CXC159" s="46"/>
      <c r="CXD159" s="44"/>
      <c r="CXE159" s="7"/>
      <c r="CXF159" s="51"/>
      <c r="CXG159" s="52"/>
      <c r="CXH159" s="53"/>
      <c r="CXI159" s="54"/>
      <c r="CXJ159" s="52"/>
      <c r="CXK159" s="53"/>
      <c r="CXL159" s="54"/>
      <c r="CXM159" s="52"/>
      <c r="CXN159" s="53"/>
      <c r="CXO159" s="8"/>
      <c r="CXP159" s="45"/>
      <c r="CXQ159" s="45"/>
      <c r="CXR159" s="46"/>
      <c r="CXS159" s="44"/>
      <c r="CXT159" s="7"/>
      <c r="CXU159" s="51"/>
      <c r="CXV159" s="52"/>
      <c r="CXW159" s="53"/>
      <c r="CXX159" s="54"/>
      <c r="CXY159" s="52"/>
      <c r="CXZ159" s="53"/>
      <c r="CYA159" s="54"/>
      <c r="CYB159" s="52"/>
      <c r="CYC159" s="53"/>
      <c r="CYD159" s="8"/>
      <c r="CYE159" s="45"/>
      <c r="CYF159" s="45"/>
      <c r="CYG159" s="46"/>
      <c r="CYH159" s="44"/>
      <c r="CYI159" s="7"/>
      <c r="CYJ159" s="51"/>
      <c r="CYK159" s="52"/>
      <c r="CYL159" s="53"/>
      <c r="CYM159" s="54"/>
      <c r="CYN159" s="52"/>
      <c r="CYO159" s="53"/>
      <c r="CYP159" s="54"/>
      <c r="CYQ159" s="52"/>
      <c r="CYR159" s="53"/>
      <c r="CYS159" s="8"/>
      <c r="CYT159" s="45"/>
      <c r="CYU159" s="45"/>
      <c r="CYV159" s="46"/>
      <c r="CYW159" s="44"/>
      <c r="CYX159" s="7"/>
      <c r="CYY159" s="51"/>
      <c r="CYZ159" s="52"/>
      <c r="CZA159" s="53"/>
      <c r="CZB159" s="54"/>
      <c r="CZC159" s="52"/>
      <c r="CZD159" s="53"/>
      <c r="CZE159" s="54"/>
      <c r="CZF159" s="52"/>
      <c r="CZG159" s="53"/>
      <c r="CZH159" s="8"/>
      <c r="CZI159" s="45"/>
      <c r="CZJ159" s="45"/>
      <c r="CZK159" s="46"/>
      <c r="CZL159" s="44"/>
      <c r="CZM159" s="7"/>
      <c r="CZN159" s="51"/>
      <c r="CZO159" s="52"/>
      <c r="CZP159" s="53"/>
      <c r="CZQ159" s="54"/>
      <c r="CZR159" s="52"/>
      <c r="CZS159" s="53"/>
      <c r="CZT159" s="54"/>
      <c r="CZU159" s="52"/>
      <c r="CZV159" s="53"/>
      <c r="CZW159" s="8"/>
      <c r="CZX159" s="45"/>
      <c r="CZY159" s="45"/>
      <c r="CZZ159" s="46"/>
      <c r="DAA159" s="44"/>
      <c r="DAB159" s="7"/>
      <c r="DAC159" s="51"/>
      <c r="DAD159" s="52"/>
      <c r="DAE159" s="53"/>
      <c r="DAF159" s="54"/>
      <c r="DAG159" s="52"/>
      <c r="DAH159" s="53"/>
      <c r="DAI159" s="54"/>
      <c r="DAJ159" s="52"/>
      <c r="DAK159" s="53"/>
      <c r="DAL159" s="8"/>
      <c r="DAM159" s="45"/>
      <c r="DAN159" s="45"/>
      <c r="DAO159" s="46"/>
      <c r="DAP159" s="44"/>
      <c r="DAQ159" s="7"/>
      <c r="DAR159" s="51"/>
      <c r="DAS159" s="52"/>
      <c r="DAT159" s="53"/>
      <c r="DAU159" s="54"/>
      <c r="DAV159" s="52"/>
      <c r="DAW159" s="53"/>
      <c r="DAX159" s="54"/>
      <c r="DAY159" s="52"/>
      <c r="DAZ159" s="53"/>
      <c r="DBA159" s="8"/>
      <c r="DBB159" s="45"/>
      <c r="DBC159" s="45"/>
      <c r="DBD159" s="46"/>
      <c r="DBE159" s="44"/>
      <c r="DBF159" s="7"/>
      <c r="DBG159" s="51"/>
      <c r="DBH159" s="52"/>
      <c r="DBI159" s="53"/>
      <c r="DBJ159" s="54"/>
      <c r="DBK159" s="52"/>
      <c r="DBL159" s="53"/>
      <c r="DBM159" s="54"/>
      <c r="DBN159" s="52"/>
      <c r="DBO159" s="53"/>
      <c r="DBP159" s="8"/>
      <c r="DBQ159" s="45"/>
      <c r="DBR159" s="45"/>
      <c r="DBS159" s="46"/>
      <c r="DBT159" s="44"/>
      <c r="DBU159" s="7"/>
      <c r="DBV159" s="51"/>
      <c r="DBW159" s="52"/>
      <c r="DBX159" s="53"/>
      <c r="DBY159" s="54"/>
      <c r="DBZ159" s="52"/>
      <c r="DCA159" s="53"/>
      <c r="DCB159" s="54"/>
      <c r="DCC159" s="52"/>
      <c r="DCD159" s="53"/>
      <c r="DCE159" s="8"/>
      <c r="DCF159" s="45"/>
      <c r="DCG159" s="45"/>
      <c r="DCH159" s="46"/>
      <c r="DCI159" s="44"/>
      <c r="DCJ159" s="7"/>
      <c r="DCK159" s="51"/>
      <c r="DCL159" s="52"/>
      <c r="DCM159" s="53"/>
      <c r="DCN159" s="54"/>
      <c r="DCO159" s="52"/>
      <c r="DCP159" s="53"/>
      <c r="DCQ159" s="54"/>
      <c r="DCR159" s="52"/>
      <c r="DCS159" s="53"/>
      <c r="DCT159" s="8"/>
      <c r="DCU159" s="45"/>
      <c r="DCV159" s="45"/>
      <c r="DCW159" s="46"/>
      <c r="DCX159" s="44"/>
      <c r="DCY159" s="7"/>
      <c r="DCZ159" s="51"/>
      <c r="DDA159" s="52"/>
      <c r="DDB159" s="53"/>
      <c r="DDC159" s="54"/>
      <c r="DDD159" s="52"/>
      <c r="DDE159" s="53"/>
      <c r="DDF159" s="54"/>
      <c r="DDG159" s="52"/>
      <c r="DDH159" s="53"/>
      <c r="DDI159" s="8"/>
      <c r="DDJ159" s="45"/>
      <c r="DDK159" s="45"/>
      <c r="DDL159" s="46"/>
      <c r="DDM159" s="44"/>
      <c r="DDN159" s="7"/>
      <c r="DDO159" s="51"/>
      <c r="DDP159" s="52"/>
      <c r="DDQ159" s="53"/>
      <c r="DDR159" s="54"/>
      <c r="DDS159" s="52"/>
      <c r="DDT159" s="53"/>
      <c r="DDU159" s="54"/>
      <c r="DDV159" s="52"/>
      <c r="DDW159" s="53"/>
      <c r="DDX159" s="8"/>
      <c r="DDY159" s="45"/>
      <c r="DDZ159" s="45"/>
      <c r="DEA159" s="46"/>
      <c r="DEB159" s="44"/>
      <c r="DEC159" s="7"/>
      <c r="DED159" s="51"/>
      <c r="DEE159" s="52"/>
      <c r="DEF159" s="53"/>
      <c r="DEG159" s="54"/>
      <c r="DEH159" s="52"/>
      <c r="DEI159" s="53"/>
      <c r="DEJ159" s="54"/>
      <c r="DEK159" s="52"/>
      <c r="DEL159" s="53"/>
      <c r="DEM159" s="8"/>
      <c r="DEN159" s="45"/>
      <c r="DEO159" s="45"/>
      <c r="DEP159" s="46"/>
      <c r="DEQ159" s="44"/>
      <c r="DER159" s="7"/>
      <c r="DES159" s="51"/>
      <c r="DET159" s="52"/>
      <c r="DEU159" s="53"/>
      <c r="DEV159" s="54"/>
      <c r="DEW159" s="52"/>
      <c r="DEX159" s="53"/>
      <c r="DEY159" s="54"/>
      <c r="DEZ159" s="52"/>
      <c r="DFA159" s="53"/>
      <c r="DFB159" s="8"/>
      <c r="DFC159" s="45"/>
      <c r="DFD159" s="45"/>
      <c r="DFE159" s="46"/>
      <c r="DFF159" s="44"/>
      <c r="DFG159" s="7"/>
      <c r="DFH159" s="51"/>
      <c r="DFI159" s="52"/>
      <c r="DFJ159" s="53"/>
      <c r="DFK159" s="54"/>
      <c r="DFL159" s="52"/>
      <c r="DFM159" s="53"/>
      <c r="DFN159" s="54"/>
      <c r="DFO159" s="52"/>
      <c r="DFP159" s="53"/>
      <c r="DFQ159" s="8"/>
      <c r="DFR159" s="45"/>
      <c r="DFS159" s="45"/>
      <c r="DFT159" s="46"/>
      <c r="DFU159" s="44"/>
      <c r="DFV159" s="7"/>
      <c r="DFW159" s="51"/>
      <c r="DFX159" s="52"/>
      <c r="DFY159" s="53"/>
      <c r="DFZ159" s="54"/>
      <c r="DGA159" s="52"/>
      <c r="DGB159" s="53"/>
      <c r="DGC159" s="54"/>
      <c r="DGD159" s="52"/>
      <c r="DGE159" s="53"/>
      <c r="DGF159" s="8"/>
      <c r="DGG159" s="45"/>
      <c r="DGH159" s="45"/>
      <c r="DGI159" s="46"/>
      <c r="DGJ159" s="44"/>
      <c r="DGK159" s="7"/>
      <c r="DGL159" s="51"/>
      <c r="DGM159" s="52"/>
      <c r="DGN159" s="53"/>
      <c r="DGO159" s="54"/>
      <c r="DGP159" s="52"/>
      <c r="DGQ159" s="53"/>
      <c r="DGR159" s="54"/>
      <c r="DGS159" s="52"/>
      <c r="DGT159" s="53"/>
      <c r="DGU159" s="8"/>
      <c r="DGV159" s="45"/>
      <c r="DGW159" s="45"/>
      <c r="DGX159" s="46"/>
      <c r="DGY159" s="44"/>
      <c r="DGZ159" s="7"/>
      <c r="DHA159" s="51"/>
      <c r="DHB159" s="52"/>
      <c r="DHC159" s="53"/>
      <c r="DHD159" s="54"/>
      <c r="DHE159" s="52"/>
      <c r="DHF159" s="53"/>
      <c r="DHG159" s="54"/>
      <c r="DHH159" s="52"/>
      <c r="DHI159" s="53"/>
      <c r="DHJ159" s="8"/>
      <c r="DHK159" s="45"/>
      <c r="DHL159" s="45"/>
      <c r="DHM159" s="46"/>
      <c r="DHN159" s="44"/>
      <c r="DHO159" s="7"/>
      <c r="DHP159" s="51"/>
      <c r="DHQ159" s="52"/>
      <c r="DHR159" s="53"/>
      <c r="DHS159" s="54"/>
      <c r="DHT159" s="52"/>
      <c r="DHU159" s="53"/>
      <c r="DHV159" s="54"/>
      <c r="DHW159" s="52"/>
      <c r="DHX159" s="53"/>
      <c r="DHY159" s="8"/>
      <c r="DHZ159" s="45"/>
      <c r="DIA159" s="45"/>
      <c r="DIB159" s="46"/>
      <c r="DIC159" s="44"/>
      <c r="DID159" s="7"/>
      <c r="DIE159" s="51"/>
      <c r="DIF159" s="52"/>
      <c r="DIG159" s="53"/>
      <c r="DIH159" s="54"/>
      <c r="DII159" s="52"/>
      <c r="DIJ159" s="53"/>
      <c r="DIK159" s="54"/>
      <c r="DIL159" s="52"/>
      <c r="DIM159" s="53"/>
      <c r="DIN159" s="8"/>
      <c r="DIO159" s="45"/>
      <c r="DIP159" s="45"/>
      <c r="DIQ159" s="46"/>
      <c r="DIR159" s="44"/>
      <c r="DIS159" s="7"/>
      <c r="DIT159" s="51"/>
      <c r="DIU159" s="52"/>
      <c r="DIV159" s="53"/>
      <c r="DIW159" s="54"/>
      <c r="DIX159" s="52"/>
      <c r="DIY159" s="53"/>
      <c r="DIZ159" s="54"/>
      <c r="DJA159" s="52"/>
      <c r="DJB159" s="53"/>
      <c r="DJC159" s="8"/>
      <c r="DJD159" s="45"/>
      <c r="DJE159" s="45"/>
      <c r="DJF159" s="46"/>
      <c r="DJG159" s="44"/>
      <c r="DJH159" s="7"/>
      <c r="DJI159" s="51"/>
      <c r="DJJ159" s="52"/>
      <c r="DJK159" s="53"/>
      <c r="DJL159" s="54"/>
      <c r="DJM159" s="52"/>
      <c r="DJN159" s="53"/>
      <c r="DJO159" s="54"/>
      <c r="DJP159" s="52"/>
      <c r="DJQ159" s="53"/>
      <c r="DJR159" s="8"/>
      <c r="DJS159" s="45"/>
      <c r="DJT159" s="45"/>
      <c r="DJU159" s="46"/>
      <c r="DJV159" s="44"/>
      <c r="DJW159" s="7"/>
      <c r="DJX159" s="51"/>
      <c r="DJY159" s="52"/>
      <c r="DJZ159" s="53"/>
      <c r="DKA159" s="54"/>
      <c r="DKB159" s="52"/>
      <c r="DKC159" s="53"/>
      <c r="DKD159" s="54"/>
      <c r="DKE159" s="52"/>
      <c r="DKF159" s="53"/>
      <c r="DKG159" s="8"/>
      <c r="DKH159" s="45"/>
      <c r="DKI159" s="45"/>
      <c r="DKJ159" s="46"/>
      <c r="DKK159" s="44"/>
      <c r="DKL159" s="7"/>
      <c r="DKM159" s="51"/>
      <c r="DKN159" s="52"/>
      <c r="DKO159" s="53"/>
      <c r="DKP159" s="54"/>
      <c r="DKQ159" s="52"/>
      <c r="DKR159" s="53"/>
      <c r="DKS159" s="54"/>
      <c r="DKT159" s="52"/>
      <c r="DKU159" s="53"/>
      <c r="DKV159" s="8"/>
      <c r="DKW159" s="45"/>
      <c r="DKX159" s="45"/>
      <c r="DKY159" s="46"/>
      <c r="DKZ159" s="44"/>
      <c r="DLA159" s="7"/>
      <c r="DLB159" s="51"/>
      <c r="DLC159" s="52"/>
      <c r="DLD159" s="53"/>
      <c r="DLE159" s="54"/>
      <c r="DLF159" s="52"/>
      <c r="DLG159" s="53"/>
      <c r="DLH159" s="54"/>
      <c r="DLI159" s="52"/>
      <c r="DLJ159" s="53"/>
      <c r="DLK159" s="8"/>
      <c r="DLL159" s="45"/>
      <c r="DLM159" s="45"/>
      <c r="DLN159" s="46"/>
      <c r="DLO159" s="44"/>
      <c r="DLP159" s="7"/>
      <c r="DLQ159" s="51"/>
      <c r="DLR159" s="52"/>
      <c r="DLS159" s="53"/>
      <c r="DLT159" s="54"/>
      <c r="DLU159" s="52"/>
      <c r="DLV159" s="53"/>
      <c r="DLW159" s="54"/>
      <c r="DLX159" s="52"/>
      <c r="DLY159" s="53"/>
      <c r="DLZ159" s="8"/>
      <c r="DMA159" s="45"/>
      <c r="DMB159" s="45"/>
      <c r="DMC159" s="46"/>
      <c r="DMD159" s="44"/>
      <c r="DME159" s="7"/>
      <c r="DMF159" s="51"/>
      <c r="DMG159" s="52"/>
      <c r="DMH159" s="53"/>
      <c r="DMI159" s="54"/>
      <c r="DMJ159" s="52"/>
      <c r="DMK159" s="53"/>
      <c r="DML159" s="54"/>
      <c r="DMM159" s="52"/>
      <c r="DMN159" s="53"/>
      <c r="DMO159" s="8"/>
      <c r="DMP159" s="45"/>
      <c r="DMQ159" s="45"/>
      <c r="DMR159" s="46"/>
      <c r="DMS159" s="44"/>
      <c r="DMT159" s="7"/>
      <c r="DMU159" s="51"/>
      <c r="DMV159" s="52"/>
      <c r="DMW159" s="53"/>
      <c r="DMX159" s="54"/>
      <c r="DMY159" s="52"/>
      <c r="DMZ159" s="53"/>
      <c r="DNA159" s="54"/>
      <c r="DNB159" s="52"/>
      <c r="DNC159" s="53"/>
      <c r="DND159" s="8"/>
      <c r="DNE159" s="45"/>
      <c r="DNF159" s="45"/>
      <c r="DNG159" s="46"/>
      <c r="DNH159" s="44"/>
      <c r="DNI159" s="7"/>
      <c r="DNJ159" s="51"/>
      <c r="DNK159" s="52"/>
      <c r="DNL159" s="53"/>
      <c r="DNM159" s="54"/>
      <c r="DNN159" s="52"/>
      <c r="DNO159" s="53"/>
      <c r="DNP159" s="54"/>
      <c r="DNQ159" s="52"/>
      <c r="DNR159" s="53"/>
      <c r="DNS159" s="8"/>
      <c r="DNT159" s="45"/>
      <c r="DNU159" s="45"/>
      <c r="DNV159" s="46"/>
      <c r="DNW159" s="44"/>
      <c r="DNX159" s="7"/>
      <c r="DNY159" s="51"/>
      <c r="DNZ159" s="52"/>
      <c r="DOA159" s="53"/>
      <c r="DOB159" s="54"/>
      <c r="DOC159" s="52"/>
      <c r="DOD159" s="53"/>
      <c r="DOE159" s="54"/>
      <c r="DOF159" s="52"/>
      <c r="DOG159" s="53"/>
      <c r="DOH159" s="8"/>
      <c r="DOI159" s="45"/>
      <c r="DOJ159" s="45"/>
      <c r="DOK159" s="46"/>
      <c r="DOL159" s="44"/>
      <c r="DOM159" s="7"/>
      <c r="DON159" s="51"/>
      <c r="DOO159" s="52"/>
      <c r="DOP159" s="53"/>
      <c r="DOQ159" s="54"/>
      <c r="DOR159" s="52"/>
      <c r="DOS159" s="53"/>
      <c r="DOT159" s="54"/>
      <c r="DOU159" s="52"/>
      <c r="DOV159" s="53"/>
      <c r="DOW159" s="8"/>
      <c r="DOX159" s="45"/>
      <c r="DOY159" s="45"/>
      <c r="DOZ159" s="46"/>
      <c r="DPA159" s="44"/>
      <c r="DPB159" s="7"/>
      <c r="DPC159" s="51"/>
      <c r="DPD159" s="52"/>
      <c r="DPE159" s="53"/>
      <c r="DPF159" s="54"/>
      <c r="DPG159" s="52"/>
      <c r="DPH159" s="53"/>
      <c r="DPI159" s="54"/>
      <c r="DPJ159" s="52"/>
      <c r="DPK159" s="53"/>
      <c r="DPL159" s="8"/>
      <c r="DPM159" s="45"/>
      <c r="DPN159" s="45"/>
      <c r="DPO159" s="46"/>
      <c r="DPP159" s="44"/>
      <c r="DPQ159" s="7"/>
      <c r="DPR159" s="51"/>
      <c r="DPS159" s="52"/>
      <c r="DPT159" s="53"/>
      <c r="DPU159" s="54"/>
      <c r="DPV159" s="52"/>
      <c r="DPW159" s="53"/>
      <c r="DPX159" s="54"/>
      <c r="DPY159" s="52"/>
      <c r="DPZ159" s="53"/>
      <c r="DQA159" s="8"/>
      <c r="DQB159" s="45"/>
      <c r="DQC159" s="45"/>
      <c r="DQD159" s="46"/>
      <c r="DQE159" s="44"/>
      <c r="DQF159" s="7"/>
      <c r="DQG159" s="51"/>
      <c r="DQH159" s="52"/>
      <c r="DQI159" s="53"/>
      <c r="DQJ159" s="54"/>
      <c r="DQK159" s="52"/>
      <c r="DQL159" s="53"/>
      <c r="DQM159" s="54"/>
      <c r="DQN159" s="52"/>
      <c r="DQO159" s="53"/>
      <c r="DQP159" s="8"/>
      <c r="DQQ159" s="45"/>
      <c r="DQR159" s="45"/>
      <c r="DQS159" s="46"/>
      <c r="DQT159" s="44"/>
      <c r="DQU159" s="7"/>
      <c r="DQV159" s="51"/>
      <c r="DQW159" s="52"/>
      <c r="DQX159" s="53"/>
      <c r="DQY159" s="54"/>
      <c r="DQZ159" s="52"/>
      <c r="DRA159" s="53"/>
      <c r="DRB159" s="54"/>
      <c r="DRC159" s="52"/>
      <c r="DRD159" s="53"/>
      <c r="DRE159" s="8"/>
      <c r="DRF159" s="45"/>
      <c r="DRG159" s="45"/>
      <c r="DRH159" s="46"/>
      <c r="DRI159" s="44"/>
      <c r="DRJ159" s="7"/>
      <c r="DRK159" s="51"/>
      <c r="DRL159" s="52"/>
      <c r="DRM159" s="53"/>
      <c r="DRN159" s="54"/>
      <c r="DRO159" s="52"/>
      <c r="DRP159" s="53"/>
      <c r="DRQ159" s="54"/>
      <c r="DRR159" s="52"/>
      <c r="DRS159" s="53"/>
      <c r="DRT159" s="8"/>
      <c r="DRU159" s="45"/>
      <c r="DRV159" s="45"/>
      <c r="DRW159" s="46"/>
      <c r="DRX159" s="44"/>
      <c r="DRY159" s="7"/>
      <c r="DRZ159" s="51"/>
      <c r="DSA159" s="52"/>
      <c r="DSB159" s="53"/>
      <c r="DSC159" s="54"/>
      <c r="DSD159" s="52"/>
      <c r="DSE159" s="53"/>
      <c r="DSF159" s="54"/>
      <c r="DSG159" s="52"/>
      <c r="DSH159" s="53"/>
      <c r="DSI159" s="8"/>
      <c r="DSJ159" s="45"/>
      <c r="DSK159" s="45"/>
      <c r="DSL159" s="46"/>
      <c r="DSM159" s="44"/>
      <c r="DSN159" s="7"/>
      <c r="DSO159" s="51"/>
      <c r="DSP159" s="52"/>
      <c r="DSQ159" s="53"/>
      <c r="DSR159" s="54"/>
      <c r="DSS159" s="52"/>
      <c r="DST159" s="53"/>
      <c r="DSU159" s="54"/>
      <c r="DSV159" s="52"/>
      <c r="DSW159" s="53"/>
      <c r="DSX159" s="8"/>
      <c r="DSY159" s="45"/>
      <c r="DSZ159" s="45"/>
      <c r="DTA159" s="46"/>
      <c r="DTB159" s="44"/>
      <c r="DTC159" s="7"/>
      <c r="DTD159" s="51"/>
      <c r="DTE159" s="52"/>
      <c r="DTF159" s="53"/>
      <c r="DTG159" s="54"/>
      <c r="DTH159" s="52"/>
      <c r="DTI159" s="53"/>
      <c r="DTJ159" s="54"/>
      <c r="DTK159" s="52"/>
      <c r="DTL159" s="53"/>
      <c r="DTM159" s="8"/>
      <c r="DTN159" s="45"/>
      <c r="DTO159" s="45"/>
      <c r="DTP159" s="46"/>
      <c r="DTQ159" s="44"/>
      <c r="DTR159" s="7"/>
      <c r="DTS159" s="51"/>
      <c r="DTT159" s="52"/>
      <c r="DTU159" s="53"/>
      <c r="DTV159" s="54"/>
      <c r="DTW159" s="52"/>
      <c r="DTX159" s="53"/>
      <c r="DTY159" s="54"/>
      <c r="DTZ159" s="52"/>
      <c r="DUA159" s="53"/>
      <c r="DUB159" s="8"/>
      <c r="DUC159" s="45"/>
      <c r="DUD159" s="45"/>
      <c r="DUE159" s="46"/>
      <c r="DUF159" s="44"/>
      <c r="DUG159" s="7"/>
      <c r="DUH159" s="51"/>
      <c r="DUI159" s="52"/>
      <c r="DUJ159" s="53"/>
      <c r="DUK159" s="54"/>
      <c r="DUL159" s="52"/>
      <c r="DUM159" s="53"/>
      <c r="DUN159" s="54"/>
      <c r="DUO159" s="52"/>
      <c r="DUP159" s="53"/>
      <c r="DUQ159" s="8"/>
      <c r="DUR159" s="45"/>
      <c r="DUS159" s="45"/>
      <c r="DUT159" s="46"/>
      <c r="DUU159" s="44"/>
      <c r="DUV159" s="7"/>
      <c r="DUW159" s="51"/>
      <c r="DUX159" s="52"/>
      <c r="DUY159" s="53"/>
      <c r="DUZ159" s="54"/>
      <c r="DVA159" s="52"/>
      <c r="DVB159" s="53"/>
      <c r="DVC159" s="54"/>
      <c r="DVD159" s="52"/>
      <c r="DVE159" s="53"/>
      <c r="DVF159" s="8"/>
      <c r="DVG159" s="45"/>
      <c r="DVH159" s="45"/>
      <c r="DVI159" s="46"/>
      <c r="DVJ159" s="44"/>
      <c r="DVK159" s="7"/>
      <c r="DVL159" s="51"/>
      <c r="DVM159" s="52"/>
      <c r="DVN159" s="53"/>
      <c r="DVO159" s="54"/>
      <c r="DVP159" s="52"/>
      <c r="DVQ159" s="53"/>
      <c r="DVR159" s="54"/>
      <c r="DVS159" s="52"/>
      <c r="DVT159" s="53"/>
      <c r="DVU159" s="8"/>
      <c r="DVV159" s="45"/>
      <c r="DVW159" s="45"/>
      <c r="DVX159" s="46"/>
      <c r="DVY159" s="44"/>
      <c r="DVZ159" s="7"/>
      <c r="DWA159" s="51"/>
      <c r="DWB159" s="52"/>
      <c r="DWC159" s="53"/>
      <c r="DWD159" s="54"/>
      <c r="DWE159" s="52"/>
      <c r="DWF159" s="53"/>
      <c r="DWG159" s="54"/>
      <c r="DWH159" s="52"/>
      <c r="DWI159" s="53"/>
      <c r="DWJ159" s="8"/>
      <c r="DWK159" s="45"/>
      <c r="DWL159" s="45"/>
      <c r="DWM159" s="46"/>
      <c r="DWN159" s="44"/>
      <c r="DWO159" s="7"/>
      <c r="DWP159" s="51"/>
      <c r="DWQ159" s="52"/>
      <c r="DWR159" s="53"/>
      <c r="DWS159" s="54"/>
      <c r="DWT159" s="52"/>
      <c r="DWU159" s="53"/>
      <c r="DWV159" s="54"/>
      <c r="DWW159" s="52"/>
      <c r="DWX159" s="53"/>
      <c r="DWY159" s="8"/>
      <c r="DWZ159" s="45"/>
      <c r="DXA159" s="45"/>
      <c r="DXB159" s="46"/>
      <c r="DXC159" s="44"/>
      <c r="DXD159" s="7"/>
      <c r="DXE159" s="51"/>
      <c r="DXF159" s="52"/>
      <c r="DXG159" s="53"/>
      <c r="DXH159" s="54"/>
      <c r="DXI159" s="52"/>
      <c r="DXJ159" s="53"/>
      <c r="DXK159" s="54"/>
      <c r="DXL159" s="52"/>
      <c r="DXM159" s="53"/>
      <c r="DXN159" s="8"/>
      <c r="DXO159" s="45"/>
      <c r="DXP159" s="45"/>
      <c r="DXQ159" s="46"/>
      <c r="DXR159" s="44"/>
      <c r="DXS159" s="7"/>
      <c r="DXT159" s="51"/>
      <c r="DXU159" s="52"/>
      <c r="DXV159" s="53"/>
      <c r="DXW159" s="54"/>
      <c r="DXX159" s="52"/>
      <c r="DXY159" s="53"/>
      <c r="DXZ159" s="54"/>
      <c r="DYA159" s="52"/>
      <c r="DYB159" s="53"/>
      <c r="DYC159" s="8"/>
      <c r="DYD159" s="45"/>
      <c r="DYE159" s="45"/>
      <c r="DYF159" s="46"/>
      <c r="DYG159" s="44"/>
      <c r="DYH159" s="7"/>
      <c r="DYI159" s="51"/>
      <c r="DYJ159" s="52"/>
      <c r="DYK159" s="53"/>
      <c r="DYL159" s="54"/>
      <c r="DYM159" s="52"/>
      <c r="DYN159" s="53"/>
      <c r="DYO159" s="54"/>
      <c r="DYP159" s="52"/>
      <c r="DYQ159" s="53"/>
      <c r="DYR159" s="8"/>
      <c r="DYS159" s="45"/>
      <c r="DYT159" s="45"/>
      <c r="DYU159" s="46"/>
      <c r="DYV159" s="44"/>
      <c r="DYW159" s="7"/>
      <c r="DYX159" s="51"/>
      <c r="DYY159" s="52"/>
      <c r="DYZ159" s="53"/>
      <c r="DZA159" s="54"/>
      <c r="DZB159" s="52"/>
      <c r="DZC159" s="53"/>
      <c r="DZD159" s="54"/>
      <c r="DZE159" s="52"/>
      <c r="DZF159" s="53"/>
      <c r="DZG159" s="8"/>
      <c r="DZH159" s="45"/>
      <c r="DZI159" s="45"/>
      <c r="DZJ159" s="46"/>
      <c r="DZK159" s="44"/>
      <c r="DZL159" s="7"/>
      <c r="DZM159" s="51"/>
      <c r="DZN159" s="52"/>
      <c r="DZO159" s="53"/>
      <c r="DZP159" s="54"/>
      <c r="DZQ159" s="52"/>
      <c r="DZR159" s="53"/>
      <c r="DZS159" s="54"/>
      <c r="DZT159" s="52"/>
      <c r="DZU159" s="53"/>
      <c r="DZV159" s="8"/>
      <c r="DZW159" s="45"/>
      <c r="DZX159" s="45"/>
      <c r="DZY159" s="46"/>
      <c r="DZZ159" s="44"/>
      <c r="EAA159" s="7"/>
      <c r="EAB159" s="51"/>
      <c r="EAC159" s="52"/>
      <c r="EAD159" s="53"/>
      <c r="EAE159" s="54"/>
      <c r="EAF159" s="52"/>
      <c r="EAG159" s="53"/>
      <c r="EAH159" s="54"/>
      <c r="EAI159" s="52"/>
      <c r="EAJ159" s="53"/>
      <c r="EAK159" s="8"/>
      <c r="EAL159" s="45"/>
      <c r="EAM159" s="45"/>
      <c r="EAN159" s="46"/>
      <c r="EAO159" s="44"/>
      <c r="EAP159" s="7"/>
      <c r="EAQ159" s="51"/>
      <c r="EAR159" s="52"/>
      <c r="EAS159" s="53"/>
      <c r="EAT159" s="54"/>
      <c r="EAU159" s="52"/>
      <c r="EAV159" s="53"/>
      <c r="EAW159" s="54"/>
      <c r="EAX159" s="52"/>
      <c r="EAY159" s="53"/>
      <c r="EAZ159" s="8"/>
      <c r="EBA159" s="45"/>
      <c r="EBB159" s="45"/>
      <c r="EBC159" s="46"/>
      <c r="EBD159" s="44"/>
      <c r="EBE159" s="7"/>
      <c r="EBF159" s="51"/>
      <c r="EBG159" s="52"/>
      <c r="EBH159" s="53"/>
      <c r="EBI159" s="54"/>
      <c r="EBJ159" s="52"/>
      <c r="EBK159" s="53"/>
      <c r="EBL159" s="54"/>
      <c r="EBM159" s="52"/>
      <c r="EBN159" s="53"/>
      <c r="EBO159" s="8"/>
      <c r="EBP159" s="45"/>
      <c r="EBQ159" s="45"/>
      <c r="EBR159" s="46"/>
      <c r="EBS159" s="44"/>
      <c r="EBT159" s="7"/>
      <c r="EBU159" s="51"/>
      <c r="EBV159" s="52"/>
      <c r="EBW159" s="53"/>
      <c r="EBX159" s="54"/>
      <c r="EBY159" s="52"/>
      <c r="EBZ159" s="53"/>
      <c r="ECA159" s="54"/>
      <c r="ECB159" s="52"/>
      <c r="ECC159" s="53"/>
      <c r="ECD159" s="8"/>
      <c r="ECE159" s="45"/>
      <c r="ECF159" s="45"/>
      <c r="ECG159" s="46"/>
      <c r="ECH159" s="44"/>
      <c r="ECI159" s="7"/>
      <c r="ECJ159" s="51"/>
      <c r="ECK159" s="52"/>
      <c r="ECL159" s="53"/>
      <c r="ECM159" s="54"/>
      <c r="ECN159" s="52"/>
      <c r="ECO159" s="53"/>
      <c r="ECP159" s="54"/>
      <c r="ECQ159" s="52"/>
      <c r="ECR159" s="53"/>
      <c r="ECS159" s="8"/>
      <c r="ECT159" s="45"/>
      <c r="ECU159" s="45"/>
      <c r="ECV159" s="46"/>
      <c r="ECW159" s="44"/>
      <c r="ECX159" s="7"/>
      <c r="ECY159" s="51"/>
      <c r="ECZ159" s="52"/>
      <c r="EDA159" s="53"/>
      <c r="EDB159" s="54"/>
      <c r="EDC159" s="52"/>
      <c r="EDD159" s="53"/>
      <c r="EDE159" s="54"/>
      <c r="EDF159" s="52"/>
      <c r="EDG159" s="53"/>
      <c r="EDH159" s="8"/>
      <c r="EDI159" s="45"/>
      <c r="EDJ159" s="45"/>
      <c r="EDK159" s="46"/>
      <c r="EDL159" s="44"/>
      <c r="EDM159" s="7"/>
      <c r="EDN159" s="51"/>
      <c r="EDO159" s="52"/>
      <c r="EDP159" s="53"/>
      <c r="EDQ159" s="54"/>
      <c r="EDR159" s="52"/>
      <c r="EDS159" s="53"/>
      <c r="EDT159" s="54"/>
      <c r="EDU159" s="52"/>
      <c r="EDV159" s="53"/>
      <c r="EDW159" s="8"/>
      <c r="EDX159" s="45"/>
      <c r="EDY159" s="45"/>
      <c r="EDZ159" s="46"/>
      <c r="EEA159" s="44"/>
      <c r="EEB159" s="7"/>
      <c r="EEC159" s="51"/>
      <c r="EED159" s="52"/>
      <c r="EEE159" s="53"/>
      <c r="EEF159" s="54"/>
      <c r="EEG159" s="52"/>
      <c r="EEH159" s="53"/>
      <c r="EEI159" s="54"/>
      <c r="EEJ159" s="52"/>
      <c r="EEK159" s="53"/>
      <c r="EEL159" s="8"/>
      <c r="EEM159" s="45"/>
      <c r="EEN159" s="45"/>
      <c r="EEO159" s="46"/>
      <c r="EEP159" s="44"/>
      <c r="EEQ159" s="7"/>
      <c r="EER159" s="51"/>
      <c r="EES159" s="52"/>
      <c r="EET159" s="53"/>
      <c r="EEU159" s="54"/>
      <c r="EEV159" s="52"/>
      <c r="EEW159" s="53"/>
      <c r="EEX159" s="54"/>
      <c r="EEY159" s="52"/>
      <c r="EEZ159" s="53"/>
      <c r="EFA159" s="8"/>
      <c r="EFB159" s="45"/>
      <c r="EFC159" s="45"/>
      <c r="EFD159" s="46"/>
      <c r="EFE159" s="44"/>
      <c r="EFF159" s="7"/>
      <c r="EFG159" s="51"/>
      <c r="EFH159" s="52"/>
      <c r="EFI159" s="53"/>
      <c r="EFJ159" s="54"/>
      <c r="EFK159" s="52"/>
      <c r="EFL159" s="53"/>
      <c r="EFM159" s="54"/>
      <c r="EFN159" s="52"/>
      <c r="EFO159" s="53"/>
      <c r="EFP159" s="8"/>
      <c r="EFQ159" s="45"/>
      <c r="EFR159" s="45"/>
      <c r="EFS159" s="46"/>
      <c r="EFT159" s="44"/>
      <c r="EFU159" s="7"/>
      <c r="EFV159" s="51"/>
      <c r="EFW159" s="52"/>
      <c r="EFX159" s="53"/>
      <c r="EFY159" s="54"/>
      <c r="EFZ159" s="52"/>
      <c r="EGA159" s="53"/>
      <c r="EGB159" s="54"/>
      <c r="EGC159" s="52"/>
      <c r="EGD159" s="53"/>
      <c r="EGE159" s="8"/>
      <c r="EGF159" s="45"/>
      <c r="EGG159" s="45"/>
      <c r="EGH159" s="46"/>
      <c r="EGI159" s="44"/>
      <c r="EGJ159" s="7"/>
      <c r="EGK159" s="51"/>
      <c r="EGL159" s="52"/>
      <c r="EGM159" s="53"/>
      <c r="EGN159" s="54"/>
      <c r="EGO159" s="52"/>
      <c r="EGP159" s="53"/>
      <c r="EGQ159" s="54"/>
      <c r="EGR159" s="52"/>
      <c r="EGS159" s="53"/>
      <c r="EGT159" s="8"/>
      <c r="EGU159" s="45"/>
      <c r="EGV159" s="45"/>
      <c r="EGW159" s="46"/>
      <c r="EGX159" s="44"/>
      <c r="EGY159" s="7"/>
      <c r="EGZ159" s="51"/>
      <c r="EHA159" s="52"/>
      <c r="EHB159" s="53"/>
      <c r="EHC159" s="54"/>
      <c r="EHD159" s="52"/>
      <c r="EHE159" s="53"/>
      <c r="EHF159" s="54"/>
      <c r="EHG159" s="52"/>
      <c r="EHH159" s="53"/>
      <c r="EHI159" s="8"/>
      <c r="EHJ159" s="45"/>
      <c r="EHK159" s="45"/>
      <c r="EHL159" s="46"/>
      <c r="EHM159" s="44"/>
      <c r="EHN159" s="7"/>
      <c r="EHO159" s="51"/>
      <c r="EHP159" s="52"/>
      <c r="EHQ159" s="53"/>
      <c r="EHR159" s="54"/>
      <c r="EHS159" s="52"/>
      <c r="EHT159" s="53"/>
      <c r="EHU159" s="54"/>
      <c r="EHV159" s="52"/>
      <c r="EHW159" s="53"/>
      <c r="EHX159" s="8"/>
      <c r="EHY159" s="45"/>
      <c r="EHZ159" s="45"/>
      <c r="EIA159" s="46"/>
      <c r="EIB159" s="44"/>
      <c r="EIC159" s="7"/>
      <c r="EID159" s="51"/>
      <c r="EIE159" s="52"/>
      <c r="EIF159" s="53"/>
      <c r="EIG159" s="54"/>
      <c r="EIH159" s="52"/>
      <c r="EII159" s="53"/>
      <c r="EIJ159" s="54"/>
      <c r="EIK159" s="52"/>
      <c r="EIL159" s="53"/>
      <c r="EIM159" s="8"/>
      <c r="EIN159" s="45"/>
      <c r="EIO159" s="45"/>
      <c r="EIP159" s="46"/>
      <c r="EIQ159" s="44"/>
      <c r="EIR159" s="7"/>
      <c r="EIS159" s="51"/>
      <c r="EIT159" s="52"/>
      <c r="EIU159" s="53"/>
      <c r="EIV159" s="54"/>
      <c r="EIW159" s="52"/>
      <c r="EIX159" s="53"/>
      <c r="EIY159" s="54"/>
      <c r="EIZ159" s="52"/>
      <c r="EJA159" s="53"/>
      <c r="EJB159" s="8"/>
      <c r="EJC159" s="45"/>
      <c r="EJD159" s="45"/>
      <c r="EJE159" s="46"/>
      <c r="EJF159" s="44"/>
      <c r="EJG159" s="7"/>
      <c r="EJH159" s="51"/>
      <c r="EJI159" s="52"/>
      <c r="EJJ159" s="53"/>
      <c r="EJK159" s="54"/>
      <c r="EJL159" s="52"/>
      <c r="EJM159" s="53"/>
      <c r="EJN159" s="54"/>
      <c r="EJO159" s="52"/>
      <c r="EJP159" s="53"/>
      <c r="EJQ159" s="8"/>
      <c r="EJR159" s="45"/>
      <c r="EJS159" s="45"/>
      <c r="EJT159" s="46"/>
      <c r="EJU159" s="44"/>
      <c r="EJV159" s="7"/>
      <c r="EJW159" s="51"/>
      <c r="EJX159" s="52"/>
      <c r="EJY159" s="53"/>
      <c r="EJZ159" s="54"/>
      <c r="EKA159" s="52"/>
      <c r="EKB159" s="53"/>
      <c r="EKC159" s="54"/>
      <c r="EKD159" s="52"/>
      <c r="EKE159" s="53"/>
      <c r="EKF159" s="8"/>
      <c r="EKG159" s="45"/>
      <c r="EKH159" s="45"/>
      <c r="EKI159" s="46"/>
      <c r="EKJ159" s="44"/>
      <c r="EKK159" s="7"/>
      <c r="EKL159" s="51"/>
      <c r="EKM159" s="52"/>
      <c r="EKN159" s="53"/>
      <c r="EKO159" s="54"/>
      <c r="EKP159" s="52"/>
      <c r="EKQ159" s="53"/>
      <c r="EKR159" s="54"/>
      <c r="EKS159" s="52"/>
      <c r="EKT159" s="53"/>
      <c r="EKU159" s="8"/>
      <c r="EKV159" s="45"/>
      <c r="EKW159" s="45"/>
      <c r="EKX159" s="46"/>
      <c r="EKY159" s="44"/>
      <c r="EKZ159" s="7"/>
      <c r="ELA159" s="51"/>
      <c r="ELB159" s="52"/>
      <c r="ELC159" s="53"/>
      <c r="ELD159" s="54"/>
      <c r="ELE159" s="52"/>
      <c r="ELF159" s="53"/>
      <c r="ELG159" s="54"/>
      <c r="ELH159" s="52"/>
      <c r="ELI159" s="53"/>
      <c r="ELJ159" s="8"/>
      <c r="ELK159" s="45"/>
      <c r="ELL159" s="45"/>
      <c r="ELM159" s="46"/>
      <c r="ELN159" s="44"/>
      <c r="ELO159" s="7"/>
      <c r="ELP159" s="51"/>
      <c r="ELQ159" s="52"/>
      <c r="ELR159" s="53"/>
      <c r="ELS159" s="54"/>
      <c r="ELT159" s="52"/>
      <c r="ELU159" s="53"/>
      <c r="ELV159" s="54"/>
      <c r="ELW159" s="52"/>
      <c r="ELX159" s="53"/>
      <c r="ELY159" s="8"/>
      <c r="ELZ159" s="45"/>
      <c r="EMA159" s="45"/>
      <c r="EMB159" s="46"/>
      <c r="EMC159" s="44"/>
      <c r="EMD159" s="7"/>
      <c r="EME159" s="51"/>
      <c r="EMF159" s="52"/>
      <c r="EMG159" s="53"/>
      <c r="EMH159" s="54"/>
      <c r="EMI159" s="52"/>
      <c r="EMJ159" s="53"/>
      <c r="EMK159" s="54"/>
      <c r="EML159" s="52"/>
      <c r="EMM159" s="53"/>
      <c r="EMN159" s="8"/>
      <c r="EMO159" s="45"/>
      <c r="EMP159" s="45"/>
      <c r="EMQ159" s="46"/>
      <c r="EMR159" s="44"/>
      <c r="EMS159" s="7"/>
      <c r="EMT159" s="51"/>
      <c r="EMU159" s="52"/>
      <c r="EMV159" s="53"/>
      <c r="EMW159" s="54"/>
      <c r="EMX159" s="52"/>
      <c r="EMY159" s="53"/>
      <c r="EMZ159" s="54"/>
      <c r="ENA159" s="52"/>
      <c r="ENB159" s="53"/>
      <c r="ENC159" s="8"/>
      <c r="END159" s="45"/>
      <c r="ENE159" s="45"/>
      <c r="ENF159" s="46"/>
      <c r="ENG159" s="44"/>
      <c r="ENH159" s="7"/>
      <c r="ENI159" s="51"/>
      <c r="ENJ159" s="52"/>
      <c r="ENK159" s="53"/>
      <c r="ENL159" s="54"/>
      <c r="ENM159" s="52"/>
      <c r="ENN159" s="53"/>
      <c r="ENO159" s="54"/>
      <c r="ENP159" s="52"/>
      <c r="ENQ159" s="53"/>
      <c r="ENR159" s="8"/>
      <c r="ENS159" s="45"/>
      <c r="ENT159" s="45"/>
      <c r="ENU159" s="46"/>
      <c r="ENV159" s="44"/>
      <c r="ENW159" s="7"/>
      <c r="ENX159" s="51"/>
      <c r="ENY159" s="52"/>
      <c r="ENZ159" s="53"/>
      <c r="EOA159" s="54"/>
      <c r="EOB159" s="52"/>
      <c r="EOC159" s="53"/>
      <c r="EOD159" s="54"/>
      <c r="EOE159" s="52"/>
      <c r="EOF159" s="53"/>
      <c r="EOG159" s="8"/>
      <c r="EOH159" s="45"/>
      <c r="EOI159" s="45"/>
      <c r="EOJ159" s="46"/>
      <c r="EOK159" s="44"/>
      <c r="EOL159" s="7"/>
      <c r="EOM159" s="51"/>
      <c r="EON159" s="52"/>
      <c r="EOO159" s="53"/>
      <c r="EOP159" s="54"/>
      <c r="EOQ159" s="52"/>
      <c r="EOR159" s="53"/>
      <c r="EOS159" s="54"/>
      <c r="EOT159" s="52"/>
      <c r="EOU159" s="53"/>
      <c r="EOV159" s="8"/>
      <c r="EOW159" s="45"/>
      <c r="EOX159" s="45"/>
      <c r="EOY159" s="46"/>
      <c r="EOZ159" s="44"/>
      <c r="EPA159" s="7"/>
      <c r="EPB159" s="51"/>
      <c r="EPC159" s="52"/>
      <c r="EPD159" s="53"/>
      <c r="EPE159" s="54"/>
      <c r="EPF159" s="52"/>
      <c r="EPG159" s="53"/>
      <c r="EPH159" s="54"/>
      <c r="EPI159" s="52"/>
      <c r="EPJ159" s="53"/>
      <c r="EPK159" s="8"/>
      <c r="EPL159" s="45"/>
      <c r="EPM159" s="45"/>
      <c r="EPN159" s="46"/>
      <c r="EPO159" s="44"/>
      <c r="EPP159" s="7"/>
      <c r="EPQ159" s="51"/>
      <c r="EPR159" s="52"/>
      <c r="EPS159" s="53"/>
      <c r="EPT159" s="54"/>
      <c r="EPU159" s="52"/>
      <c r="EPV159" s="53"/>
      <c r="EPW159" s="54"/>
      <c r="EPX159" s="52"/>
      <c r="EPY159" s="53"/>
      <c r="EPZ159" s="8"/>
      <c r="EQA159" s="45"/>
      <c r="EQB159" s="45"/>
      <c r="EQC159" s="46"/>
      <c r="EQD159" s="44"/>
      <c r="EQE159" s="7"/>
      <c r="EQF159" s="51"/>
      <c r="EQG159" s="52"/>
      <c r="EQH159" s="53"/>
      <c r="EQI159" s="54"/>
      <c r="EQJ159" s="52"/>
      <c r="EQK159" s="53"/>
      <c r="EQL159" s="54"/>
      <c r="EQM159" s="52"/>
      <c r="EQN159" s="53"/>
      <c r="EQO159" s="8"/>
      <c r="EQP159" s="45"/>
      <c r="EQQ159" s="45"/>
      <c r="EQR159" s="46"/>
      <c r="EQS159" s="44"/>
      <c r="EQT159" s="7"/>
      <c r="EQU159" s="51"/>
      <c r="EQV159" s="52"/>
      <c r="EQW159" s="53"/>
      <c r="EQX159" s="54"/>
      <c r="EQY159" s="52"/>
      <c r="EQZ159" s="53"/>
      <c r="ERA159" s="54"/>
      <c r="ERB159" s="52"/>
      <c r="ERC159" s="53"/>
      <c r="ERD159" s="8"/>
      <c r="ERE159" s="45"/>
      <c r="ERF159" s="45"/>
      <c r="ERG159" s="46"/>
      <c r="ERH159" s="44"/>
      <c r="ERI159" s="7"/>
      <c r="ERJ159" s="51"/>
      <c r="ERK159" s="52"/>
      <c r="ERL159" s="53"/>
      <c r="ERM159" s="54"/>
      <c r="ERN159" s="52"/>
      <c r="ERO159" s="53"/>
      <c r="ERP159" s="54"/>
      <c r="ERQ159" s="52"/>
      <c r="ERR159" s="53"/>
      <c r="ERS159" s="8"/>
      <c r="ERT159" s="45"/>
      <c r="ERU159" s="45"/>
      <c r="ERV159" s="46"/>
      <c r="ERW159" s="44"/>
      <c r="ERX159" s="7"/>
      <c r="ERY159" s="51"/>
      <c r="ERZ159" s="52"/>
      <c r="ESA159" s="53"/>
      <c r="ESB159" s="54"/>
      <c r="ESC159" s="52"/>
      <c r="ESD159" s="53"/>
      <c r="ESE159" s="54"/>
      <c r="ESF159" s="52"/>
      <c r="ESG159" s="53"/>
      <c r="ESH159" s="8"/>
      <c r="ESI159" s="45"/>
      <c r="ESJ159" s="45"/>
      <c r="ESK159" s="46"/>
      <c r="ESL159" s="44"/>
      <c r="ESM159" s="7"/>
      <c r="ESN159" s="51"/>
      <c r="ESO159" s="52"/>
      <c r="ESP159" s="53"/>
      <c r="ESQ159" s="54"/>
      <c r="ESR159" s="52"/>
      <c r="ESS159" s="53"/>
      <c r="EST159" s="54"/>
      <c r="ESU159" s="52"/>
      <c r="ESV159" s="53"/>
      <c r="ESW159" s="8"/>
      <c r="ESX159" s="45"/>
      <c r="ESY159" s="45"/>
      <c r="ESZ159" s="46"/>
      <c r="ETA159" s="44"/>
      <c r="ETB159" s="7"/>
      <c r="ETC159" s="51"/>
      <c r="ETD159" s="52"/>
      <c r="ETE159" s="53"/>
      <c r="ETF159" s="54"/>
      <c r="ETG159" s="52"/>
      <c r="ETH159" s="53"/>
      <c r="ETI159" s="54"/>
      <c r="ETJ159" s="52"/>
      <c r="ETK159" s="53"/>
      <c r="ETL159" s="8"/>
      <c r="ETM159" s="45"/>
      <c r="ETN159" s="45"/>
      <c r="ETO159" s="46"/>
      <c r="ETP159" s="44"/>
      <c r="ETQ159" s="7"/>
      <c r="ETR159" s="51"/>
      <c r="ETS159" s="52"/>
      <c r="ETT159" s="53"/>
      <c r="ETU159" s="54"/>
      <c r="ETV159" s="52"/>
      <c r="ETW159" s="53"/>
      <c r="ETX159" s="54"/>
      <c r="ETY159" s="52"/>
      <c r="ETZ159" s="53"/>
      <c r="EUA159" s="8"/>
      <c r="EUB159" s="45"/>
      <c r="EUC159" s="45"/>
      <c r="EUD159" s="46"/>
      <c r="EUE159" s="44"/>
      <c r="EUF159" s="7"/>
      <c r="EUG159" s="51"/>
      <c r="EUH159" s="52"/>
      <c r="EUI159" s="53"/>
      <c r="EUJ159" s="54"/>
      <c r="EUK159" s="52"/>
      <c r="EUL159" s="53"/>
      <c r="EUM159" s="54"/>
      <c r="EUN159" s="52"/>
      <c r="EUO159" s="53"/>
      <c r="EUP159" s="8"/>
      <c r="EUQ159" s="45"/>
      <c r="EUR159" s="45"/>
      <c r="EUS159" s="46"/>
      <c r="EUT159" s="44"/>
      <c r="EUU159" s="7"/>
      <c r="EUV159" s="51"/>
      <c r="EUW159" s="52"/>
      <c r="EUX159" s="53"/>
      <c r="EUY159" s="54"/>
      <c r="EUZ159" s="52"/>
      <c r="EVA159" s="53"/>
      <c r="EVB159" s="54"/>
      <c r="EVC159" s="52"/>
      <c r="EVD159" s="53"/>
      <c r="EVE159" s="8"/>
      <c r="EVF159" s="45"/>
      <c r="EVG159" s="45"/>
      <c r="EVH159" s="46"/>
      <c r="EVI159" s="44"/>
      <c r="EVJ159" s="7"/>
      <c r="EVK159" s="51"/>
      <c r="EVL159" s="52"/>
      <c r="EVM159" s="53"/>
      <c r="EVN159" s="54"/>
      <c r="EVO159" s="52"/>
      <c r="EVP159" s="53"/>
      <c r="EVQ159" s="54"/>
      <c r="EVR159" s="52"/>
      <c r="EVS159" s="53"/>
      <c r="EVT159" s="8"/>
      <c r="EVU159" s="45"/>
      <c r="EVV159" s="45"/>
      <c r="EVW159" s="46"/>
      <c r="EVX159" s="44"/>
      <c r="EVY159" s="7"/>
      <c r="EVZ159" s="51"/>
      <c r="EWA159" s="52"/>
      <c r="EWB159" s="53"/>
      <c r="EWC159" s="54"/>
      <c r="EWD159" s="52"/>
      <c r="EWE159" s="53"/>
      <c r="EWF159" s="54"/>
      <c r="EWG159" s="52"/>
      <c r="EWH159" s="53"/>
      <c r="EWI159" s="8"/>
      <c r="EWJ159" s="45"/>
      <c r="EWK159" s="45"/>
      <c r="EWL159" s="46"/>
      <c r="EWM159" s="44"/>
      <c r="EWN159" s="7"/>
      <c r="EWO159" s="51"/>
      <c r="EWP159" s="52"/>
      <c r="EWQ159" s="53"/>
      <c r="EWR159" s="54"/>
      <c r="EWS159" s="52"/>
      <c r="EWT159" s="53"/>
      <c r="EWU159" s="54"/>
      <c r="EWV159" s="52"/>
      <c r="EWW159" s="53"/>
      <c r="EWX159" s="8"/>
      <c r="EWY159" s="45"/>
      <c r="EWZ159" s="45"/>
      <c r="EXA159" s="46"/>
      <c r="EXB159" s="44"/>
      <c r="EXC159" s="7"/>
      <c r="EXD159" s="51"/>
      <c r="EXE159" s="52"/>
      <c r="EXF159" s="53"/>
      <c r="EXG159" s="54"/>
      <c r="EXH159" s="52"/>
      <c r="EXI159" s="53"/>
      <c r="EXJ159" s="54"/>
      <c r="EXK159" s="52"/>
      <c r="EXL159" s="53"/>
      <c r="EXM159" s="8"/>
      <c r="EXN159" s="45"/>
      <c r="EXO159" s="45"/>
      <c r="EXP159" s="46"/>
      <c r="EXQ159" s="44"/>
      <c r="EXR159" s="7"/>
      <c r="EXS159" s="51"/>
      <c r="EXT159" s="52"/>
      <c r="EXU159" s="53"/>
      <c r="EXV159" s="54"/>
      <c r="EXW159" s="52"/>
      <c r="EXX159" s="53"/>
      <c r="EXY159" s="54"/>
      <c r="EXZ159" s="52"/>
      <c r="EYA159" s="53"/>
      <c r="EYB159" s="8"/>
      <c r="EYC159" s="45"/>
      <c r="EYD159" s="45"/>
      <c r="EYE159" s="46"/>
      <c r="EYF159" s="44"/>
      <c r="EYG159" s="7"/>
      <c r="EYH159" s="51"/>
      <c r="EYI159" s="52"/>
      <c r="EYJ159" s="53"/>
      <c r="EYK159" s="54"/>
      <c r="EYL159" s="52"/>
      <c r="EYM159" s="53"/>
      <c r="EYN159" s="54"/>
      <c r="EYO159" s="52"/>
      <c r="EYP159" s="53"/>
      <c r="EYQ159" s="8"/>
      <c r="EYR159" s="45"/>
      <c r="EYS159" s="45"/>
      <c r="EYT159" s="46"/>
      <c r="EYU159" s="44"/>
      <c r="EYV159" s="7"/>
      <c r="EYW159" s="51"/>
      <c r="EYX159" s="52"/>
      <c r="EYY159" s="53"/>
      <c r="EYZ159" s="54"/>
      <c r="EZA159" s="52"/>
      <c r="EZB159" s="53"/>
      <c r="EZC159" s="54"/>
      <c r="EZD159" s="52"/>
      <c r="EZE159" s="53"/>
      <c r="EZF159" s="8"/>
      <c r="EZG159" s="45"/>
      <c r="EZH159" s="45"/>
      <c r="EZI159" s="46"/>
      <c r="EZJ159" s="44"/>
      <c r="EZK159" s="7"/>
      <c r="EZL159" s="51"/>
      <c r="EZM159" s="52"/>
      <c r="EZN159" s="53"/>
      <c r="EZO159" s="54"/>
      <c r="EZP159" s="52"/>
      <c r="EZQ159" s="53"/>
      <c r="EZR159" s="54"/>
      <c r="EZS159" s="52"/>
      <c r="EZT159" s="53"/>
      <c r="EZU159" s="8"/>
      <c r="EZV159" s="45"/>
      <c r="EZW159" s="45"/>
      <c r="EZX159" s="46"/>
      <c r="EZY159" s="44"/>
      <c r="EZZ159" s="7"/>
      <c r="FAA159" s="51"/>
      <c r="FAB159" s="52"/>
      <c r="FAC159" s="53"/>
      <c r="FAD159" s="54"/>
      <c r="FAE159" s="52"/>
      <c r="FAF159" s="53"/>
      <c r="FAG159" s="54"/>
      <c r="FAH159" s="52"/>
      <c r="FAI159" s="53"/>
      <c r="FAJ159" s="8"/>
      <c r="FAK159" s="45"/>
      <c r="FAL159" s="45"/>
      <c r="FAM159" s="46"/>
      <c r="FAN159" s="44"/>
      <c r="FAO159" s="7"/>
      <c r="FAP159" s="51"/>
      <c r="FAQ159" s="52"/>
      <c r="FAR159" s="53"/>
      <c r="FAS159" s="54"/>
      <c r="FAT159" s="52"/>
      <c r="FAU159" s="53"/>
      <c r="FAV159" s="54"/>
      <c r="FAW159" s="52"/>
      <c r="FAX159" s="53"/>
      <c r="FAY159" s="8"/>
      <c r="FAZ159" s="45"/>
      <c r="FBA159" s="45"/>
      <c r="FBB159" s="46"/>
      <c r="FBC159" s="44"/>
      <c r="FBD159" s="7"/>
      <c r="FBE159" s="51"/>
      <c r="FBF159" s="52"/>
      <c r="FBG159" s="53"/>
      <c r="FBH159" s="54"/>
      <c r="FBI159" s="52"/>
      <c r="FBJ159" s="53"/>
      <c r="FBK159" s="54"/>
      <c r="FBL159" s="52"/>
      <c r="FBM159" s="53"/>
      <c r="FBN159" s="8"/>
      <c r="FBO159" s="45"/>
      <c r="FBP159" s="45"/>
      <c r="FBQ159" s="46"/>
      <c r="FBR159" s="44"/>
      <c r="FBS159" s="7"/>
      <c r="FBT159" s="51"/>
      <c r="FBU159" s="52"/>
      <c r="FBV159" s="53"/>
      <c r="FBW159" s="54"/>
      <c r="FBX159" s="52"/>
      <c r="FBY159" s="53"/>
      <c r="FBZ159" s="54"/>
      <c r="FCA159" s="52"/>
      <c r="FCB159" s="53"/>
      <c r="FCC159" s="8"/>
      <c r="FCD159" s="45"/>
      <c r="FCE159" s="45"/>
      <c r="FCF159" s="46"/>
      <c r="FCG159" s="44"/>
      <c r="FCH159" s="7"/>
      <c r="FCI159" s="51"/>
      <c r="FCJ159" s="52"/>
      <c r="FCK159" s="53"/>
      <c r="FCL159" s="54"/>
      <c r="FCM159" s="52"/>
      <c r="FCN159" s="53"/>
      <c r="FCO159" s="54"/>
      <c r="FCP159" s="52"/>
      <c r="FCQ159" s="53"/>
      <c r="FCR159" s="8"/>
      <c r="FCS159" s="45"/>
      <c r="FCT159" s="45"/>
      <c r="FCU159" s="46"/>
      <c r="FCV159" s="44"/>
      <c r="FCW159" s="7"/>
      <c r="FCX159" s="51"/>
      <c r="FCY159" s="52"/>
      <c r="FCZ159" s="53"/>
      <c r="FDA159" s="54"/>
      <c r="FDB159" s="52"/>
      <c r="FDC159" s="53"/>
      <c r="FDD159" s="54"/>
      <c r="FDE159" s="52"/>
      <c r="FDF159" s="53"/>
      <c r="FDG159" s="8"/>
      <c r="FDH159" s="45"/>
      <c r="FDI159" s="45"/>
      <c r="FDJ159" s="46"/>
      <c r="FDK159" s="44"/>
      <c r="FDL159" s="7"/>
      <c r="FDM159" s="51"/>
      <c r="FDN159" s="52"/>
      <c r="FDO159" s="53"/>
      <c r="FDP159" s="54"/>
      <c r="FDQ159" s="52"/>
      <c r="FDR159" s="53"/>
      <c r="FDS159" s="54"/>
      <c r="FDT159" s="52"/>
      <c r="FDU159" s="53"/>
      <c r="FDV159" s="8"/>
      <c r="FDW159" s="45"/>
      <c r="FDX159" s="45"/>
      <c r="FDY159" s="46"/>
      <c r="FDZ159" s="44"/>
      <c r="FEA159" s="7"/>
      <c r="FEB159" s="51"/>
      <c r="FEC159" s="52"/>
      <c r="FED159" s="53"/>
      <c r="FEE159" s="54"/>
      <c r="FEF159" s="52"/>
      <c r="FEG159" s="53"/>
      <c r="FEH159" s="54"/>
      <c r="FEI159" s="52"/>
      <c r="FEJ159" s="53"/>
      <c r="FEK159" s="8"/>
      <c r="FEL159" s="45"/>
      <c r="FEM159" s="45"/>
      <c r="FEN159" s="46"/>
      <c r="FEO159" s="44"/>
      <c r="FEP159" s="7"/>
      <c r="FEQ159" s="51"/>
      <c r="FER159" s="52"/>
      <c r="FES159" s="53"/>
      <c r="FET159" s="54"/>
      <c r="FEU159" s="52"/>
      <c r="FEV159" s="53"/>
      <c r="FEW159" s="54"/>
      <c r="FEX159" s="52"/>
      <c r="FEY159" s="53"/>
      <c r="FEZ159" s="8"/>
      <c r="FFA159" s="45"/>
      <c r="FFB159" s="45"/>
      <c r="FFC159" s="46"/>
      <c r="FFD159" s="44"/>
      <c r="FFE159" s="7"/>
      <c r="FFF159" s="51"/>
      <c r="FFG159" s="52"/>
      <c r="FFH159" s="53"/>
      <c r="FFI159" s="54"/>
      <c r="FFJ159" s="52"/>
      <c r="FFK159" s="53"/>
      <c r="FFL159" s="54"/>
      <c r="FFM159" s="52"/>
      <c r="FFN159" s="53"/>
      <c r="FFO159" s="8"/>
      <c r="FFP159" s="45"/>
      <c r="FFQ159" s="45"/>
      <c r="FFR159" s="46"/>
      <c r="FFS159" s="44"/>
      <c r="FFT159" s="7"/>
      <c r="FFU159" s="51"/>
      <c r="FFV159" s="52"/>
      <c r="FFW159" s="53"/>
      <c r="FFX159" s="54"/>
      <c r="FFY159" s="52"/>
      <c r="FFZ159" s="53"/>
      <c r="FGA159" s="54"/>
      <c r="FGB159" s="52"/>
      <c r="FGC159" s="53"/>
      <c r="FGD159" s="8"/>
      <c r="FGE159" s="45"/>
      <c r="FGF159" s="45"/>
      <c r="FGG159" s="46"/>
      <c r="FGH159" s="44"/>
      <c r="FGI159" s="7"/>
      <c r="FGJ159" s="51"/>
      <c r="FGK159" s="52"/>
      <c r="FGL159" s="53"/>
      <c r="FGM159" s="54"/>
      <c r="FGN159" s="52"/>
      <c r="FGO159" s="53"/>
      <c r="FGP159" s="54"/>
      <c r="FGQ159" s="52"/>
      <c r="FGR159" s="53"/>
      <c r="FGS159" s="8"/>
      <c r="FGT159" s="45"/>
      <c r="FGU159" s="45"/>
      <c r="FGV159" s="46"/>
      <c r="FGW159" s="44"/>
      <c r="FGX159" s="7"/>
      <c r="FGY159" s="51"/>
      <c r="FGZ159" s="52"/>
      <c r="FHA159" s="53"/>
      <c r="FHB159" s="54"/>
      <c r="FHC159" s="52"/>
      <c r="FHD159" s="53"/>
      <c r="FHE159" s="54"/>
      <c r="FHF159" s="52"/>
      <c r="FHG159" s="53"/>
      <c r="FHH159" s="8"/>
      <c r="FHI159" s="45"/>
      <c r="FHJ159" s="45"/>
      <c r="FHK159" s="46"/>
      <c r="FHL159" s="44"/>
      <c r="FHM159" s="7"/>
      <c r="FHN159" s="51"/>
      <c r="FHO159" s="52"/>
      <c r="FHP159" s="53"/>
      <c r="FHQ159" s="54"/>
      <c r="FHR159" s="52"/>
      <c r="FHS159" s="53"/>
      <c r="FHT159" s="54"/>
      <c r="FHU159" s="52"/>
      <c r="FHV159" s="53"/>
      <c r="FHW159" s="8"/>
      <c r="FHX159" s="45"/>
      <c r="FHY159" s="45"/>
      <c r="FHZ159" s="46"/>
      <c r="FIA159" s="44"/>
      <c r="FIB159" s="7"/>
      <c r="FIC159" s="51"/>
      <c r="FID159" s="52"/>
      <c r="FIE159" s="53"/>
      <c r="FIF159" s="54"/>
      <c r="FIG159" s="52"/>
      <c r="FIH159" s="53"/>
      <c r="FII159" s="54"/>
      <c r="FIJ159" s="52"/>
      <c r="FIK159" s="53"/>
      <c r="FIL159" s="8"/>
      <c r="FIM159" s="45"/>
      <c r="FIN159" s="45"/>
      <c r="FIO159" s="46"/>
      <c r="FIP159" s="44"/>
      <c r="FIQ159" s="7"/>
      <c r="FIR159" s="51"/>
      <c r="FIS159" s="52"/>
      <c r="FIT159" s="53"/>
      <c r="FIU159" s="54"/>
      <c r="FIV159" s="52"/>
      <c r="FIW159" s="53"/>
      <c r="FIX159" s="54"/>
      <c r="FIY159" s="52"/>
      <c r="FIZ159" s="53"/>
      <c r="FJA159" s="8"/>
      <c r="FJB159" s="45"/>
      <c r="FJC159" s="45"/>
      <c r="FJD159" s="46"/>
      <c r="FJE159" s="44"/>
      <c r="FJF159" s="7"/>
      <c r="FJG159" s="51"/>
      <c r="FJH159" s="52"/>
      <c r="FJI159" s="53"/>
      <c r="FJJ159" s="54"/>
      <c r="FJK159" s="52"/>
      <c r="FJL159" s="53"/>
      <c r="FJM159" s="54"/>
      <c r="FJN159" s="52"/>
      <c r="FJO159" s="53"/>
      <c r="FJP159" s="8"/>
      <c r="FJQ159" s="45"/>
      <c r="FJR159" s="45"/>
      <c r="FJS159" s="46"/>
      <c r="FJT159" s="44"/>
      <c r="FJU159" s="7"/>
      <c r="FJV159" s="51"/>
      <c r="FJW159" s="52"/>
      <c r="FJX159" s="53"/>
      <c r="FJY159" s="54"/>
      <c r="FJZ159" s="52"/>
      <c r="FKA159" s="53"/>
      <c r="FKB159" s="54"/>
      <c r="FKC159" s="52"/>
      <c r="FKD159" s="53"/>
      <c r="FKE159" s="8"/>
      <c r="FKF159" s="45"/>
      <c r="FKG159" s="45"/>
      <c r="FKH159" s="46"/>
      <c r="FKI159" s="44"/>
      <c r="FKJ159" s="7"/>
      <c r="FKK159" s="51"/>
      <c r="FKL159" s="52"/>
      <c r="FKM159" s="53"/>
      <c r="FKN159" s="54"/>
      <c r="FKO159" s="52"/>
      <c r="FKP159" s="53"/>
      <c r="FKQ159" s="54"/>
      <c r="FKR159" s="52"/>
      <c r="FKS159" s="53"/>
      <c r="FKT159" s="8"/>
      <c r="FKU159" s="45"/>
      <c r="FKV159" s="45"/>
      <c r="FKW159" s="46"/>
      <c r="FKX159" s="44"/>
      <c r="FKY159" s="7"/>
      <c r="FKZ159" s="51"/>
      <c r="FLA159" s="52"/>
      <c r="FLB159" s="53"/>
      <c r="FLC159" s="54"/>
      <c r="FLD159" s="52"/>
      <c r="FLE159" s="53"/>
      <c r="FLF159" s="54"/>
      <c r="FLG159" s="52"/>
      <c r="FLH159" s="53"/>
      <c r="FLI159" s="8"/>
      <c r="FLJ159" s="45"/>
      <c r="FLK159" s="45"/>
      <c r="FLL159" s="46"/>
      <c r="FLM159" s="44"/>
      <c r="FLN159" s="7"/>
      <c r="FLO159" s="51"/>
      <c r="FLP159" s="52"/>
      <c r="FLQ159" s="53"/>
      <c r="FLR159" s="54"/>
      <c r="FLS159" s="52"/>
      <c r="FLT159" s="53"/>
      <c r="FLU159" s="54"/>
      <c r="FLV159" s="52"/>
      <c r="FLW159" s="53"/>
      <c r="FLX159" s="8"/>
      <c r="FLY159" s="45"/>
      <c r="FLZ159" s="45"/>
      <c r="FMA159" s="46"/>
      <c r="FMB159" s="44"/>
      <c r="FMC159" s="7"/>
      <c r="FMD159" s="51"/>
      <c r="FME159" s="52"/>
      <c r="FMF159" s="53"/>
      <c r="FMG159" s="54"/>
      <c r="FMH159" s="52"/>
      <c r="FMI159" s="53"/>
      <c r="FMJ159" s="54"/>
      <c r="FMK159" s="52"/>
      <c r="FML159" s="53"/>
      <c r="FMM159" s="8"/>
      <c r="FMN159" s="45"/>
      <c r="FMO159" s="45"/>
      <c r="FMP159" s="46"/>
      <c r="FMQ159" s="44"/>
      <c r="FMR159" s="7"/>
      <c r="FMS159" s="51"/>
      <c r="FMT159" s="52"/>
      <c r="FMU159" s="53"/>
      <c r="FMV159" s="54"/>
      <c r="FMW159" s="52"/>
      <c r="FMX159" s="53"/>
      <c r="FMY159" s="54"/>
      <c r="FMZ159" s="52"/>
      <c r="FNA159" s="53"/>
      <c r="FNB159" s="8"/>
      <c r="FNC159" s="45"/>
      <c r="FND159" s="45"/>
      <c r="FNE159" s="46"/>
      <c r="FNF159" s="44"/>
      <c r="FNG159" s="7"/>
      <c r="FNH159" s="51"/>
      <c r="FNI159" s="52"/>
      <c r="FNJ159" s="53"/>
      <c r="FNK159" s="54"/>
      <c r="FNL159" s="52"/>
      <c r="FNM159" s="53"/>
      <c r="FNN159" s="54"/>
      <c r="FNO159" s="52"/>
      <c r="FNP159" s="53"/>
      <c r="FNQ159" s="8"/>
      <c r="FNR159" s="45"/>
      <c r="FNS159" s="45"/>
      <c r="FNT159" s="46"/>
      <c r="FNU159" s="44"/>
      <c r="FNV159" s="7"/>
      <c r="FNW159" s="51"/>
      <c r="FNX159" s="52"/>
      <c r="FNY159" s="53"/>
      <c r="FNZ159" s="54"/>
      <c r="FOA159" s="52"/>
      <c r="FOB159" s="53"/>
      <c r="FOC159" s="54"/>
      <c r="FOD159" s="52"/>
      <c r="FOE159" s="53"/>
      <c r="FOF159" s="8"/>
      <c r="FOG159" s="45"/>
      <c r="FOH159" s="45"/>
      <c r="FOI159" s="46"/>
      <c r="FOJ159" s="44"/>
      <c r="FOK159" s="7"/>
      <c r="FOL159" s="51"/>
      <c r="FOM159" s="52"/>
      <c r="FON159" s="53"/>
      <c r="FOO159" s="54"/>
      <c r="FOP159" s="52"/>
      <c r="FOQ159" s="53"/>
      <c r="FOR159" s="54"/>
      <c r="FOS159" s="52"/>
      <c r="FOT159" s="53"/>
      <c r="FOU159" s="8"/>
      <c r="FOV159" s="45"/>
      <c r="FOW159" s="45"/>
      <c r="FOX159" s="46"/>
      <c r="FOY159" s="44"/>
      <c r="FOZ159" s="7"/>
      <c r="FPA159" s="51"/>
      <c r="FPB159" s="52"/>
      <c r="FPC159" s="53"/>
      <c r="FPD159" s="54"/>
      <c r="FPE159" s="52"/>
      <c r="FPF159" s="53"/>
      <c r="FPG159" s="54"/>
      <c r="FPH159" s="52"/>
      <c r="FPI159" s="53"/>
      <c r="FPJ159" s="8"/>
      <c r="FPK159" s="45"/>
      <c r="FPL159" s="45"/>
      <c r="FPM159" s="46"/>
      <c r="FPN159" s="44"/>
      <c r="FPO159" s="7"/>
      <c r="FPP159" s="51"/>
      <c r="FPQ159" s="52"/>
      <c r="FPR159" s="53"/>
      <c r="FPS159" s="54"/>
      <c r="FPT159" s="52"/>
      <c r="FPU159" s="53"/>
      <c r="FPV159" s="54"/>
      <c r="FPW159" s="52"/>
      <c r="FPX159" s="53"/>
      <c r="FPY159" s="8"/>
      <c r="FPZ159" s="45"/>
      <c r="FQA159" s="45"/>
      <c r="FQB159" s="46"/>
      <c r="FQC159" s="44"/>
      <c r="FQD159" s="7"/>
      <c r="FQE159" s="51"/>
      <c r="FQF159" s="52"/>
      <c r="FQG159" s="53"/>
      <c r="FQH159" s="54"/>
      <c r="FQI159" s="52"/>
      <c r="FQJ159" s="53"/>
      <c r="FQK159" s="54"/>
      <c r="FQL159" s="52"/>
      <c r="FQM159" s="53"/>
      <c r="FQN159" s="8"/>
      <c r="FQO159" s="45"/>
      <c r="FQP159" s="45"/>
      <c r="FQQ159" s="46"/>
      <c r="FQR159" s="44"/>
      <c r="FQS159" s="7"/>
      <c r="FQT159" s="51"/>
      <c r="FQU159" s="52"/>
      <c r="FQV159" s="53"/>
      <c r="FQW159" s="54"/>
      <c r="FQX159" s="52"/>
      <c r="FQY159" s="53"/>
      <c r="FQZ159" s="54"/>
      <c r="FRA159" s="52"/>
      <c r="FRB159" s="53"/>
      <c r="FRC159" s="8"/>
      <c r="FRD159" s="45"/>
      <c r="FRE159" s="45"/>
      <c r="FRF159" s="46"/>
      <c r="FRG159" s="44"/>
      <c r="FRH159" s="7"/>
      <c r="FRI159" s="51"/>
      <c r="FRJ159" s="52"/>
      <c r="FRK159" s="53"/>
      <c r="FRL159" s="54"/>
      <c r="FRM159" s="52"/>
      <c r="FRN159" s="53"/>
      <c r="FRO159" s="54"/>
      <c r="FRP159" s="52"/>
      <c r="FRQ159" s="53"/>
      <c r="FRR159" s="8"/>
      <c r="FRS159" s="45"/>
      <c r="FRT159" s="45"/>
      <c r="FRU159" s="46"/>
      <c r="FRV159" s="44"/>
      <c r="FRW159" s="7"/>
      <c r="FRX159" s="51"/>
      <c r="FRY159" s="52"/>
      <c r="FRZ159" s="53"/>
      <c r="FSA159" s="54"/>
      <c r="FSB159" s="52"/>
      <c r="FSC159" s="53"/>
      <c r="FSD159" s="54"/>
      <c r="FSE159" s="52"/>
      <c r="FSF159" s="53"/>
      <c r="FSG159" s="8"/>
      <c r="FSH159" s="45"/>
      <c r="FSI159" s="45"/>
      <c r="FSJ159" s="46"/>
      <c r="FSK159" s="44"/>
      <c r="FSL159" s="7"/>
      <c r="FSM159" s="51"/>
      <c r="FSN159" s="52"/>
      <c r="FSO159" s="53"/>
      <c r="FSP159" s="54"/>
      <c r="FSQ159" s="52"/>
      <c r="FSR159" s="53"/>
      <c r="FSS159" s="54"/>
      <c r="FST159" s="52"/>
      <c r="FSU159" s="53"/>
      <c r="FSV159" s="8"/>
      <c r="FSW159" s="45"/>
      <c r="FSX159" s="45"/>
      <c r="FSY159" s="46"/>
      <c r="FSZ159" s="44"/>
      <c r="FTA159" s="7"/>
      <c r="FTB159" s="51"/>
      <c r="FTC159" s="52"/>
      <c r="FTD159" s="53"/>
      <c r="FTE159" s="54"/>
      <c r="FTF159" s="52"/>
      <c r="FTG159" s="53"/>
      <c r="FTH159" s="54"/>
      <c r="FTI159" s="52"/>
      <c r="FTJ159" s="53"/>
      <c r="FTK159" s="8"/>
      <c r="FTL159" s="45"/>
      <c r="FTM159" s="45"/>
      <c r="FTN159" s="46"/>
      <c r="FTO159" s="44"/>
      <c r="FTP159" s="7"/>
      <c r="FTQ159" s="51"/>
      <c r="FTR159" s="52"/>
      <c r="FTS159" s="53"/>
      <c r="FTT159" s="54"/>
      <c r="FTU159" s="52"/>
      <c r="FTV159" s="53"/>
      <c r="FTW159" s="54"/>
      <c r="FTX159" s="52"/>
      <c r="FTY159" s="53"/>
      <c r="FTZ159" s="8"/>
      <c r="FUA159" s="45"/>
      <c r="FUB159" s="45"/>
      <c r="FUC159" s="46"/>
      <c r="FUD159" s="44"/>
      <c r="FUE159" s="7"/>
      <c r="FUF159" s="51"/>
      <c r="FUG159" s="52"/>
      <c r="FUH159" s="53"/>
      <c r="FUI159" s="54"/>
      <c r="FUJ159" s="52"/>
      <c r="FUK159" s="53"/>
      <c r="FUL159" s="54"/>
      <c r="FUM159" s="52"/>
      <c r="FUN159" s="53"/>
      <c r="FUO159" s="8"/>
      <c r="FUP159" s="45"/>
      <c r="FUQ159" s="45"/>
      <c r="FUR159" s="46"/>
      <c r="FUS159" s="44"/>
      <c r="FUT159" s="7"/>
      <c r="FUU159" s="51"/>
      <c r="FUV159" s="52"/>
      <c r="FUW159" s="53"/>
      <c r="FUX159" s="54"/>
      <c r="FUY159" s="52"/>
      <c r="FUZ159" s="53"/>
      <c r="FVA159" s="54"/>
      <c r="FVB159" s="52"/>
      <c r="FVC159" s="53"/>
      <c r="FVD159" s="8"/>
      <c r="FVE159" s="45"/>
      <c r="FVF159" s="45"/>
      <c r="FVG159" s="46"/>
      <c r="FVH159" s="44"/>
      <c r="FVI159" s="7"/>
      <c r="FVJ159" s="51"/>
      <c r="FVK159" s="52"/>
      <c r="FVL159" s="53"/>
      <c r="FVM159" s="54"/>
      <c r="FVN159" s="52"/>
      <c r="FVO159" s="53"/>
      <c r="FVP159" s="54"/>
      <c r="FVQ159" s="52"/>
      <c r="FVR159" s="53"/>
      <c r="FVS159" s="8"/>
      <c r="FVT159" s="45"/>
      <c r="FVU159" s="45"/>
      <c r="FVV159" s="46"/>
      <c r="FVW159" s="44"/>
      <c r="FVX159" s="7"/>
      <c r="FVY159" s="51"/>
      <c r="FVZ159" s="52"/>
      <c r="FWA159" s="53"/>
      <c r="FWB159" s="54"/>
      <c r="FWC159" s="52"/>
      <c r="FWD159" s="53"/>
      <c r="FWE159" s="54"/>
      <c r="FWF159" s="52"/>
      <c r="FWG159" s="53"/>
      <c r="FWH159" s="8"/>
      <c r="FWI159" s="45"/>
      <c r="FWJ159" s="45"/>
      <c r="FWK159" s="46"/>
      <c r="FWL159" s="44"/>
      <c r="FWM159" s="7"/>
      <c r="FWN159" s="51"/>
      <c r="FWO159" s="52"/>
      <c r="FWP159" s="53"/>
      <c r="FWQ159" s="54"/>
      <c r="FWR159" s="52"/>
      <c r="FWS159" s="53"/>
      <c r="FWT159" s="54"/>
      <c r="FWU159" s="52"/>
      <c r="FWV159" s="53"/>
      <c r="FWW159" s="8"/>
      <c r="FWX159" s="45"/>
      <c r="FWY159" s="45"/>
      <c r="FWZ159" s="46"/>
      <c r="FXA159" s="44"/>
      <c r="FXB159" s="7"/>
      <c r="FXC159" s="51"/>
      <c r="FXD159" s="52"/>
      <c r="FXE159" s="53"/>
      <c r="FXF159" s="54"/>
      <c r="FXG159" s="52"/>
      <c r="FXH159" s="53"/>
      <c r="FXI159" s="54"/>
      <c r="FXJ159" s="52"/>
      <c r="FXK159" s="53"/>
      <c r="FXL159" s="8"/>
      <c r="FXM159" s="45"/>
      <c r="FXN159" s="45"/>
      <c r="FXO159" s="46"/>
      <c r="FXP159" s="44"/>
      <c r="FXQ159" s="7"/>
      <c r="FXR159" s="51"/>
      <c r="FXS159" s="52"/>
      <c r="FXT159" s="53"/>
      <c r="FXU159" s="54"/>
      <c r="FXV159" s="52"/>
      <c r="FXW159" s="53"/>
      <c r="FXX159" s="54"/>
      <c r="FXY159" s="52"/>
      <c r="FXZ159" s="53"/>
      <c r="FYA159" s="8"/>
      <c r="FYB159" s="45"/>
      <c r="FYC159" s="45"/>
      <c r="FYD159" s="46"/>
      <c r="FYE159" s="44"/>
      <c r="FYF159" s="7"/>
      <c r="FYG159" s="51"/>
      <c r="FYH159" s="52"/>
      <c r="FYI159" s="53"/>
      <c r="FYJ159" s="54"/>
      <c r="FYK159" s="52"/>
      <c r="FYL159" s="53"/>
      <c r="FYM159" s="54"/>
      <c r="FYN159" s="52"/>
      <c r="FYO159" s="53"/>
      <c r="FYP159" s="8"/>
      <c r="FYQ159" s="45"/>
      <c r="FYR159" s="45"/>
      <c r="FYS159" s="46"/>
      <c r="FYT159" s="44"/>
      <c r="FYU159" s="7"/>
      <c r="FYV159" s="51"/>
      <c r="FYW159" s="52"/>
      <c r="FYX159" s="53"/>
      <c r="FYY159" s="54"/>
      <c r="FYZ159" s="52"/>
      <c r="FZA159" s="53"/>
      <c r="FZB159" s="54"/>
      <c r="FZC159" s="52"/>
      <c r="FZD159" s="53"/>
      <c r="FZE159" s="8"/>
      <c r="FZF159" s="45"/>
      <c r="FZG159" s="45"/>
      <c r="FZH159" s="46"/>
      <c r="FZI159" s="44"/>
      <c r="FZJ159" s="7"/>
      <c r="FZK159" s="51"/>
      <c r="FZL159" s="52"/>
      <c r="FZM159" s="53"/>
      <c r="FZN159" s="54"/>
      <c r="FZO159" s="52"/>
      <c r="FZP159" s="53"/>
      <c r="FZQ159" s="54"/>
      <c r="FZR159" s="52"/>
      <c r="FZS159" s="53"/>
      <c r="FZT159" s="8"/>
      <c r="FZU159" s="45"/>
      <c r="FZV159" s="45"/>
      <c r="FZW159" s="46"/>
      <c r="FZX159" s="44"/>
      <c r="FZY159" s="7"/>
      <c r="FZZ159" s="51"/>
      <c r="GAA159" s="52"/>
      <c r="GAB159" s="53"/>
      <c r="GAC159" s="54"/>
      <c r="GAD159" s="52"/>
      <c r="GAE159" s="53"/>
      <c r="GAF159" s="54"/>
      <c r="GAG159" s="52"/>
      <c r="GAH159" s="53"/>
      <c r="GAI159" s="8"/>
      <c r="GAJ159" s="45"/>
      <c r="GAK159" s="45"/>
      <c r="GAL159" s="46"/>
      <c r="GAM159" s="44"/>
      <c r="GAN159" s="7"/>
      <c r="GAO159" s="51"/>
      <c r="GAP159" s="52"/>
      <c r="GAQ159" s="53"/>
      <c r="GAR159" s="54"/>
      <c r="GAS159" s="52"/>
      <c r="GAT159" s="53"/>
      <c r="GAU159" s="54"/>
      <c r="GAV159" s="52"/>
      <c r="GAW159" s="53"/>
      <c r="GAX159" s="8"/>
      <c r="GAY159" s="45"/>
      <c r="GAZ159" s="45"/>
      <c r="GBA159" s="46"/>
      <c r="GBB159" s="44"/>
      <c r="GBC159" s="7"/>
      <c r="GBD159" s="51"/>
      <c r="GBE159" s="52"/>
      <c r="GBF159" s="53"/>
      <c r="GBG159" s="54"/>
      <c r="GBH159" s="52"/>
      <c r="GBI159" s="53"/>
      <c r="GBJ159" s="54"/>
      <c r="GBK159" s="52"/>
      <c r="GBL159" s="53"/>
      <c r="GBM159" s="8"/>
      <c r="GBN159" s="45"/>
      <c r="GBO159" s="45"/>
      <c r="GBP159" s="46"/>
      <c r="GBQ159" s="44"/>
      <c r="GBR159" s="7"/>
      <c r="GBS159" s="51"/>
      <c r="GBT159" s="52"/>
      <c r="GBU159" s="53"/>
      <c r="GBV159" s="54"/>
      <c r="GBW159" s="52"/>
      <c r="GBX159" s="53"/>
      <c r="GBY159" s="54"/>
      <c r="GBZ159" s="52"/>
      <c r="GCA159" s="53"/>
      <c r="GCB159" s="8"/>
      <c r="GCC159" s="45"/>
      <c r="GCD159" s="45"/>
      <c r="GCE159" s="46"/>
      <c r="GCF159" s="44"/>
      <c r="GCG159" s="7"/>
      <c r="GCH159" s="51"/>
      <c r="GCI159" s="52"/>
      <c r="GCJ159" s="53"/>
      <c r="GCK159" s="54"/>
      <c r="GCL159" s="52"/>
      <c r="GCM159" s="53"/>
      <c r="GCN159" s="54"/>
      <c r="GCO159" s="52"/>
      <c r="GCP159" s="53"/>
      <c r="GCQ159" s="8"/>
      <c r="GCR159" s="45"/>
      <c r="GCS159" s="45"/>
      <c r="GCT159" s="46"/>
      <c r="GCU159" s="44"/>
      <c r="GCV159" s="7"/>
      <c r="GCW159" s="51"/>
      <c r="GCX159" s="52"/>
      <c r="GCY159" s="53"/>
      <c r="GCZ159" s="54"/>
      <c r="GDA159" s="52"/>
      <c r="GDB159" s="53"/>
      <c r="GDC159" s="54"/>
      <c r="GDD159" s="52"/>
      <c r="GDE159" s="53"/>
      <c r="GDF159" s="8"/>
      <c r="GDG159" s="45"/>
      <c r="GDH159" s="45"/>
      <c r="GDI159" s="46"/>
      <c r="GDJ159" s="44"/>
      <c r="GDK159" s="7"/>
      <c r="GDL159" s="51"/>
      <c r="GDM159" s="52"/>
      <c r="GDN159" s="53"/>
      <c r="GDO159" s="54"/>
      <c r="GDP159" s="52"/>
      <c r="GDQ159" s="53"/>
      <c r="GDR159" s="54"/>
      <c r="GDS159" s="52"/>
      <c r="GDT159" s="53"/>
      <c r="GDU159" s="8"/>
      <c r="GDV159" s="45"/>
      <c r="GDW159" s="45"/>
      <c r="GDX159" s="46"/>
      <c r="GDY159" s="44"/>
      <c r="GDZ159" s="7"/>
      <c r="GEA159" s="51"/>
      <c r="GEB159" s="52"/>
      <c r="GEC159" s="53"/>
      <c r="GED159" s="54"/>
      <c r="GEE159" s="52"/>
      <c r="GEF159" s="53"/>
      <c r="GEG159" s="54"/>
      <c r="GEH159" s="52"/>
      <c r="GEI159" s="53"/>
      <c r="GEJ159" s="8"/>
      <c r="GEK159" s="45"/>
      <c r="GEL159" s="45"/>
      <c r="GEM159" s="46"/>
      <c r="GEN159" s="44"/>
      <c r="GEO159" s="7"/>
      <c r="GEP159" s="51"/>
      <c r="GEQ159" s="52"/>
      <c r="GER159" s="53"/>
      <c r="GES159" s="54"/>
      <c r="GET159" s="52"/>
      <c r="GEU159" s="53"/>
      <c r="GEV159" s="54"/>
      <c r="GEW159" s="52"/>
      <c r="GEX159" s="53"/>
      <c r="GEY159" s="8"/>
      <c r="GEZ159" s="45"/>
      <c r="GFA159" s="45"/>
      <c r="GFB159" s="46"/>
      <c r="GFC159" s="44"/>
      <c r="GFD159" s="7"/>
      <c r="GFE159" s="51"/>
      <c r="GFF159" s="52"/>
      <c r="GFG159" s="53"/>
      <c r="GFH159" s="54"/>
      <c r="GFI159" s="52"/>
      <c r="GFJ159" s="53"/>
      <c r="GFK159" s="54"/>
      <c r="GFL159" s="52"/>
      <c r="GFM159" s="53"/>
      <c r="GFN159" s="8"/>
      <c r="GFO159" s="45"/>
      <c r="GFP159" s="45"/>
      <c r="GFQ159" s="46"/>
      <c r="GFR159" s="44"/>
      <c r="GFS159" s="7"/>
      <c r="GFT159" s="51"/>
      <c r="GFU159" s="52"/>
      <c r="GFV159" s="53"/>
      <c r="GFW159" s="54"/>
      <c r="GFX159" s="52"/>
      <c r="GFY159" s="53"/>
      <c r="GFZ159" s="54"/>
      <c r="GGA159" s="52"/>
      <c r="GGB159" s="53"/>
      <c r="GGC159" s="8"/>
      <c r="GGD159" s="45"/>
      <c r="GGE159" s="45"/>
      <c r="GGF159" s="46"/>
      <c r="GGG159" s="44"/>
      <c r="GGH159" s="7"/>
      <c r="GGI159" s="51"/>
      <c r="GGJ159" s="52"/>
      <c r="GGK159" s="53"/>
      <c r="GGL159" s="54"/>
      <c r="GGM159" s="52"/>
      <c r="GGN159" s="53"/>
      <c r="GGO159" s="54"/>
      <c r="GGP159" s="52"/>
      <c r="GGQ159" s="53"/>
      <c r="GGR159" s="8"/>
      <c r="GGS159" s="45"/>
      <c r="GGT159" s="45"/>
      <c r="GGU159" s="46"/>
      <c r="GGV159" s="44"/>
      <c r="GGW159" s="7"/>
      <c r="GGX159" s="51"/>
      <c r="GGY159" s="52"/>
      <c r="GGZ159" s="53"/>
      <c r="GHA159" s="54"/>
      <c r="GHB159" s="52"/>
      <c r="GHC159" s="53"/>
      <c r="GHD159" s="54"/>
      <c r="GHE159" s="52"/>
      <c r="GHF159" s="53"/>
      <c r="GHG159" s="8"/>
      <c r="GHH159" s="45"/>
      <c r="GHI159" s="45"/>
      <c r="GHJ159" s="46"/>
      <c r="GHK159" s="44"/>
      <c r="GHL159" s="7"/>
      <c r="GHM159" s="51"/>
      <c r="GHN159" s="52"/>
      <c r="GHO159" s="53"/>
      <c r="GHP159" s="54"/>
      <c r="GHQ159" s="52"/>
      <c r="GHR159" s="53"/>
      <c r="GHS159" s="54"/>
      <c r="GHT159" s="52"/>
      <c r="GHU159" s="53"/>
      <c r="GHV159" s="8"/>
      <c r="GHW159" s="45"/>
      <c r="GHX159" s="45"/>
      <c r="GHY159" s="46"/>
      <c r="GHZ159" s="44"/>
      <c r="GIA159" s="7"/>
      <c r="GIB159" s="51"/>
      <c r="GIC159" s="52"/>
      <c r="GID159" s="53"/>
      <c r="GIE159" s="54"/>
      <c r="GIF159" s="52"/>
      <c r="GIG159" s="53"/>
      <c r="GIH159" s="54"/>
      <c r="GII159" s="52"/>
      <c r="GIJ159" s="53"/>
      <c r="GIK159" s="8"/>
      <c r="GIL159" s="45"/>
      <c r="GIM159" s="45"/>
      <c r="GIN159" s="46"/>
      <c r="GIO159" s="44"/>
      <c r="GIP159" s="7"/>
      <c r="GIQ159" s="51"/>
      <c r="GIR159" s="52"/>
      <c r="GIS159" s="53"/>
      <c r="GIT159" s="54"/>
      <c r="GIU159" s="52"/>
      <c r="GIV159" s="53"/>
      <c r="GIW159" s="54"/>
      <c r="GIX159" s="52"/>
      <c r="GIY159" s="53"/>
      <c r="GIZ159" s="8"/>
      <c r="GJA159" s="45"/>
      <c r="GJB159" s="45"/>
      <c r="GJC159" s="46"/>
      <c r="GJD159" s="44"/>
      <c r="GJE159" s="7"/>
      <c r="GJF159" s="51"/>
      <c r="GJG159" s="52"/>
      <c r="GJH159" s="53"/>
      <c r="GJI159" s="54"/>
      <c r="GJJ159" s="52"/>
      <c r="GJK159" s="53"/>
      <c r="GJL159" s="54"/>
      <c r="GJM159" s="52"/>
      <c r="GJN159" s="53"/>
      <c r="GJO159" s="8"/>
      <c r="GJP159" s="45"/>
      <c r="GJQ159" s="45"/>
      <c r="GJR159" s="46"/>
      <c r="GJS159" s="44"/>
      <c r="GJT159" s="7"/>
      <c r="GJU159" s="51"/>
      <c r="GJV159" s="52"/>
      <c r="GJW159" s="53"/>
      <c r="GJX159" s="54"/>
      <c r="GJY159" s="52"/>
      <c r="GJZ159" s="53"/>
      <c r="GKA159" s="54"/>
      <c r="GKB159" s="52"/>
      <c r="GKC159" s="53"/>
      <c r="GKD159" s="8"/>
      <c r="GKE159" s="45"/>
      <c r="GKF159" s="45"/>
      <c r="GKG159" s="46"/>
      <c r="GKH159" s="44"/>
      <c r="GKI159" s="7"/>
      <c r="GKJ159" s="51"/>
      <c r="GKK159" s="52"/>
      <c r="GKL159" s="53"/>
      <c r="GKM159" s="54"/>
      <c r="GKN159" s="52"/>
      <c r="GKO159" s="53"/>
      <c r="GKP159" s="54"/>
      <c r="GKQ159" s="52"/>
      <c r="GKR159" s="53"/>
      <c r="GKS159" s="8"/>
      <c r="GKT159" s="45"/>
      <c r="GKU159" s="45"/>
      <c r="GKV159" s="46"/>
      <c r="GKW159" s="44"/>
      <c r="GKX159" s="7"/>
      <c r="GKY159" s="51"/>
      <c r="GKZ159" s="52"/>
      <c r="GLA159" s="53"/>
      <c r="GLB159" s="54"/>
      <c r="GLC159" s="52"/>
      <c r="GLD159" s="53"/>
      <c r="GLE159" s="54"/>
      <c r="GLF159" s="52"/>
      <c r="GLG159" s="53"/>
      <c r="GLH159" s="8"/>
      <c r="GLI159" s="45"/>
      <c r="GLJ159" s="45"/>
      <c r="GLK159" s="46"/>
      <c r="GLL159" s="44"/>
      <c r="GLM159" s="7"/>
      <c r="GLN159" s="51"/>
      <c r="GLO159" s="52"/>
      <c r="GLP159" s="53"/>
      <c r="GLQ159" s="54"/>
      <c r="GLR159" s="52"/>
      <c r="GLS159" s="53"/>
      <c r="GLT159" s="54"/>
      <c r="GLU159" s="52"/>
      <c r="GLV159" s="53"/>
      <c r="GLW159" s="8"/>
      <c r="GLX159" s="45"/>
      <c r="GLY159" s="45"/>
      <c r="GLZ159" s="46"/>
      <c r="GMA159" s="44"/>
      <c r="GMB159" s="7"/>
      <c r="GMC159" s="51"/>
      <c r="GMD159" s="52"/>
      <c r="GME159" s="53"/>
      <c r="GMF159" s="54"/>
      <c r="GMG159" s="52"/>
      <c r="GMH159" s="53"/>
      <c r="GMI159" s="54"/>
      <c r="GMJ159" s="52"/>
      <c r="GMK159" s="53"/>
      <c r="GML159" s="8"/>
      <c r="GMM159" s="45"/>
      <c r="GMN159" s="45"/>
      <c r="GMO159" s="46"/>
      <c r="GMP159" s="44"/>
      <c r="GMQ159" s="7"/>
      <c r="GMR159" s="51"/>
      <c r="GMS159" s="52"/>
      <c r="GMT159" s="53"/>
      <c r="GMU159" s="54"/>
      <c r="GMV159" s="52"/>
      <c r="GMW159" s="53"/>
      <c r="GMX159" s="54"/>
      <c r="GMY159" s="52"/>
      <c r="GMZ159" s="53"/>
      <c r="GNA159" s="8"/>
      <c r="GNB159" s="45"/>
      <c r="GNC159" s="45"/>
      <c r="GND159" s="46"/>
      <c r="GNE159" s="44"/>
      <c r="GNF159" s="7"/>
      <c r="GNG159" s="51"/>
      <c r="GNH159" s="52"/>
      <c r="GNI159" s="53"/>
      <c r="GNJ159" s="54"/>
      <c r="GNK159" s="52"/>
      <c r="GNL159" s="53"/>
      <c r="GNM159" s="54"/>
      <c r="GNN159" s="52"/>
      <c r="GNO159" s="53"/>
      <c r="GNP159" s="8"/>
      <c r="GNQ159" s="45"/>
      <c r="GNR159" s="45"/>
      <c r="GNS159" s="46"/>
      <c r="GNT159" s="44"/>
      <c r="GNU159" s="7"/>
      <c r="GNV159" s="51"/>
      <c r="GNW159" s="52"/>
      <c r="GNX159" s="53"/>
      <c r="GNY159" s="54"/>
      <c r="GNZ159" s="52"/>
      <c r="GOA159" s="53"/>
      <c r="GOB159" s="54"/>
      <c r="GOC159" s="52"/>
      <c r="GOD159" s="53"/>
      <c r="GOE159" s="8"/>
      <c r="GOF159" s="45"/>
      <c r="GOG159" s="45"/>
      <c r="GOH159" s="46"/>
      <c r="GOI159" s="44"/>
      <c r="GOJ159" s="7"/>
      <c r="GOK159" s="51"/>
      <c r="GOL159" s="52"/>
      <c r="GOM159" s="53"/>
      <c r="GON159" s="54"/>
      <c r="GOO159" s="52"/>
      <c r="GOP159" s="53"/>
      <c r="GOQ159" s="54"/>
      <c r="GOR159" s="52"/>
      <c r="GOS159" s="53"/>
      <c r="GOT159" s="8"/>
      <c r="GOU159" s="45"/>
      <c r="GOV159" s="45"/>
      <c r="GOW159" s="46"/>
      <c r="GOX159" s="44"/>
      <c r="GOY159" s="7"/>
      <c r="GOZ159" s="51"/>
      <c r="GPA159" s="52"/>
      <c r="GPB159" s="53"/>
      <c r="GPC159" s="54"/>
      <c r="GPD159" s="52"/>
      <c r="GPE159" s="53"/>
      <c r="GPF159" s="54"/>
      <c r="GPG159" s="52"/>
      <c r="GPH159" s="53"/>
      <c r="GPI159" s="8"/>
      <c r="GPJ159" s="45"/>
      <c r="GPK159" s="45"/>
      <c r="GPL159" s="46"/>
      <c r="GPM159" s="44"/>
      <c r="GPN159" s="7"/>
      <c r="GPO159" s="51"/>
      <c r="GPP159" s="52"/>
      <c r="GPQ159" s="53"/>
      <c r="GPR159" s="54"/>
      <c r="GPS159" s="52"/>
      <c r="GPT159" s="53"/>
      <c r="GPU159" s="54"/>
      <c r="GPV159" s="52"/>
      <c r="GPW159" s="53"/>
      <c r="GPX159" s="8"/>
      <c r="GPY159" s="45"/>
      <c r="GPZ159" s="45"/>
      <c r="GQA159" s="46"/>
      <c r="GQB159" s="44"/>
      <c r="GQC159" s="7"/>
      <c r="GQD159" s="51"/>
      <c r="GQE159" s="52"/>
      <c r="GQF159" s="53"/>
      <c r="GQG159" s="54"/>
      <c r="GQH159" s="52"/>
      <c r="GQI159" s="53"/>
      <c r="GQJ159" s="54"/>
      <c r="GQK159" s="52"/>
      <c r="GQL159" s="53"/>
      <c r="GQM159" s="8"/>
      <c r="GQN159" s="45"/>
      <c r="GQO159" s="45"/>
      <c r="GQP159" s="46"/>
      <c r="GQQ159" s="44"/>
      <c r="GQR159" s="7"/>
      <c r="GQS159" s="51"/>
      <c r="GQT159" s="52"/>
      <c r="GQU159" s="53"/>
      <c r="GQV159" s="54"/>
      <c r="GQW159" s="52"/>
      <c r="GQX159" s="53"/>
      <c r="GQY159" s="54"/>
      <c r="GQZ159" s="52"/>
      <c r="GRA159" s="53"/>
      <c r="GRB159" s="8"/>
      <c r="GRC159" s="45"/>
      <c r="GRD159" s="45"/>
      <c r="GRE159" s="46"/>
      <c r="GRF159" s="44"/>
      <c r="GRG159" s="7"/>
      <c r="GRH159" s="51"/>
      <c r="GRI159" s="52"/>
      <c r="GRJ159" s="53"/>
      <c r="GRK159" s="54"/>
      <c r="GRL159" s="52"/>
      <c r="GRM159" s="53"/>
      <c r="GRN159" s="54"/>
      <c r="GRO159" s="52"/>
      <c r="GRP159" s="53"/>
      <c r="GRQ159" s="8"/>
      <c r="GRR159" s="45"/>
      <c r="GRS159" s="45"/>
      <c r="GRT159" s="46"/>
      <c r="GRU159" s="44"/>
      <c r="GRV159" s="7"/>
      <c r="GRW159" s="51"/>
      <c r="GRX159" s="52"/>
      <c r="GRY159" s="53"/>
      <c r="GRZ159" s="54"/>
      <c r="GSA159" s="52"/>
      <c r="GSB159" s="53"/>
      <c r="GSC159" s="54"/>
      <c r="GSD159" s="52"/>
      <c r="GSE159" s="53"/>
      <c r="GSF159" s="8"/>
      <c r="GSG159" s="45"/>
      <c r="GSH159" s="45"/>
      <c r="GSI159" s="46"/>
      <c r="GSJ159" s="44"/>
      <c r="GSK159" s="7"/>
      <c r="GSL159" s="51"/>
      <c r="GSM159" s="52"/>
      <c r="GSN159" s="53"/>
      <c r="GSO159" s="54"/>
      <c r="GSP159" s="52"/>
      <c r="GSQ159" s="53"/>
      <c r="GSR159" s="54"/>
      <c r="GSS159" s="52"/>
      <c r="GST159" s="53"/>
      <c r="GSU159" s="8"/>
      <c r="GSV159" s="45"/>
      <c r="GSW159" s="45"/>
      <c r="GSX159" s="46"/>
      <c r="GSY159" s="44"/>
      <c r="GSZ159" s="7"/>
      <c r="GTA159" s="51"/>
      <c r="GTB159" s="52"/>
      <c r="GTC159" s="53"/>
      <c r="GTD159" s="54"/>
      <c r="GTE159" s="52"/>
      <c r="GTF159" s="53"/>
      <c r="GTG159" s="54"/>
      <c r="GTH159" s="52"/>
      <c r="GTI159" s="53"/>
      <c r="GTJ159" s="8"/>
      <c r="GTK159" s="45"/>
      <c r="GTL159" s="45"/>
      <c r="GTM159" s="46"/>
      <c r="GTN159" s="44"/>
      <c r="GTO159" s="7"/>
      <c r="GTP159" s="51"/>
      <c r="GTQ159" s="52"/>
      <c r="GTR159" s="53"/>
      <c r="GTS159" s="54"/>
      <c r="GTT159" s="52"/>
      <c r="GTU159" s="53"/>
      <c r="GTV159" s="54"/>
      <c r="GTW159" s="52"/>
      <c r="GTX159" s="53"/>
      <c r="GTY159" s="8"/>
      <c r="GTZ159" s="45"/>
      <c r="GUA159" s="45"/>
      <c r="GUB159" s="46"/>
      <c r="GUC159" s="44"/>
      <c r="GUD159" s="7"/>
      <c r="GUE159" s="51"/>
      <c r="GUF159" s="52"/>
      <c r="GUG159" s="53"/>
      <c r="GUH159" s="54"/>
      <c r="GUI159" s="52"/>
      <c r="GUJ159" s="53"/>
      <c r="GUK159" s="54"/>
      <c r="GUL159" s="52"/>
      <c r="GUM159" s="53"/>
      <c r="GUN159" s="8"/>
      <c r="GUO159" s="45"/>
      <c r="GUP159" s="45"/>
      <c r="GUQ159" s="46"/>
      <c r="GUR159" s="44"/>
      <c r="GUS159" s="7"/>
      <c r="GUT159" s="51"/>
      <c r="GUU159" s="52"/>
      <c r="GUV159" s="53"/>
      <c r="GUW159" s="54"/>
      <c r="GUX159" s="52"/>
      <c r="GUY159" s="53"/>
      <c r="GUZ159" s="54"/>
      <c r="GVA159" s="52"/>
      <c r="GVB159" s="53"/>
      <c r="GVC159" s="8"/>
      <c r="GVD159" s="45"/>
      <c r="GVE159" s="45"/>
      <c r="GVF159" s="46"/>
      <c r="GVG159" s="44"/>
      <c r="GVH159" s="7"/>
      <c r="GVI159" s="51"/>
      <c r="GVJ159" s="52"/>
      <c r="GVK159" s="53"/>
      <c r="GVL159" s="54"/>
      <c r="GVM159" s="52"/>
      <c r="GVN159" s="53"/>
      <c r="GVO159" s="54"/>
      <c r="GVP159" s="52"/>
      <c r="GVQ159" s="53"/>
      <c r="GVR159" s="8"/>
      <c r="GVS159" s="45"/>
      <c r="GVT159" s="45"/>
      <c r="GVU159" s="46"/>
      <c r="GVV159" s="44"/>
      <c r="GVW159" s="7"/>
      <c r="GVX159" s="51"/>
      <c r="GVY159" s="52"/>
      <c r="GVZ159" s="53"/>
      <c r="GWA159" s="54"/>
      <c r="GWB159" s="52"/>
      <c r="GWC159" s="53"/>
      <c r="GWD159" s="54"/>
      <c r="GWE159" s="52"/>
      <c r="GWF159" s="53"/>
      <c r="GWG159" s="8"/>
      <c r="GWH159" s="45"/>
      <c r="GWI159" s="45"/>
      <c r="GWJ159" s="46"/>
      <c r="GWK159" s="44"/>
      <c r="GWL159" s="7"/>
      <c r="GWM159" s="51"/>
      <c r="GWN159" s="52"/>
      <c r="GWO159" s="53"/>
      <c r="GWP159" s="54"/>
      <c r="GWQ159" s="52"/>
      <c r="GWR159" s="53"/>
      <c r="GWS159" s="54"/>
      <c r="GWT159" s="52"/>
      <c r="GWU159" s="53"/>
      <c r="GWV159" s="8"/>
      <c r="GWW159" s="45"/>
      <c r="GWX159" s="45"/>
      <c r="GWY159" s="46"/>
      <c r="GWZ159" s="44"/>
      <c r="GXA159" s="7"/>
      <c r="GXB159" s="51"/>
      <c r="GXC159" s="52"/>
      <c r="GXD159" s="53"/>
      <c r="GXE159" s="54"/>
      <c r="GXF159" s="52"/>
      <c r="GXG159" s="53"/>
      <c r="GXH159" s="54"/>
      <c r="GXI159" s="52"/>
      <c r="GXJ159" s="53"/>
      <c r="GXK159" s="8"/>
      <c r="GXL159" s="45"/>
      <c r="GXM159" s="45"/>
      <c r="GXN159" s="46"/>
      <c r="GXO159" s="44"/>
      <c r="GXP159" s="7"/>
      <c r="GXQ159" s="51"/>
      <c r="GXR159" s="52"/>
      <c r="GXS159" s="53"/>
      <c r="GXT159" s="54"/>
      <c r="GXU159" s="52"/>
      <c r="GXV159" s="53"/>
      <c r="GXW159" s="54"/>
      <c r="GXX159" s="52"/>
      <c r="GXY159" s="53"/>
      <c r="GXZ159" s="8"/>
      <c r="GYA159" s="45"/>
      <c r="GYB159" s="45"/>
      <c r="GYC159" s="46"/>
      <c r="GYD159" s="44"/>
      <c r="GYE159" s="7"/>
      <c r="GYF159" s="51"/>
      <c r="GYG159" s="52"/>
      <c r="GYH159" s="53"/>
      <c r="GYI159" s="54"/>
      <c r="GYJ159" s="52"/>
      <c r="GYK159" s="53"/>
      <c r="GYL159" s="54"/>
      <c r="GYM159" s="52"/>
      <c r="GYN159" s="53"/>
      <c r="GYO159" s="8"/>
      <c r="GYP159" s="45"/>
      <c r="GYQ159" s="45"/>
      <c r="GYR159" s="46"/>
      <c r="GYS159" s="44"/>
      <c r="GYT159" s="7"/>
      <c r="GYU159" s="51"/>
      <c r="GYV159" s="52"/>
      <c r="GYW159" s="53"/>
      <c r="GYX159" s="54"/>
      <c r="GYY159" s="52"/>
      <c r="GYZ159" s="53"/>
      <c r="GZA159" s="54"/>
      <c r="GZB159" s="52"/>
      <c r="GZC159" s="53"/>
      <c r="GZD159" s="8"/>
      <c r="GZE159" s="45"/>
      <c r="GZF159" s="45"/>
      <c r="GZG159" s="46"/>
      <c r="GZH159" s="44"/>
      <c r="GZI159" s="7"/>
      <c r="GZJ159" s="51"/>
      <c r="GZK159" s="52"/>
      <c r="GZL159" s="53"/>
      <c r="GZM159" s="54"/>
      <c r="GZN159" s="52"/>
      <c r="GZO159" s="53"/>
      <c r="GZP159" s="54"/>
      <c r="GZQ159" s="52"/>
      <c r="GZR159" s="53"/>
      <c r="GZS159" s="8"/>
      <c r="GZT159" s="45"/>
      <c r="GZU159" s="45"/>
      <c r="GZV159" s="46"/>
      <c r="GZW159" s="44"/>
      <c r="GZX159" s="7"/>
      <c r="GZY159" s="51"/>
      <c r="GZZ159" s="52"/>
      <c r="HAA159" s="53"/>
      <c r="HAB159" s="54"/>
      <c r="HAC159" s="52"/>
      <c r="HAD159" s="53"/>
      <c r="HAE159" s="54"/>
      <c r="HAF159" s="52"/>
      <c r="HAG159" s="53"/>
      <c r="HAH159" s="8"/>
      <c r="HAI159" s="45"/>
      <c r="HAJ159" s="45"/>
      <c r="HAK159" s="46"/>
      <c r="HAL159" s="44"/>
      <c r="HAM159" s="7"/>
      <c r="HAN159" s="51"/>
      <c r="HAO159" s="52"/>
      <c r="HAP159" s="53"/>
      <c r="HAQ159" s="54"/>
      <c r="HAR159" s="52"/>
      <c r="HAS159" s="53"/>
      <c r="HAT159" s="54"/>
      <c r="HAU159" s="52"/>
      <c r="HAV159" s="53"/>
      <c r="HAW159" s="8"/>
      <c r="HAX159" s="45"/>
      <c r="HAY159" s="45"/>
      <c r="HAZ159" s="46"/>
      <c r="HBA159" s="44"/>
      <c r="HBB159" s="7"/>
      <c r="HBC159" s="51"/>
      <c r="HBD159" s="52"/>
      <c r="HBE159" s="53"/>
      <c r="HBF159" s="54"/>
      <c r="HBG159" s="52"/>
      <c r="HBH159" s="53"/>
      <c r="HBI159" s="54"/>
      <c r="HBJ159" s="52"/>
      <c r="HBK159" s="53"/>
      <c r="HBL159" s="8"/>
      <c r="HBM159" s="45"/>
      <c r="HBN159" s="45"/>
      <c r="HBO159" s="46"/>
      <c r="HBP159" s="44"/>
      <c r="HBQ159" s="7"/>
      <c r="HBR159" s="51"/>
      <c r="HBS159" s="52"/>
      <c r="HBT159" s="53"/>
      <c r="HBU159" s="54"/>
      <c r="HBV159" s="52"/>
      <c r="HBW159" s="53"/>
      <c r="HBX159" s="54"/>
      <c r="HBY159" s="52"/>
      <c r="HBZ159" s="53"/>
      <c r="HCA159" s="8"/>
      <c r="HCB159" s="45"/>
      <c r="HCC159" s="45"/>
      <c r="HCD159" s="46"/>
      <c r="HCE159" s="44"/>
      <c r="HCF159" s="7"/>
      <c r="HCG159" s="51"/>
      <c r="HCH159" s="52"/>
      <c r="HCI159" s="53"/>
      <c r="HCJ159" s="54"/>
      <c r="HCK159" s="52"/>
      <c r="HCL159" s="53"/>
      <c r="HCM159" s="54"/>
      <c r="HCN159" s="52"/>
      <c r="HCO159" s="53"/>
      <c r="HCP159" s="8"/>
      <c r="HCQ159" s="45"/>
      <c r="HCR159" s="45"/>
      <c r="HCS159" s="46"/>
      <c r="HCT159" s="44"/>
      <c r="HCU159" s="7"/>
      <c r="HCV159" s="51"/>
      <c r="HCW159" s="52"/>
      <c r="HCX159" s="53"/>
      <c r="HCY159" s="54"/>
      <c r="HCZ159" s="52"/>
      <c r="HDA159" s="53"/>
      <c r="HDB159" s="54"/>
      <c r="HDC159" s="52"/>
      <c r="HDD159" s="53"/>
      <c r="HDE159" s="8"/>
      <c r="HDF159" s="45"/>
      <c r="HDG159" s="45"/>
      <c r="HDH159" s="46"/>
      <c r="HDI159" s="44"/>
      <c r="HDJ159" s="7"/>
      <c r="HDK159" s="51"/>
      <c r="HDL159" s="52"/>
      <c r="HDM159" s="53"/>
      <c r="HDN159" s="54"/>
      <c r="HDO159" s="52"/>
      <c r="HDP159" s="53"/>
      <c r="HDQ159" s="54"/>
      <c r="HDR159" s="52"/>
      <c r="HDS159" s="53"/>
      <c r="HDT159" s="8"/>
      <c r="HDU159" s="45"/>
      <c r="HDV159" s="45"/>
      <c r="HDW159" s="46"/>
      <c r="HDX159" s="44"/>
      <c r="HDY159" s="7"/>
      <c r="HDZ159" s="51"/>
      <c r="HEA159" s="52"/>
      <c r="HEB159" s="53"/>
      <c r="HEC159" s="54"/>
      <c r="HED159" s="52"/>
      <c r="HEE159" s="53"/>
      <c r="HEF159" s="54"/>
      <c r="HEG159" s="52"/>
      <c r="HEH159" s="53"/>
      <c r="HEI159" s="8"/>
      <c r="HEJ159" s="45"/>
      <c r="HEK159" s="45"/>
      <c r="HEL159" s="46"/>
      <c r="HEM159" s="44"/>
      <c r="HEN159" s="7"/>
      <c r="HEO159" s="51"/>
      <c r="HEP159" s="52"/>
      <c r="HEQ159" s="53"/>
      <c r="HER159" s="54"/>
      <c r="HES159" s="52"/>
      <c r="HET159" s="53"/>
      <c r="HEU159" s="54"/>
      <c r="HEV159" s="52"/>
      <c r="HEW159" s="53"/>
      <c r="HEX159" s="8"/>
      <c r="HEY159" s="45"/>
      <c r="HEZ159" s="45"/>
      <c r="HFA159" s="46"/>
      <c r="HFB159" s="44"/>
      <c r="HFC159" s="7"/>
      <c r="HFD159" s="51"/>
      <c r="HFE159" s="52"/>
      <c r="HFF159" s="53"/>
      <c r="HFG159" s="54"/>
      <c r="HFH159" s="52"/>
      <c r="HFI159" s="53"/>
      <c r="HFJ159" s="54"/>
      <c r="HFK159" s="52"/>
      <c r="HFL159" s="53"/>
      <c r="HFM159" s="8"/>
      <c r="HFN159" s="45"/>
      <c r="HFO159" s="45"/>
      <c r="HFP159" s="46"/>
      <c r="HFQ159" s="44"/>
      <c r="HFR159" s="7"/>
      <c r="HFS159" s="51"/>
      <c r="HFT159" s="52"/>
      <c r="HFU159" s="53"/>
      <c r="HFV159" s="54"/>
      <c r="HFW159" s="52"/>
      <c r="HFX159" s="53"/>
      <c r="HFY159" s="54"/>
      <c r="HFZ159" s="52"/>
      <c r="HGA159" s="53"/>
      <c r="HGB159" s="8"/>
      <c r="HGC159" s="45"/>
      <c r="HGD159" s="45"/>
      <c r="HGE159" s="46"/>
      <c r="HGF159" s="44"/>
      <c r="HGG159" s="7"/>
      <c r="HGH159" s="51"/>
      <c r="HGI159" s="52"/>
      <c r="HGJ159" s="53"/>
      <c r="HGK159" s="54"/>
      <c r="HGL159" s="52"/>
      <c r="HGM159" s="53"/>
      <c r="HGN159" s="54"/>
      <c r="HGO159" s="52"/>
      <c r="HGP159" s="53"/>
      <c r="HGQ159" s="8"/>
      <c r="HGR159" s="45"/>
      <c r="HGS159" s="45"/>
      <c r="HGT159" s="46"/>
      <c r="HGU159" s="44"/>
      <c r="HGV159" s="7"/>
      <c r="HGW159" s="51"/>
      <c r="HGX159" s="52"/>
      <c r="HGY159" s="53"/>
      <c r="HGZ159" s="54"/>
      <c r="HHA159" s="52"/>
      <c r="HHB159" s="53"/>
      <c r="HHC159" s="54"/>
      <c r="HHD159" s="52"/>
      <c r="HHE159" s="53"/>
      <c r="HHF159" s="8"/>
      <c r="HHG159" s="45"/>
      <c r="HHH159" s="45"/>
      <c r="HHI159" s="46"/>
      <c r="HHJ159" s="44"/>
      <c r="HHK159" s="7"/>
      <c r="HHL159" s="51"/>
      <c r="HHM159" s="52"/>
      <c r="HHN159" s="53"/>
      <c r="HHO159" s="54"/>
      <c r="HHP159" s="52"/>
      <c r="HHQ159" s="53"/>
      <c r="HHR159" s="54"/>
      <c r="HHS159" s="52"/>
      <c r="HHT159" s="53"/>
      <c r="HHU159" s="8"/>
      <c r="HHV159" s="45"/>
      <c r="HHW159" s="45"/>
      <c r="HHX159" s="46"/>
      <c r="HHY159" s="44"/>
      <c r="HHZ159" s="7"/>
      <c r="HIA159" s="51"/>
      <c r="HIB159" s="52"/>
      <c r="HIC159" s="53"/>
      <c r="HID159" s="54"/>
      <c r="HIE159" s="52"/>
      <c r="HIF159" s="53"/>
      <c r="HIG159" s="54"/>
      <c r="HIH159" s="52"/>
      <c r="HII159" s="53"/>
      <c r="HIJ159" s="8"/>
      <c r="HIK159" s="45"/>
      <c r="HIL159" s="45"/>
      <c r="HIM159" s="46"/>
      <c r="HIN159" s="44"/>
      <c r="HIO159" s="7"/>
      <c r="HIP159" s="51"/>
      <c r="HIQ159" s="52"/>
      <c r="HIR159" s="53"/>
      <c r="HIS159" s="54"/>
      <c r="HIT159" s="52"/>
      <c r="HIU159" s="53"/>
      <c r="HIV159" s="54"/>
      <c r="HIW159" s="52"/>
      <c r="HIX159" s="53"/>
      <c r="HIY159" s="8"/>
      <c r="HIZ159" s="45"/>
      <c r="HJA159" s="45"/>
      <c r="HJB159" s="46"/>
      <c r="HJC159" s="44"/>
      <c r="HJD159" s="7"/>
      <c r="HJE159" s="51"/>
      <c r="HJF159" s="52"/>
      <c r="HJG159" s="53"/>
      <c r="HJH159" s="54"/>
      <c r="HJI159" s="52"/>
      <c r="HJJ159" s="53"/>
      <c r="HJK159" s="54"/>
      <c r="HJL159" s="52"/>
      <c r="HJM159" s="53"/>
      <c r="HJN159" s="8"/>
      <c r="HJO159" s="45"/>
      <c r="HJP159" s="45"/>
      <c r="HJQ159" s="46"/>
      <c r="HJR159" s="44"/>
      <c r="HJS159" s="7"/>
      <c r="HJT159" s="51"/>
      <c r="HJU159" s="52"/>
      <c r="HJV159" s="53"/>
      <c r="HJW159" s="54"/>
      <c r="HJX159" s="52"/>
      <c r="HJY159" s="53"/>
      <c r="HJZ159" s="54"/>
      <c r="HKA159" s="52"/>
      <c r="HKB159" s="53"/>
      <c r="HKC159" s="8"/>
      <c r="HKD159" s="45"/>
      <c r="HKE159" s="45"/>
      <c r="HKF159" s="46"/>
      <c r="HKG159" s="44"/>
      <c r="HKH159" s="7"/>
      <c r="HKI159" s="51"/>
      <c r="HKJ159" s="52"/>
      <c r="HKK159" s="53"/>
      <c r="HKL159" s="54"/>
      <c r="HKM159" s="52"/>
      <c r="HKN159" s="53"/>
      <c r="HKO159" s="54"/>
      <c r="HKP159" s="52"/>
      <c r="HKQ159" s="53"/>
      <c r="HKR159" s="8"/>
      <c r="HKS159" s="45"/>
      <c r="HKT159" s="45"/>
      <c r="HKU159" s="46"/>
      <c r="HKV159" s="44"/>
      <c r="HKW159" s="7"/>
      <c r="HKX159" s="51"/>
      <c r="HKY159" s="52"/>
      <c r="HKZ159" s="53"/>
      <c r="HLA159" s="54"/>
      <c r="HLB159" s="52"/>
      <c r="HLC159" s="53"/>
      <c r="HLD159" s="54"/>
      <c r="HLE159" s="52"/>
      <c r="HLF159" s="53"/>
      <c r="HLG159" s="8"/>
      <c r="HLH159" s="45"/>
      <c r="HLI159" s="45"/>
      <c r="HLJ159" s="46"/>
      <c r="HLK159" s="44"/>
      <c r="HLL159" s="7"/>
      <c r="HLM159" s="51"/>
      <c r="HLN159" s="52"/>
      <c r="HLO159" s="53"/>
      <c r="HLP159" s="54"/>
      <c r="HLQ159" s="52"/>
      <c r="HLR159" s="53"/>
      <c r="HLS159" s="54"/>
      <c r="HLT159" s="52"/>
      <c r="HLU159" s="53"/>
      <c r="HLV159" s="8"/>
      <c r="HLW159" s="45"/>
      <c r="HLX159" s="45"/>
      <c r="HLY159" s="46"/>
      <c r="HLZ159" s="44"/>
      <c r="HMA159" s="7"/>
      <c r="HMB159" s="51"/>
      <c r="HMC159" s="52"/>
      <c r="HMD159" s="53"/>
      <c r="HME159" s="54"/>
      <c r="HMF159" s="52"/>
      <c r="HMG159" s="53"/>
      <c r="HMH159" s="54"/>
      <c r="HMI159" s="52"/>
      <c r="HMJ159" s="53"/>
      <c r="HMK159" s="8"/>
      <c r="HML159" s="45"/>
      <c r="HMM159" s="45"/>
      <c r="HMN159" s="46"/>
      <c r="HMO159" s="44"/>
      <c r="HMP159" s="7"/>
      <c r="HMQ159" s="51"/>
      <c r="HMR159" s="52"/>
      <c r="HMS159" s="53"/>
      <c r="HMT159" s="54"/>
      <c r="HMU159" s="52"/>
      <c r="HMV159" s="53"/>
      <c r="HMW159" s="54"/>
      <c r="HMX159" s="52"/>
      <c r="HMY159" s="53"/>
      <c r="HMZ159" s="8"/>
      <c r="HNA159" s="45"/>
      <c r="HNB159" s="45"/>
      <c r="HNC159" s="46"/>
      <c r="HND159" s="44"/>
      <c r="HNE159" s="7"/>
      <c r="HNF159" s="51"/>
      <c r="HNG159" s="52"/>
      <c r="HNH159" s="53"/>
      <c r="HNI159" s="54"/>
      <c r="HNJ159" s="52"/>
      <c r="HNK159" s="53"/>
      <c r="HNL159" s="54"/>
      <c r="HNM159" s="52"/>
      <c r="HNN159" s="53"/>
      <c r="HNO159" s="8"/>
      <c r="HNP159" s="45"/>
      <c r="HNQ159" s="45"/>
      <c r="HNR159" s="46"/>
      <c r="HNS159" s="44"/>
      <c r="HNT159" s="7"/>
      <c r="HNU159" s="51"/>
      <c r="HNV159" s="52"/>
      <c r="HNW159" s="53"/>
      <c r="HNX159" s="54"/>
      <c r="HNY159" s="52"/>
      <c r="HNZ159" s="53"/>
      <c r="HOA159" s="54"/>
      <c r="HOB159" s="52"/>
      <c r="HOC159" s="53"/>
      <c r="HOD159" s="8"/>
      <c r="HOE159" s="45"/>
      <c r="HOF159" s="45"/>
      <c r="HOG159" s="46"/>
      <c r="HOH159" s="44"/>
      <c r="HOI159" s="7"/>
      <c r="HOJ159" s="51"/>
      <c r="HOK159" s="52"/>
      <c r="HOL159" s="53"/>
      <c r="HOM159" s="54"/>
      <c r="HON159" s="52"/>
      <c r="HOO159" s="53"/>
      <c r="HOP159" s="54"/>
      <c r="HOQ159" s="52"/>
      <c r="HOR159" s="53"/>
      <c r="HOS159" s="8"/>
      <c r="HOT159" s="45"/>
      <c r="HOU159" s="45"/>
      <c r="HOV159" s="46"/>
      <c r="HOW159" s="44"/>
      <c r="HOX159" s="7"/>
      <c r="HOY159" s="51"/>
      <c r="HOZ159" s="52"/>
      <c r="HPA159" s="53"/>
      <c r="HPB159" s="54"/>
      <c r="HPC159" s="52"/>
      <c r="HPD159" s="53"/>
      <c r="HPE159" s="54"/>
      <c r="HPF159" s="52"/>
      <c r="HPG159" s="53"/>
      <c r="HPH159" s="8"/>
      <c r="HPI159" s="45"/>
      <c r="HPJ159" s="45"/>
      <c r="HPK159" s="46"/>
      <c r="HPL159" s="44"/>
      <c r="HPM159" s="7"/>
      <c r="HPN159" s="51"/>
      <c r="HPO159" s="52"/>
      <c r="HPP159" s="53"/>
      <c r="HPQ159" s="54"/>
      <c r="HPR159" s="52"/>
      <c r="HPS159" s="53"/>
      <c r="HPT159" s="54"/>
      <c r="HPU159" s="52"/>
      <c r="HPV159" s="53"/>
      <c r="HPW159" s="8"/>
      <c r="HPX159" s="45"/>
      <c r="HPY159" s="45"/>
      <c r="HPZ159" s="46"/>
      <c r="HQA159" s="44"/>
      <c r="HQB159" s="7"/>
      <c r="HQC159" s="51"/>
      <c r="HQD159" s="52"/>
      <c r="HQE159" s="53"/>
      <c r="HQF159" s="54"/>
      <c r="HQG159" s="52"/>
      <c r="HQH159" s="53"/>
      <c r="HQI159" s="54"/>
      <c r="HQJ159" s="52"/>
      <c r="HQK159" s="53"/>
      <c r="HQL159" s="8"/>
      <c r="HQM159" s="45"/>
      <c r="HQN159" s="45"/>
      <c r="HQO159" s="46"/>
      <c r="HQP159" s="44"/>
      <c r="HQQ159" s="7"/>
      <c r="HQR159" s="51"/>
      <c r="HQS159" s="52"/>
      <c r="HQT159" s="53"/>
      <c r="HQU159" s="54"/>
      <c r="HQV159" s="52"/>
      <c r="HQW159" s="53"/>
      <c r="HQX159" s="54"/>
      <c r="HQY159" s="52"/>
      <c r="HQZ159" s="53"/>
      <c r="HRA159" s="8"/>
      <c r="HRB159" s="45"/>
      <c r="HRC159" s="45"/>
      <c r="HRD159" s="46"/>
      <c r="HRE159" s="44"/>
      <c r="HRF159" s="7"/>
      <c r="HRG159" s="51"/>
      <c r="HRH159" s="52"/>
      <c r="HRI159" s="53"/>
      <c r="HRJ159" s="54"/>
      <c r="HRK159" s="52"/>
      <c r="HRL159" s="53"/>
      <c r="HRM159" s="54"/>
      <c r="HRN159" s="52"/>
      <c r="HRO159" s="53"/>
      <c r="HRP159" s="8"/>
      <c r="HRQ159" s="45"/>
      <c r="HRR159" s="45"/>
      <c r="HRS159" s="46"/>
      <c r="HRT159" s="44"/>
      <c r="HRU159" s="7"/>
      <c r="HRV159" s="51"/>
      <c r="HRW159" s="52"/>
      <c r="HRX159" s="53"/>
      <c r="HRY159" s="54"/>
      <c r="HRZ159" s="52"/>
      <c r="HSA159" s="53"/>
      <c r="HSB159" s="54"/>
      <c r="HSC159" s="52"/>
      <c r="HSD159" s="53"/>
      <c r="HSE159" s="8"/>
      <c r="HSF159" s="45"/>
      <c r="HSG159" s="45"/>
      <c r="HSH159" s="46"/>
      <c r="HSI159" s="44"/>
      <c r="HSJ159" s="7"/>
      <c r="HSK159" s="51"/>
      <c r="HSL159" s="52"/>
      <c r="HSM159" s="53"/>
      <c r="HSN159" s="54"/>
      <c r="HSO159" s="52"/>
      <c r="HSP159" s="53"/>
      <c r="HSQ159" s="54"/>
      <c r="HSR159" s="52"/>
      <c r="HSS159" s="53"/>
      <c r="HST159" s="8"/>
      <c r="HSU159" s="45"/>
      <c r="HSV159" s="45"/>
      <c r="HSW159" s="46"/>
      <c r="HSX159" s="44"/>
      <c r="HSY159" s="7"/>
      <c r="HSZ159" s="51"/>
      <c r="HTA159" s="52"/>
      <c r="HTB159" s="53"/>
      <c r="HTC159" s="54"/>
      <c r="HTD159" s="52"/>
      <c r="HTE159" s="53"/>
      <c r="HTF159" s="54"/>
      <c r="HTG159" s="52"/>
      <c r="HTH159" s="53"/>
      <c r="HTI159" s="8"/>
      <c r="HTJ159" s="45"/>
      <c r="HTK159" s="45"/>
      <c r="HTL159" s="46"/>
      <c r="HTM159" s="44"/>
      <c r="HTN159" s="7"/>
      <c r="HTO159" s="51"/>
      <c r="HTP159" s="52"/>
      <c r="HTQ159" s="53"/>
      <c r="HTR159" s="54"/>
      <c r="HTS159" s="52"/>
      <c r="HTT159" s="53"/>
      <c r="HTU159" s="54"/>
      <c r="HTV159" s="52"/>
      <c r="HTW159" s="53"/>
      <c r="HTX159" s="8"/>
      <c r="HTY159" s="45"/>
      <c r="HTZ159" s="45"/>
      <c r="HUA159" s="46"/>
      <c r="HUB159" s="44"/>
      <c r="HUC159" s="7"/>
      <c r="HUD159" s="51"/>
      <c r="HUE159" s="52"/>
      <c r="HUF159" s="53"/>
      <c r="HUG159" s="54"/>
      <c r="HUH159" s="52"/>
      <c r="HUI159" s="53"/>
      <c r="HUJ159" s="54"/>
      <c r="HUK159" s="52"/>
      <c r="HUL159" s="53"/>
      <c r="HUM159" s="8"/>
      <c r="HUN159" s="45"/>
      <c r="HUO159" s="45"/>
      <c r="HUP159" s="46"/>
      <c r="HUQ159" s="44"/>
      <c r="HUR159" s="7"/>
      <c r="HUS159" s="51"/>
      <c r="HUT159" s="52"/>
      <c r="HUU159" s="53"/>
      <c r="HUV159" s="54"/>
      <c r="HUW159" s="52"/>
      <c r="HUX159" s="53"/>
      <c r="HUY159" s="54"/>
      <c r="HUZ159" s="52"/>
      <c r="HVA159" s="53"/>
      <c r="HVB159" s="8"/>
      <c r="HVC159" s="45"/>
      <c r="HVD159" s="45"/>
      <c r="HVE159" s="46"/>
      <c r="HVF159" s="44"/>
      <c r="HVG159" s="7"/>
      <c r="HVH159" s="51"/>
      <c r="HVI159" s="52"/>
      <c r="HVJ159" s="53"/>
      <c r="HVK159" s="54"/>
      <c r="HVL159" s="52"/>
      <c r="HVM159" s="53"/>
      <c r="HVN159" s="54"/>
      <c r="HVO159" s="52"/>
      <c r="HVP159" s="53"/>
      <c r="HVQ159" s="8"/>
      <c r="HVR159" s="45"/>
      <c r="HVS159" s="45"/>
      <c r="HVT159" s="46"/>
      <c r="HVU159" s="44"/>
      <c r="HVV159" s="7"/>
      <c r="HVW159" s="51"/>
      <c r="HVX159" s="52"/>
      <c r="HVY159" s="53"/>
      <c r="HVZ159" s="54"/>
      <c r="HWA159" s="52"/>
      <c r="HWB159" s="53"/>
      <c r="HWC159" s="54"/>
      <c r="HWD159" s="52"/>
      <c r="HWE159" s="53"/>
      <c r="HWF159" s="8"/>
      <c r="HWG159" s="45"/>
      <c r="HWH159" s="45"/>
      <c r="HWI159" s="46"/>
      <c r="HWJ159" s="44"/>
      <c r="HWK159" s="7"/>
      <c r="HWL159" s="51"/>
      <c r="HWM159" s="52"/>
      <c r="HWN159" s="53"/>
      <c r="HWO159" s="54"/>
      <c r="HWP159" s="52"/>
      <c r="HWQ159" s="53"/>
      <c r="HWR159" s="54"/>
      <c r="HWS159" s="52"/>
      <c r="HWT159" s="53"/>
      <c r="HWU159" s="8"/>
      <c r="HWV159" s="45"/>
      <c r="HWW159" s="45"/>
      <c r="HWX159" s="46"/>
      <c r="HWY159" s="44"/>
      <c r="HWZ159" s="7"/>
      <c r="HXA159" s="51"/>
      <c r="HXB159" s="52"/>
      <c r="HXC159" s="53"/>
      <c r="HXD159" s="54"/>
      <c r="HXE159" s="52"/>
      <c r="HXF159" s="53"/>
      <c r="HXG159" s="54"/>
      <c r="HXH159" s="52"/>
      <c r="HXI159" s="53"/>
      <c r="HXJ159" s="8"/>
      <c r="HXK159" s="45"/>
      <c r="HXL159" s="45"/>
      <c r="HXM159" s="46"/>
      <c r="HXN159" s="44"/>
      <c r="HXO159" s="7"/>
      <c r="HXP159" s="51"/>
      <c r="HXQ159" s="52"/>
      <c r="HXR159" s="53"/>
      <c r="HXS159" s="54"/>
      <c r="HXT159" s="52"/>
      <c r="HXU159" s="53"/>
      <c r="HXV159" s="54"/>
      <c r="HXW159" s="52"/>
      <c r="HXX159" s="53"/>
      <c r="HXY159" s="8"/>
      <c r="HXZ159" s="45"/>
      <c r="HYA159" s="45"/>
      <c r="HYB159" s="46"/>
      <c r="HYC159" s="44"/>
      <c r="HYD159" s="7"/>
      <c r="HYE159" s="51"/>
      <c r="HYF159" s="52"/>
      <c r="HYG159" s="53"/>
      <c r="HYH159" s="54"/>
      <c r="HYI159" s="52"/>
      <c r="HYJ159" s="53"/>
      <c r="HYK159" s="54"/>
      <c r="HYL159" s="52"/>
      <c r="HYM159" s="53"/>
      <c r="HYN159" s="8"/>
      <c r="HYO159" s="45"/>
      <c r="HYP159" s="45"/>
      <c r="HYQ159" s="46"/>
      <c r="HYR159" s="44"/>
      <c r="HYS159" s="7"/>
      <c r="HYT159" s="51"/>
      <c r="HYU159" s="52"/>
      <c r="HYV159" s="53"/>
      <c r="HYW159" s="54"/>
      <c r="HYX159" s="52"/>
      <c r="HYY159" s="53"/>
      <c r="HYZ159" s="54"/>
      <c r="HZA159" s="52"/>
      <c r="HZB159" s="53"/>
      <c r="HZC159" s="8"/>
      <c r="HZD159" s="45"/>
      <c r="HZE159" s="45"/>
      <c r="HZF159" s="46"/>
      <c r="HZG159" s="44"/>
      <c r="HZH159" s="7"/>
      <c r="HZI159" s="51"/>
      <c r="HZJ159" s="52"/>
      <c r="HZK159" s="53"/>
      <c r="HZL159" s="54"/>
      <c r="HZM159" s="52"/>
      <c r="HZN159" s="53"/>
      <c r="HZO159" s="54"/>
      <c r="HZP159" s="52"/>
      <c r="HZQ159" s="53"/>
      <c r="HZR159" s="8"/>
      <c r="HZS159" s="45"/>
      <c r="HZT159" s="45"/>
      <c r="HZU159" s="46"/>
      <c r="HZV159" s="44"/>
      <c r="HZW159" s="7"/>
      <c r="HZX159" s="51"/>
      <c r="HZY159" s="52"/>
      <c r="HZZ159" s="53"/>
      <c r="IAA159" s="54"/>
      <c r="IAB159" s="52"/>
      <c r="IAC159" s="53"/>
      <c r="IAD159" s="54"/>
      <c r="IAE159" s="52"/>
      <c r="IAF159" s="53"/>
      <c r="IAG159" s="8"/>
      <c r="IAH159" s="45"/>
      <c r="IAI159" s="45"/>
      <c r="IAJ159" s="46"/>
      <c r="IAK159" s="44"/>
      <c r="IAL159" s="7"/>
      <c r="IAM159" s="51"/>
      <c r="IAN159" s="52"/>
      <c r="IAO159" s="53"/>
      <c r="IAP159" s="54"/>
      <c r="IAQ159" s="52"/>
      <c r="IAR159" s="53"/>
      <c r="IAS159" s="54"/>
      <c r="IAT159" s="52"/>
      <c r="IAU159" s="53"/>
      <c r="IAV159" s="8"/>
      <c r="IAW159" s="45"/>
      <c r="IAX159" s="45"/>
      <c r="IAY159" s="46"/>
      <c r="IAZ159" s="44"/>
      <c r="IBA159" s="7"/>
      <c r="IBB159" s="51"/>
      <c r="IBC159" s="52"/>
      <c r="IBD159" s="53"/>
      <c r="IBE159" s="54"/>
      <c r="IBF159" s="52"/>
      <c r="IBG159" s="53"/>
      <c r="IBH159" s="54"/>
      <c r="IBI159" s="52"/>
      <c r="IBJ159" s="53"/>
      <c r="IBK159" s="8"/>
      <c r="IBL159" s="45"/>
      <c r="IBM159" s="45"/>
      <c r="IBN159" s="46"/>
      <c r="IBO159" s="44"/>
      <c r="IBP159" s="7"/>
      <c r="IBQ159" s="51"/>
      <c r="IBR159" s="52"/>
      <c r="IBS159" s="53"/>
      <c r="IBT159" s="54"/>
      <c r="IBU159" s="52"/>
      <c r="IBV159" s="53"/>
      <c r="IBW159" s="54"/>
      <c r="IBX159" s="52"/>
      <c r="IBY159" s="53"/>
      <c r="IBZ159" s="8"/>
      <c r="ICA159" s="45"/>
      <c r="ICB159" s="45"/>
      <c r="ICC159" s="46"/>
      <c r="ICD159" s="44"/>
      <c r="ICE159" s="7"/>
      <c r="ICF159" s="51"/>
      <c r="ICG159" s="52"/>
      <c r="ICH159" s="53"/>
      <c r="ICI159" s="54"/>
      <c r="ICJ159" s="52"/>
      <c r="ICK159" s="53"/>
      <c r="ICL159" s="54"/>
      <c r="ICM159" s="52"/>
      <c r="ICN159" s="53"/>
      <c r="ICO159" s="8"/>
      <c r="ICP159" s="45"/>
      <c r="ICQ159" s="45"/>
      <c r="ICR159" s="46"/>
      <c r="ICS159" s="44"/>
      <c r="ICT159" s="7"/>
      <c r="ICU159" s="51"/>
      <c r="ICV159" s="52"/>
      <c r="ICW159" s="53"/>
      <c r="ICX159" s="54"/>
      <c r="ICY159" s="52"/>
      <c r="ICZ159" s="53"/>
      <c r="IDA159" s="54"/>
      <c r="IDB159" s="52"/>
      <c r="IDC159" s="53"/>
      <c r="IDD159" s="8"/>
      <c r="IDE159" s="45"/>
      <c r="IDF159" s="45"/>
      <c r="IDG159" s="46"/>
      <c r="IDH159" s="44"/>
      <c r="IDI159" s="7"/>
      <c r="IDJ159" s="51"/>
      <c r="IDK159" s="52"/>
      <c r="IDL159" s="53"/>
      <c r="IDM159" s="54"/>
      <c r="IDN159" s="52"/>
      <c r="IDO159" s="53"/>
      <c r="IDP159" s="54"/>
      <c r="IDQ159" s="52"/>
      <c r="IDR159" s="53"/>
      <c r="IDS159" s="8"/>
      <c r="IDT159" s="45"/>
      <c r="IDU159" s="45"/>
      <c r="IDV159" s="46"/>
      <c r="IDW159" s="44"/>
      <c r="IDX159" s="7"/>
      <c r="IDY159" s="51"/>
      <c r="IDZ159" s="52"/>
      <c r="IEA159" s="53"/>
      <c r="IEB159" s="54"/>
      <c r="IEC159" s="52"/>
      <c r="IED159" s="53"/>
      <c r="IEE159" s="54"/>
      <c r="IEF159" s="52"/>
      <c r="IEG159" s="53"/>
      <c r="IEH159" s="8"/>
      <c r="IEI159" s="45"/>
      <c r="IEJ159" s="45"/>
      <c r="IEK159" s="46"/>
      <c r="IEL159" s="44"/>
      <c r="IEM159" s="7"/>
      <c r="IEN159" s="51"/>
      <c r="IEO159" s="52"/>
      <c r="IEP159" s="53"/>
      <c r="IEQ159" s="54"/>
      <c r="IER159" s="52"/>
      <c r="IES159" s="53"/>
      <c r="IET159" s="54"/>
      <c r="IEU159" s="52"/>
      <c r="IEV159" s="53"/>
      <c r="IEW159" s="8"/>
      <c r="IEX159" s="45"/>
      <c r="IEY159" s="45"/>
      <c r="IEZ159" s="46"/>
      <c r="IFA159" s="44"/>
      <c r="IFB159" s="7"/>
      <c r="IFC159" s="51"/>
      <c r="IFD159" s="52"/>
      <c r="IFE159" s="53"/>
      <c r="IFF159" s="54"/>
      <c r="IFG159" s="52"/>
      <c r="IFH159" s="53"/>
      <c r="IFI159" s="54"/>
      <c r="IFJ159" s="52"/>
      <c r="IFK159" s="53"/>
      <c r="IFL159" s="8"/>
      <c r="IFM159" s="45"/>
      <c r="IFN159" s="45"/>
      <c r="IFO159" s="46"/>
      <c r="IFP159" s="44"/>
      <c r="IFQ159" s="7"/>
      <c r="IFR159" s="51"/>
      <c r="IFS159" s="52"/>
      <c r="IFT159" s="53"/>
      <c r="IFU159" s="54"/>
      <c r="IFV159" s="52"/>
      <c r="IFW159" s="53"/>
      <c r="IFX159" s="54"/>
      <c r="IFY159" s="52"/>
      <c r="IFZ159" s="53"/>
      <c r="IGA159" s="8"/>
      <c r="IGB159" s="45"/>
      <c r="IGC159" s="45"/>
      <c r="IGD159" s="46"/>
      <c r="IGE159" s="44"/>
      <c r="IGF159" s="7"/>
      <c r="IGG159" s="51"/>
      <c r="IGH159" s="52"/>
      <c r="IGI159" s="53"/>
      <c r="IGJ159" s="54"/>
      <c r="IGK159" s="52"/>
      <c r="IGL159" s="53"/>
      <c r="IGM159" s="54"/>
      <c r="IGN159" s="52"/>
      <c r="IGO159" s="53"/>
      <c r="IGP159" s="8"/>
      <c r="IGQ159" s="45"/>
      <c r="IGR159" s="45"/>
      <c r="IGS159" s="46"/>
      <c r="IGT159" s="44"/>
      <c r="IGU159" s="7"/>
      <c r="IGV159" s="51"/>
      <c r="IGW159" s="52"/>
      <c r="IGX159" s="53"/>
      <c r="IGY159" s="54"/>
      <c r="IGZ159" s="52"/>
      <c r="IHA159" s="53"/>
      <c r="IHB159" s="54"/>
      <c r="IHC159" s="52"/>
      <c r="IHD159" s="53"/>
      <c r="IHE159" s="8"/>
      <c r="IHF159" s="45"/>
      <c r="IHG159" s="45"/>
      <c r="IHH159" s="46"/>
      <c r="IHI159" s="44"/>
      <c r="IHJ159" s="7"/>
      <c r="IHK159" s="51"/>
      <c r="IHL159" s="52"/>
      <c r="IHM159" s="53"/>
      <c r="IHN159" s="54"/>
      <c r="IHO159" s="52"/>
      <c r="IHP159" s="53"/>
      <c r="IHQ159" s="54"/>
      <c r="IHR159" s="52"/>
      <c r="IHS159" s="53"/>
      <c r="IHT159" s="8"/>
      <c r="IHU159" s="45"/>
      <c r="IHV159" s="45"/>
      <c r="IHW159" s="46"/>
      <c r="IHX159" s="44"/>
      <c r="IHY159" s="7"/>
      <c r="IHZ159" s="51"/>
      <c r="IIA159" s="52"/>
      <c r="IIB159" s="53"/>
      <c r="IIC159" s="54"/>
      <c r="IID159" s="52"/>
      <c r="IIE159" s="53"/>
      <c r="IIF159" s="54"/>
      <c r="IIG159" s="52"/>
      <c r="IIH159" s="53"/>
      <c r="III159" s="8"/>
      <c r="IIJ159" s="45"/>
      <c r="IIK159" s="45"/>
      <c r="IIL159" s="46"/>
      <c r="IIM159" s="44"/>
      <c r="IIN159" s="7"/>
      <c r="IIO159" s="51"/>
      <c r="IIP159" s="52"/>
      <c r="IIQ159" s="53"/>
      <c r="IIR159" s="54"/>
      <c r="IIS159" s="52"/>
      <c r="IIT159" s="53"/>
      <c r="IIU159" s="54"/>
      <c r="IIV159" s="52"/>
      <c r="IIW159" s="53"/>
      <c r="IIX159" s="8"/>
      <c r="IIY159" s="45"/>
      <c r="IIZ159" s="45"/>
      <c r="IJA159" s="46"/>
      <c r="IJB159" s="44"/>
      <c r="IJC159" s="7"/>
      <c r="IJD159" s="51"/>
      <c r="IJE159" s="52"/>
      <c r="IJF159" s="53"/>
      <c r="IJG159" s="54"/>
      <c r="IJH159" s="52"/>
      <c r="IJI159" s="53"/>
      <c r="IJJ159" s="54"/>
      <c r="IJK159" s="52"/>
      <c r="IJL159" s="53"/>
      <c r="IJM159" s="8"/>
      <c r="IJN159" s="45"/>
      <c r="IJO159" s="45"/>
      <c r="IJP159" s="46"/>
      <c r="IJQ159" s="44"/>
      <c r="IJR159" s="7"/>
      <c r="IJS159" s="51"/>
      <c r="IJT159" s="52"/>
      <c r="IJU159" s="53"/>
      <c r="IJV159" s="54"/>
      <c r="IJW159" s="52"/>
      <c r="IJX159" s="53"/>
      <c r="IJY159" s="54"/>
      <c r="IJZ159" s="52"/>
      <c r="IKA159" s="53"/>
      <c r="IKB159" s="8"/>
      <c r="IKC159" s="45"/>
      <c r="IKD159" s="45"/>
      <c r="IKE159" s="46"/>
      <c r="IKF159" s="44"/>
      <c r="IKG159" s="7"/>
      <c r="IKH159" s="51"/>
      <c r="IKI159" s="52"/>
      <c r="IKJ159" s="53"/>
      <c r="IKK159" s="54"/>
      <c r="IKL159" s="52"/>
      <c r="IKM159" s="53"/>
      <c r="IKN159" s="54"/>
      <c r="IKO159" s="52"/>
      <c r="IKP159" s="53"/>
      <c r="IKQ159" s="8"/>
      <c r="IKR159" s="45"/>
      <c r="IKS159" s="45"/>
      <c r="IKT159" s="46"/>
      <c r="IKU159" s="44"/>
      <c r="IKV159" s="7"/>
      <c r="IKW159" s="51"/>
      <c r="IKX159" s="52"/>
      <c r="IKY159" s="53"/>
      <c r="IKZ159" s="54"/>
      <c r="ILA159" s="52"/>
      <c r="ILB159" s="53"/>
      <c r="ILC159" s="54"/>
      <c r="ILD159" s="52"/>
      <c r="ILE159" s="53"/>
      <c r="ILF159" s="8"/>
      <c r="ILG159" s="45"/>
      <c r="ILH159" s="45"/>
      <c r="ILI159" s="46"/>
      <c r="ILJ159" s="44"/>
      <c r="ILK159" s="7"/>
      <c r="ILL159" s="51"/>
      <c r="ILM159" s="52"/>
      <c r="ILN159" s="53"/>
      <c r="ILO159" s="54"/>
      <c r="ILP159" s="52"/>
      <c r="ILQ159" s="53"/>
      <c r="ILR159" s="54"/>
      <c r="ILS159" s="52"/>
      <c r="ILT159" s="53"/>
      <c r="ILU159" s="8"/>
      <c r="ILV159" s="45"/>
      <c r="ILW159" s="45"/>
      <c r="ILX159" s="46"/>
      <c r="ILY159" s="44"/>
      <c r="ILZ159" s="7"/>
      <c r="IMA159" s="51"/>
      <c r="IMB159" s="52"/>
      <c r="IMC159" s="53"/>
      <c r="IMD159" s="54"/>
      <c r="IME159" s="52"/>
      <c r="IMF159" s="53"/>
      <c r="IMG159" s="54"/>
      <c r="IMH159" s="52"/>
      <c r="IMI159" s="53"/>
      <c r="IMJ159" s="8"/>
      <c r="IMK159" s="45"/>
      <c r="IML159" s="45"/>
      <c r="IMM159" s="46"/>
      <c r="IMN159" s="44"/>
      <c r="IMO159" s="7"/>
      <c r="IMP159" s="51"/>
      <c r="IMQ159" s="52"/>
      <c r="IMR159" s="53"/>
      <c r="IMS159" s="54"/>
      <c r="IMT159" s="52"/>
      <c r="IMU159" s="53"/>
      <c r="IMV159" s="54"/>
      <c r="IMW159" s="52"/>
      <c r="IMX159" s="53"/>
      <c r="IMY159" s="8"/>
      <c r="IMZ159" s="45"/>
      <c r="INA159" s="45"/>
      <c r="INB159" s="46"/>
      <c r="INC159" s="44"/>
      <c r="IND159" s="7"/>
      <c r="INE159" s="51"/>
      <c r="INF159" s="52"/>
      <c r="ING159" s="53"/>
      <c r="INH159" s="54"/>
      <c r="INI159" s="52"/>
      <c r="INJ159" s="53"/>
      <c r="INK159" s="54"/>
      <c r="INL159" s="52"/>
      <c r="INM159" s="53"/>
      <c r="INN159" s="8"/>
      <c r="INO159" s="45"/>
      <c r="INP159" s="45"/>
      <c r="INQ159" s="46"/>
      <c r="INR159" s="44"/>
      <c r="INS159" s="7"/>
      <c r="INT159" s="51"/>
      <c r="INU159" s="52"/>
      <c r="INV159" s="53"/>
      <c r="INW159" s="54"/>
      <c r="INX159" s="52"/>
      <c r="INY159" s="53"/>
      <c r="INZ159" s="54"/>
      <c r="IOA159" s="52"/>
      <c r="IOB159" s="53"/>
      <c r="IOC159" s="8"/>
      <c r="IOD159" s="45"/>
      <c r="IOE159" s="45"/>
      <c r="IOF159" s="46"/>
      <c r="IOG159" s="44"/>
      <c r="IOH159" s="7"/>
      <c r="IOI159" s="51"/>
      <c r="IOJ159" s="52"/>
      <c r="IOK159" s="53"/>
      <c r="IOL159" s="54"/>
      <c r="IOM159" s="52"/>
      <c r="ION159" s="53"/>
      <c r="IOO159" s="54"/>
      <c r="IOP159" s="52"/>
      <c r="IOQ159" s="53"/>
      <c r="IOR159" s="8"/>
      <c r="IOS159" s="45"/>
      <c r="IOT159" s="45"/>
      <c r="IOU159" s="46"/>
      <c r="IOV159" s="44"/>
      <c r="IOW159" s="7"/>
      <c r="IOX159" s="51"/>
      <c r="IOY159" s="52"/>
      <c r="IOZ159" s="53"/>
      <c r="IPA159" s="54"/>
      <c r="IPB159" s="52"/>
      <c r="IPC159" s="53"/>
      <c r="IPD159" s="54"/>
      <c r="IPE159" s="52"/>
      <c r="IPF159" s="53"/>
      <c r="IPG159" s="8"/>
      <c r="IPH159" s="45"/>
      <c r="IPI159" s="45"/>
      <c r="IPJ159" s="46"/>
      <c r="IPK159" s="44"/>
      <c r="IPL159" s="7"/>
      <c r="IPM159" s="51"/>
      <c r="IPN159" s="52"/>
      <c r="IPO159" s="53"/>
      <c r="IPP159" s="54"/>
      <c r="IPQ159" s="52"/>
      <c r="IPR159" s="53"/>
      <c r="IPS159" s="54"/>
      <c r="IPT159" s="52"/>
      <c r="IPU159" s="53"/>
      <c r="IPV159" s="8"/>
      <c r="IPW159" s="45"/>
      <c r="IPX159" s="45"/>
      <c r="IPY159" s="46"/>
      <c r="IPZ159" s="44"/>
      <c r="IQA159" s="7"/>
      <c r="IQB159" s="51"/>
      <c r="IQC159" s="52"/>
      <c r="IQD159" s="53"/>
      <c r="IQE159" s="54"/>
      <c r="IQF159" s="52"/>
      <c r="IQG159" s="53"/>
      <c r="IQH159" s="54"/>
      <c r="IQI159" s="52"/>
      <c r="IQJ159" s="53"/>
      <c r="IQK159" s="8"/>
      <c r="IQL159" s="45"/>
      <c r="IQM159" s="45"/>
      <c r="IQN159" s="46"/>
      <c r="IQO159" s="44"/>
      <c r="IQP159" s="7"/>
      <c r="IQQ159" s="51"/>
      <c r="IQR159" s="52"/>
      <c r="IQS159" s="53"/>
      <c r="IQT159" s="54"/>
      <c r="IQU159" s="52"/>
      <c r="IQV159" s="53"/>
      <c r="IQW159" s="54"/>
      <c r="IQX159" s="52"/>
      <c r="IQY159" s="53"/>
      <c r="IQZ159" s="8"/>
      <c r="IRA159" s="45"/>
      <c r="IRB159" s="45"/>
      <c r="IRC159" s="46"/>
      <c r="IRD159" s="44"/>
      <c r="IRE159" s="7"/>
      <c r="IRF159" s="51"/>
      <c r="IRG159" s="52"/>
      <c r="IRH159" s="53"/>
      <c r="IRI159" s="54"/>
      <c r="IRJ159" s="52"/>
      <c r="IRK159" s="53"/>
      <c r="IRL159" s="54"/>
      <c r="IRM159" s="52"/>
      <c r="IRN159" s="53"/>
      <c r="IRO159" s="8"/>
      <c r="IRP159" s="45"/>
      <c r="IRQ159" s="45"/>
      <c r="IRR159" s="46"/>
      <c r="IRS159" s="44"/>
      <c r="IRT159" s="7"/>
      <c r="IRU159" s="51"/>
      <c r="IRV159" s="52"/>
      <c r="IRW159" s="53"/>
      <c r="IRX159" s="54"/>
      <c r="IRY159" s="52"/>
      <c r="IRZ159" s="53"/>
      <c r="ISA159" s="54"/>
      <c r="ISB159" s="52"/>
      <c r="ISC159" s="53"/>
      <c r="ISD159" s="8"/>
      <c r="ISE159" s="45"/>
      <c r="ISF159" s="45"/>
      <c r="ISG159" s="46"/>
      <c r="ISH159" s="44"/>
      <c r="ISI159" s="7"/>
      <c r="ISJ159" s="51"/>
      <c r="ISK159" s="52"/>
      <c r="ISL159" s="53"/>
      <c r="ISM159" s="54"/>
      <c r="ISN159" s="52"/>
      <c r="ISO159" s="53"/>
      <c r="ISP159" s="54"/>
      <c r="ISQ159" s="52"/>
      <c r="ISR159" s="53"/>
      <c r="ISS159" s="8"/>
      <c r="IST159" s="45"/>
      <c r="ISU159" s="45"/>
      <c r="ISV159" s="46"/>
      <c r="ISW159" s="44"/>
      <c r="ISX159" s="7"/>
      <c r="ISY159" s="51"/>
      <c r="ISZ159" s="52"/>
      <c r="ITA159" s="53"/>
      <c r="ITB159" s="54"/>
      <c r="ITC159" s="52"/>
      <c r="ITD159" s="53"/>
      <c r="ITE159" s="54"/>
      <c r="ITF159" s="52"/>
      <c r="ITG159" s="53"/>
      <c r="ITH159" s="8"/>
      <c r="ITI159" s="45"/>
      <c r="ITJ159" s="45"/>
      <c r="ITK159" s="46"/>
      <c r="ITL159" s="44"/>
      <c r="ITM159" s="7"/>
      <c r="ITN159" s="51"/>
      <c r="ITO159" s="52"/>
      <c r="ITP159" s="53"/>
      <c r="ITQ159" s="54"/>
      <c r="ITR159" s="52"/>
      <c r="ITS159" s="53"/>
      <c r="ITT159" s="54"/>
      <c r="ITU159" s="52"/>
      <c r="ITV159" s="53"/>
      <c r="ITW159" s="8"/>
      <c r="ITX159" s="45"/>
      <c r="ITY159" s="45"/>
      <c r="ITZ159" s="46"/>
      <c r="IUA159" s="44"/>
      <c r="IUB159" s="7"/>
      <c r="IUC159" s="51"/>
      <c r="IUD159" s="52"/>
      <c r="IUE159" s="53"/>
      <c r="IUF159" s="54"/>
      <c r="IUG159" s="52"/>
      <c r="IUH159" s="53"/>
      <c r="IUI159" s="54"/>
      <c r="IUJ159" s="52"/>
      <c r="IUK159" s="53"/>
      <c r="IUL159" s="8"/>
      <c r="IUM159" s="45"/>
      <c r="IUN159" s="45"/>
      <c r="IUO159" s="46"/>
      <c r="IUP159" s="44"/>
      <c r="IUQ159" s="7"/>
      <c r="IUR159" s="51"/>
      <c r="IUS159" s="52"/>
      <c r="IUT159" s="53"/>
      <c r="IUU159" s="54"/>
      <c r="IUV159" s="52"/>
      <c r="IUW159" s="53"/>
      <c r="IUX159" s="54"/>
      <c r="IUY159" s="52"/>
      <c r="IUZ159" s="53"/>
      <c r="IVA159" s="8"/>
      <c r="IVB159" s="45"/>
      <c r="IVC159" s="45"/>
      <c r="IVD159" s="46"/>
      <c r="IVE159" s="44"/>
      <c r="IVF159" s="7"/>
      <c r="IVG159" s="51"/>
      <c r="IVH159" s="52"/>
      <c r="IVI159" s="53"/>
      <c r="IVJ159" s="54"/>
      <c r="IVK159" s="52"/>
      <c r="IVL159" s="53"/>
      <c r="IVM159" s="54"/>
      <c r="IVN159" s="52"/>
      <c r="IVO159" s="53"/>
      <c r="IVP159" s="8"/>
      <c r="IVQ159" s="45"/>
      <c r="IVR159" s="45"/>
      <c r="IVS159" s="46"/>
      <c r="IVT159" s="44"/>
      <c r="IVU159" s="7"/>
      <c r="IVV159" s="51"/>
      <c r="IVW159" s="52"/>
      <c r="IVX159" s="53"/>
      <c r="IVY159" s="54"/>
      <c r="IVZ159" s="52"/>
      <c r="IWA159" s="53"/>
      <c r="IWB159" s="54"/>
      <c r="IWC159" s="52"/>
      <c r="IWD159" s="53"/>
      <c r="IWE159" s="8"/>
      <c r="IWF159" s="45"/>
      <c r="IWG159" s="45"/>
      <c r="IWH159" s="46"/>
      <c r="IWI159" s="44"/>
      <c r="IWJ159" s="7"/>
      <c r="IWK159" s="51"/>
      <c r="IWL159" s="52"/>
      <c r="IWM159" s="53"/>
      <c r="IWN159" s="54"/>
      <c r="IWO159" s="52"/>
      <c r="IWP159" s="53"/>
      <c r="IWQ159" s="54"/>
      <c r="IWR159" s="52"/>
      <c r="IWS159" s="53"/>
      <c r="IWT159" s="8"/>
      <c r="IWU159" s="45"/>
      <c r="IWV159" s="45"/>
      <c r="IWW159" s="46"/>
      <c r="IWX159" s="44"/>
      <c r="IWY159" s="7"/>
      <c r="IWZ159" s="51"/>
      <c r="IXA159" s="52"/>
      <c r="IXB159" s="53"/>
      <c r="IXC159" s="54"/>
      <c r="IXD159" s="52"/>
      <c r="IXE159" s="53"/>
      <c r="IXF159" s="54"/>
      <c r="IXG159" s="52"/>
      <c r="IXH159" s="53"/>
      <c r="IXI159" s="8"/>
      <c r="IXJ159" s="45"/>
      <c r="IXK159" s="45"/>
      <c r="IXL159" s="46"/>
      <c r="IXM159" s="44"/>
      <c r="IXN159" s="7"/>
      <c r="IXO159" s="51"/>
      <c r="IXP159" s="52"/>
      <c r="IXQ159" s="53"/>
      <c r="IXR159" s="54"/>
      <c r="IXS159" s="52"/>
      <c r="IXT159" s="53"/>
      <c r="IXU159" s="54"/>
      <c r="IXV159" s="52"/>
      <c r="IXW159" s="53"/>
      <c r="IXX159" s="8"/>
      <c r="IXY159" s="45"/>
      <c r="IXZ159" s="45"/>
      <c r="IYA159" s="46"/>
      <c r="IYB159" s="44"/>
      <c r="IYC159" s="7"/>
      <c r="IYD159" s="51"/>
      <c r="IYE159" s="52"/>
      <c r="IYF159" s="53"/>
      <c r="IYG159" s="54"/>
      <c r="IYH159" s="52"/>
      <c r="IYI159" s="53"/>
      <c r="IYJ159" s="54"/>
      <c r="IYK159" s="52"/>
      <c r="IYL159" s="53"/>
      <c r="IYM159" s="8"/>
      <c r="IYN159" s="45"/>
      <c r="IYO159" s="45"/>
      <c r="IYP159" s="46"/>
      <c r="IYQ159" s="44"/>
      <c r="IYR159" s="7"/>
      <c r="IYS159" s="51"/>
      <c r="IYT159" s="52"/>
      <c r="IYU159" s="53"/>
      <c r="IYV159" s="54"/>
      <c r="IYW159" s="52"/>
      <c r="IYX159" s="53"/>
      <c r="IYY159" s="54"/>
      <c r="IYZ159" s="52"/>
      <c r="IZA159" s="53"/>
      <c r="IZB159" s="8"/>
      <c r="IZC159" s="45"/>
      <c r="IZD159" s="45"/>
      <c r="IZE159" s="46"/>
      <c r="IZF159" s="44"/>
      <c r="IZG159" s="7"/>
      <c r="IZH159" s="51"/>
      <c r="IZI159" s="52"/>
      <c r="IZJ159" s="53"/>
      <c r="IZK159" s="54"/>
      <c r="IZL159" s="52"/>
      <c r="IZM159" s="53"/>
      <c r="IZN159" s="54"/>
      <c r="IZO159" s="52"/>
      <c r="IZP159" s="53"/>
      <c r="IZQ159" s="8"/>
      <c r="IZR159" s="45"/>
      <c r="IZS159" s="45"/>
      <c r="IZT159" s="46"/>
      <c r="IZU159" s="44"/>
      <c r="IZV159" s="7"/>
      <c r="IZW159" s="51"/>
      <c r="IZX159" s="52"/>
      <c r="IZY159" s="53"/>
      <c r="IZZ159" s="54"/>
      <c r="JAA159" s="52"/>
      <c r="JAB159" s="53"/>
      <c r="JAC159" s="54"/>
      <c r="JAD159" s="52"/>
      <c r="JAE159" s="53"/>
      <c r="JAF159" s="8"/>
      <c r="JAG159" s="45"/>
      <c r="JAH159" s="45"/>
      <c r="JAI159" s="46"/>
      <c r="JAJ159" s="44"/>
      <c r="JAK159" s="7"/>
      <c r="JAL159" s="51"/>
      <c r="JAM159" s="52"/>
      <c r="JAN159" s="53"/>
      <c r="JAO159" s="54"/>
      <c r="JAP159" s="52"/>
      <c r="JAQ159" s="53"/>
      <c r="JAR159" s="54"/>
      <c r="JAS159" s="52"/>
      <c r="JAT159" s="53"/>
      <c r="JAU159" s="8"/>
      <c r="JAV159" s="45"/>
      <c r="JAW159" s="45"/>
      <c r="JAX159" s="46"/>
      <c r="JAY159" s="44"/>
      <c r="JAZ159" s="7"/>
      <c r="JBA159" s="51"/>
      <c r="JBB159" s="52"/>
      <c r="JBC159" s="53"/>
      <c r="JBD159" s="54"/>
      <c r="JBE159" s="52"/>
      <c r="JBF159" s="53"/>
      <c r="JBG159" s="54"/>
      <c r="JBH159" s="52"/>
      <c r="JBI159" s="53"/>
      <c r="JBJ159" s="8"/>
      <c r="JBK159" s="45"/>
      <c r="JBL159" s="45"/>
      <c r="JBM159" s="46"/>
      <c r="JBN159" s="44"/>
      <c r="JBO159" s="7"/>
      <c r="JBP159" s="51"/>
      <c r="JBQ159" s="52"/>
      <c r="JBR159" s="53"/>
      <c r="JBS159" s="54"/>
      <c r="JBT159" s="52"/>
      <c r="JBU159" s="53"/>
      <c r="JBV159" s="54"/>
      <c r="JBW159" s="52"/>
      <c r="JBX159" s="53"/>
      <c r="JBY159" s="8"/>
      <c r="JBZ159" s="45"/>
      <c r="JCA159" s="45"/>
      <c r="JCB159" s="46"/>
      <c r="JCC159" s="44"/>
      <c r="JCD159" s="7"/>
      <c r="JCE159" s="51"/>
      <c r="JCF159" s="52"/>
      <c r="JCG159" s="53"/>
      <c r="JCH159" s="54"/>
      <c r="JCI159" s="52"/>
      <c r="JCJ159" s="53"/>
      <c r="JCK159" s="54"/>
      <c r="JCL159" s="52"/>
      <c r="JCM159" s="53"/>
      <c r="JCN159" s="8"/>
      <c r="JCO159" s="45"/>
      <c r="JCP159" s="45"/>
      <c r="JCQ159" s="46"/>
      <c r="JCR159" s="44"/>
      <c r="JCS159" s="7"/>
      <c r="JCT159" s="51"/>
      <c r="JCU159" s="52"/>
      <c r="JCV159" s="53"/>
      <c r="JCW159" s="54"/>
      <c r="JCX159" s="52"/>
      <c r="JCY159" s="53"/>
      <c r="JCZ159" s="54"/>
      <c r="JDA159" s="52"/>
      <c r="JDB159" s="53"/>
      <c r="JDC159" s="8"/>
      <c r="JDD159" s="45"/>
      <c r="JDE159" s="45"/>
      <c r="JDF159" s="46"/>
      <c r="JDG159" s="44"/>
      <c r="JDH159" s="7"/>
      <c r="JDI159" s="51"/>
      <c r="JDJ159" s="52"/>
      <c r="JDK159" s="53"/>
      <c r="JDL159" s="54"/>
      <c r="JDM159" s="52"/>
      <c r="JDN159" s="53"/>
      <c r="JDO159" s="54"/>
      <c r="JDP159" s="52"/>
      <c r="JDQ159" s="53"/>
      <c r="JDR159" s="8"/>
      <c r="JDS159" s="45"/>
      <c r="JDT159" s="45"/>
      <c r="JDU159" s="46"/>
      <c r="JDV159" s="44"/>
      <c r="JDW159" s="7"/>
      <c r="JDX159" s="51"/>
      <c r="JDY159" s="52"/>
      <c r="JDZ159" s="53"/>
      <c r="JEA159" s="54"/>
      <c r="JEB159" s="52"/>
      <c r="JEC159" s="53"/>
      <c r="JED159" s="54"/>
      <c r="JEE159" s="52"/>
      <c r="JEF159" s="53"/>
      <c r="JEG159" s="8"/>
      <c r="JEH159" s="45"/>
      <c r="JEI159" s="45"/>
      <c r="JEJ159" s="46"/>
      <c r="JEK159" s="44"/>
      <c r="JEL159" s="7"/>
      <c r="JEM159" s="51"/>
      <c r="JEN159" s="52"/>
      <c r="JEO159" s="53"/>
      <c r="JEP159" s="54"/>
      <c r="JEQ159" s="52"/>
      <c r="JER159" s="53"/>
      <c r="JES159" s="54"/>
      <c r="JET159" s="52"/>
      <c r="JEU159" s="53"/>
      <c r="JEV159" s="8"/>
      <c r="JEW159" s="45"/>
      <c r="JEX159" s="45"/>
      <c r="JEY159" s="46"/>
      <c r="JEZ159" s="44"/>
      <c r="JFA159" s="7"/>
      <c r="JFB159" s="51"/>
      <c r="JFC159" s="52"/>
      <c r="JFD159" s="53"/>
      <c r="JFE159" s="54"/>
      <c r="JFF159" s="52"/>
      <c r="JFG159" s="53"/>
      <c r="JFH159" s="54"/>
      <c r="JFI159" s="52"/>
      <c r="JFJ159" s="53"/>
      <c r="JFK159" s="8"/>
      <c r="JFL159" s="45"/>
      <c r="JFM159" s="45"/>
      <c r="JFN159" s="46"/>
      <c r="JFO159" s="44"/>
      <c r="JFP159" s="7"/>
      <c r="JFQ159" s="51"/>
      <c r="JFR159" s="52"/>
      <c r="JFS159" s="53"/>
      <c r="JFT159" s="54"/>
      <c r="JFU159" s="52"/>
      <c r="JFV159" s="53"/>
      <c r="JFW159" s="54"/>
      <c r="JFX159" s="52"/>
      <c r="JFY159" s="53"/>
      <c r="JFZ159" s="8"/>
      <c r="JGA159" s="45"/>
      <c r="JGB159" s="45"/>
      <c r="JGC159" s="46"/>
      <c r="JGD159" s="44"/>
      <c r="JGE159" s="7"/>
      <c r="JGF159" s="51"/>
      <c r="JGG159" s="52"/>
      <c r="JGH159" s="53"/>
      <c r="JGI159" s="54"/>
      <c r="JGJ159" s="52"/>
      <c r="JGK159" s="53"/>
      <c r="JGL159" s="54"/>
      <c r="JGM159" s="52"/>
      <c r="JGN159" s="53"/>
      <c r="JGO159" s="8"/>
      <c r="JGP159" s="45"/>
      <c r="JGQ159" s="45"/>
      <c r="JGR159" s="46"/>
      <c r="JGS159" s="44"/>
      <c r="JGT159" s="7"/>
      <c r="JGU159" s="51"/>
      <c r="JGV159" s="52"/>
      <c r="JGW159" s="53"/>
      <c r="JGX159" s="54"/>
      <c r="JGY159" s="52"/>
      <c r="JGZ159" s="53"/>
      <c r="JHA159" s="54"/>
      <c r="JHB159" s="52"/>
      <c r="JHC159" s="53"/>
      <c r="JHD159" s="8"/>
      <c r="JHE159" s="45"/>
      <c r="JHF159" s="45"/>
      <c r="JHG159" s="46"/>
      <c r="JHH159" s="44"/>
      <c r="JHI159" s="7"/>
      <c r="JHJ159" s="51"/>
      <c r="JHK159" s="52"/>
      <c r="JHL159" s="53"/>
      <c r="JHM159" s="54"/>
      <c r="JHN159" s="52"/>
      <c r="JHO159" s="53"/>
      <c r="JHP159" s="54"/>
      <c r="JHQ159" s="52"/>
      <c r="JHR159" s="53"/>
      <c r="JHS159" s="8"/>
      <c r="JHT159" s="45"/>
      <c r="JHU159" s="45"/>
      <c r="JHV159" s="46"/>
      <c r="JHW159" s="44"/>
      <c r="JHX159" s="7"/>
      <c r="JHY159" s="51"/>
      <c r="JHZ159" s="52"/>
      <c r="JIA159" s="53"/>
      <c r="JIB159" s="54"/>
      <c r="JIC159" s="52"/>
      <c r="JID159" s="53"/>
      <c r="JIE159" s="54"/>
      <c r="JIF159" s="52"/>
      <c r="JIG159" s="53"/>
      <c r="JIH159" s="8"/>
      <c r="JII159" s="45"/>
      <c r="JIJ159" s="45"/>
      <c r="JIK159" s="46"/>
      <c r="JIL159" s="44"/>
      <c r="JIM159" s="7"/>
      <c r="JIN159" s="51"/>
      <c r="JIO159" s="52"/>
      <c r="JIP159" s="53"/>
      <c r="JIQ159" s="54"/>
      <c r="JIR159" s="52"/>
      <c r="JIS159" s="53"/>
      <c r="JIT159" s="54"/>
      <c r="JIU159" s="52"/>
      <c r="JIV159" s="53"/>
      <c r="JIW159" s="8"/>
      <c r="JIX159" s="45"/>
      <c r="JIY159" s="45"/>
      <c r="JIZ159" s="46"/>
      <c r="JJA159" s="44"/>
      <c r="JJB159" s="7"/>
      <c r="JJC159" s="51"/>
      <c r="JJD159" s="52"/>
      <c r="JJE159" s="53"/>
      <c r="JJF159" s="54"/>
      <c r="JJG159" s="52"/>
      <c r="JJH159" s="53"/>
      <c r="JJI159" s="54"/>
      <c r="JJJ159" s="52"/>
      <c r="JJK159" s="53"/>
      <c r="JJL159" s="8"/>
      <c r="JJM159" s="45"/>
      <c r="JJN159" s="45"/>
      <c r="JJO159" s="46"/>
      <c r="JJP159" s="44"/>
      <c r="JJQ159" s="7"/>
      <c r="JJR159" s="51"/>
      <c r="JJS159" s="52"/>
      <c r="JJT159" s="53"/>
      <c r="JJU159" s="54"/>
      <c r="JJV159" s="52"/>
      <c r="JJW159" s="53"/>
      <c r="JJX159" s="54"/>
      <c r="JJY159" s="52"/>
      <c r="JJZ159" s="53"/>
      <c r="JKA159" s="8"/>
      <c r="JKB159" s="45"/>
      <c r="JKC159" s="45"/>
      <c r="JKD159" s="46"/>
      <c r="JKE159" s="44"/>
      <c r="JKF159" s="7"/>
      <c r="JKG159" s="51"/>
      <c r="JKH159" s="52"/>
      <c r="JKI159" s="53"/>
      <c r="JKJ159" s="54"/>
      <c r="JKK159" s="52"/>
      <c r="JKL159" s="53"/>
      <c r="JKM159" s="54"/>
      <c r="JKN159" s="52"/>
      <c r="JKO159" s="53"/>
      <c r="JKP159" s="8"/>
      <c r="JKQ159" s="45"/>
      <c r="JKR159" s="45"/>
      <c r="JKS159" s="46"/>
      <c r="JKT159" s="44"/>
      <c r="JKU159" s="7"/>
      <c r="JKV159" s="51"/>
      <c r="JKW159" s="52"/>
      <c r="JKX159" s="53"/>
      <c r="JKY159" s="54"/>
      <c r="JKZ159" s="52"/>
      <c r="JLA159" s="53"/>
      <c r="JLB159" s="54"/>
      <c r="JLC159" s="52"/>
      <c r="JLD159" s="53"/>
      <c r="JLE159" s="8"/>
      <c r="JLF159" s="45"/>
      <c r="JLG159" s="45"/>
      <c r="JLH159" s="46"/>
      <c r="JLI159" s="44"/>
      <c r="JLJ159" s="7"/>
      <c r="JLK159" s="51"/>
      <c r="JLL159" s="52"/>
      <c r="JLM159" s="53"/>
      <c r="JLN159" s="54"/>
      <c r="JLO159" s="52"/>
      <c r="JLP159" s="53"/>
      <c r="JLQ159" s="54"/>
      <c r="JLR159" s="52"/>
      <c r="JLS159" s="53"/>
      <c r="JLT159" s="8"/>
      <c r="JLU159" s="45"/>
      <c r="JLV159" s="45"/>
      <c r="JLW159" s="46"/>
      <c r="JLX159" s="44"/>
      <c r="JLY159" s="7"/>
      <c r="JLZ159" s="51"/>
      <c r="JMA159" s="52"/>
      <c r="JMB159" s="53"/>
      <c r="JMC159" s="54"/>
      <c r="JMD159" s="52"/>
      <c r="JME159" s="53"/>
      <c r="JMF159" s="54"/>
      <c r="JMG159" s="52"/>
      <c r="JMH159" s="53"/>
      <c r="JMI159" s="8"/>
      <c r="JMJ159" s="45"/>
      <c r="JMK159" s="45"/>
      <c r="JML159" s="46"/>
      <c r="JMM159" s="44"/>
      <c r="JMN159" s="7"/>
      <c r="JMO159" s="51"/>
      <c r="JMP159" s="52"/>
      <c r="JMQ159" s="53"/>
      <c r="JMR159" s="54"/>
      <c r="JMS159" s="52"/>
      <c r="JMT159" s="53"/>
      <c r="JMU159" s="54"/>
      <c r="JMV159" s="52"/>
      <c r="JMW159" s="53"/>
      <c r="JMX159" s="8"/>
      <c r="JMY159" s="45"/>
      <c r="JMZ159" s="45"/>
      <c r="JNA159" s="46"/>
      <c r="JNB159" s="44"/>
      <c r="JNC159" s="7"/>
      <c r="JND159" s="51"/>
      <c r="JNE159" s="52"/>
      <c r="JNF159" s="53"/>
      <c r="JNG159" s="54"/>
      <c r="JNH159" s="52"/>
      <c r="JNI159" s="53"/>
      <c r="JNJ159" s="54"/>
      <c r="JNK159" s="52"/>
      <c r="JNL159" s="53"/>
      <c r="JNM159" s="8"/>
      <c r="JNN159" s="45"/>
      <c r="JNO159" s="45"/>
      <c r="JNP159" s="46"/>
      <c r="JNQ159" s="44"/>
      <c r="JNR159" s="7"/>
      <c r="JNS159" s="51"/>
      <c r="JNT159" s="52"/>
      <c r="JNU159" s="53"/>
      <c r="JNV159" s="54"/>
      <c r="JNW159" s="52"/>
      <c r="JNX159" s="53"/>
      <c r="JNY159" s="54"/>
      <c r="JNZ159" s="52"/>
      <c r="JOA159" s="53"/>
      <c r="JOB159" s="8"/>
      <c r="JOC159" s="45"/>
      <c r="JOD159" s="45"/>
      <c r="JOE159" s="46"/>
      <c r="JOF159" s="44"/>
      <c r="JOG159" s="7"/>
      <c r="JOH159" s="51"/>
      <c r="JOI159" s="52"/>
      <c r="JOJ159" s="53"/>
      <c r="JOK159" s="54"/>
      <c r="JOL159" s="52"/>
      <c r="JOM159" s="53"/>
      <c r="JON159" s="54"/>
      <c r="JOO159" s="52"/>
      <c r="JOP159" s="53"/>
      <c r="JOQ159" s="8"/>
      <c r="JOR159" s="45"/>
      <c r="JOS159" s="45"/>
      <c r="JOT159" s="46"/>
      <c r="JOU159" s="44"/>
      <c r="JOV159" s="7"/>
      <c r="JOW159" s="51"/>
      <c r="JOX159" s="52"/>
      <c r="JOY159" s="53"/>
      <c r="JOZ159" s="54"/>
      <c r="JPA159" s="52"/>
      <c r="JPB159" s="53"/>
      <c r="JPC159" s="54"/>
      <c r="JPD159" s="52"/>
      <c r="JPE159" s="53"/>
      <c r="JPF159" s="8"/>
      <c r="JPG159" s="45"/>
      <c r="JPH159" s="45"/>
      <c r="JPI159" s="46"/>
      <c r="JPJ159" s="44"/>
      <c r="JPK159" s="7"/>
      <c r="JPL159" s="51"/>
      <c r="JPM159" s="52"/>
      <c r="JPN159" s="53"/>
      <c r="JPO159" s="54"/>
      <c r="JPP159" s="52"/>
      <c r="JPQ159" s="53"/>
      <c r="JPR159" s="54"/>
      <c r="JPS159" s="52"/>
      <c r="JPT159" s="53"/>
      <c r="JPU159" s="8"/>
      <c r="JPV159" s="45"/>
      <c r="JPW159" s="45"/>
      <c r="JPX159" s="46"/>
      <c r="JPY159" s="44"/>
      <c r="JPZ159" s="7"/>
      <c r="JQA159" s="51"/>
      <c r="JQB159" s="52"/>
      <c r="JQC159" s="53"/>
      <c r="JQD159" s="54"/>
      <c r="JQE159" s="52"/>
      <c r="JQF159" s="53"/>
      <c r="JQG159" s="54"/>
      <c r="JQH159" s="52"/>
      <c r="JQI159" s="53"/>
      <c r="JQJ159" s="8"/>
      <c r="JQK159" s="45"/>
      <c r="JQL159" s="45"/>
      <c r="JQM159" s="46"/>
      <c r="JQN159" s="44"/>
      <c r="JQO159" s="7"/>
      <c r="JQP159" s="51"/>
      <c r="JQQ159" s="52"/>
      <c r="JQR159" s="53"/>
      <c r="JQS159" s="54"/>
      <c r="JQT159" s="52"/>
      <c r="JQU159" s="53"/>
      <c r="JQV159" s="54"/>
      <c r="JQW159" s="52"/>
      <c r="JQX159" s="53"/>
      <c r="JQY159" s="8"/>
      <c r="JQZ159" s="45"/>
      <c r="JRA159" s="45"/>
      <c r="JRB159" s="46"/>
      <c r="JRC159" s="44"/>
      <c r="JRD159" s="7"/>
      <c r="JRE159" s="51"/>
      <c r="JRF159" s="52"/>
      <c r="JRG159" s="53"/>
      <c r="JRH159" s="54"/>
      <c r="JRI159" s="52"/>
      <c r="JRJ159" s="53"/>
      <c r="JRK159" s="54"/>
      <c r="JRL159" s="52"/>
      <c r="JRM159" s="53"/>
      <c r="JRN159" s="8"/>
      <c r="JRO159" s="45"/>
      <c r="JRP159" s="45"/>
      <c r="JRQ159" s="46"/>
      <c r="JRR159" s="44"/>
      <c r="JRS159" s="7"/>
      <c r="JRT159" s="51"/>
      <c r="JRU159" s="52"/>
      <c r="JRV159" s="53"/>
      <c r="JRW159" s="54"/>
      <c r="JRX159" s="52"/>
      <c r="JRY159" s="53"/>
      <c r="JRZ159" s="54"/>
      <c r="JSA159" s="52"/>
      <c r="JSB159" s="53"/>
      <c r="JSC159" s="8"/>
      <c r="JSD159" s="45"/>
      <c r="JSE159" s="45"/>
      <c r="JSF159" s="46"/>
      <c r="JSG159" s="44"/>
      <c r="JSH159" s="7"/>
      <c r="JSI159" s="51"/>
      <c r="JSJ159" s="52"/>
      <c r="JSK159" s="53"/>
      <c r="JSL159" s="54"/>
      <c r="JSM159" s="52"/>
      <c r="JSN159" s="53"/>
      <c r="JSO159" s="54"/>
      <c r="JSP159" s="52"/>
      <c r="JSQ159" s="53"/>
      <c r="JSR159" s="8"/>
      <c r="JSS159" s="45"/>
      <c r="JST159" s="45"/>
      <c r="JSU159" s="46"/>
      <c r="JSV159" s="44"/>
      <c r="JSW159" s="7"/>
      <c r="JSX159" s="51"/>
      <c r="JSY159" s="52"/>
      <c r="JSZ159" s="53"/>
      <c r="JTA159" s="54"/>
      <c r="JTB159" s="52"/>
      <c r="JTC159" s="53"/>
      <c r="JTD159" s="54"/>
      <c r="JTE159" s="52"/>
      <c r="JTF159" s="53"/>
      <c r="JTG159" s="8"/>
      <c r="JTH159" s="45"/>
      <c r="JTI159" s="45"/>
      <c r="JTJ159" s="46"/>
      <c r="JTK159" s="44"/>
      <c r="JTL159" s="7"/>
      <c r="JTM159" s="51"/>
      <c r="JTN159" s="52"/>
      <c r="JTO159" s="53"/>
      <c r="JTP159" s="54"/>
      <c r="JTQ159" s="52"/>
      <c r="JTR159" s="53"/>
      <c r="JTS159" s="54"/>
      <c r="JTT159" s="52"/>
      <c r="JTU159" s="53"/>
      <c r="JTV159" s="8"/>
      <c r="JTW159" s="45"/>
      <c r="JTX159" s="45"/>
      <c r="JTY159" s="46"/>
      <c r="JTZ159" s="44"/>
      <c r="JUA159" s="7"/>
      <c r="JUB159" s="51"/>
      <c r="JUC159" s="52"/>
      <c r="JUD159" s="53"/>
      <c r="JUE159" s="54"/>
      <c r="JUF159" s="52"/>
      <c r="JUG159" s="53"/>
      <c r="JUH159" s="54"/>
      <c r="JUI159" s="52"/>
      <c r="JUJ159" s="53"/>
      <c r="JUK159" s="8"/>
      <c r="JUL159" s="45"/>
      <c r="JUM159" s="45"/>
      <c r="JUN159" s="46"/>
      <c r="JUO159" s="44"/>
      <c r="JUP159" s="7"/>
      <c r="JUQ159" s="51"/>
      <c r="JUR159" s="52"/>
      <c r="JUS159" s="53"/>
      <c r="JUT159" s="54"/>
      <c r="JUU159" s="52"/>
      <c r="JUV159" s="53"/>
      <c r="JUW159" s="54"/>
      <c r="JUX159" s="52"/>
      <c r="JUY159" s="53"/>
      <c r="JUZ159" s="8"/>
      <c r="JVA159" s="45"/>
      <c r="JVB159" s="45"/>
      <c r="JVC159" s="46"/>
      <c r="JVD159" s="44"/>
      <c r="JVE159" s="7"/>
      <c r="JVF159" s="51"/>
      <c r="JVG159" s="52"/>
      <c r="JVH159" s="53"/>
      <c r="JVI159" s="54"/>
      <c r="JVJ159" s="52"/>
      <c r="JVK159" s="53"/>
      <c r="JVL159" s="54"/>
      <c r="JVM159" s="52"/>
      <c r="JVN159" s="53"/>
      <c r="JVO159" s="8"/>
      <c r="JVP159" s="45"/>
      <c r="JVQ159" s="45"/>
      <c r="JVR159" s="46"/>
      <c r="JVS159" s="44"/>
      <c r="JVT159" s="7"/>
      <c r="JVU159" s="51"/>
      <c r="JVV159" s="52"/>
      <c r="JVW159" s="53"/>
      <c r="JVX159" s="54"/>
      <c r="JVY159" s="52"/>
      <c r="JVZ159" s="53"/>
      <c r="JWA159" s="54"/>
      <c r="JWB159" s="52"/>
      <c r="JWC159" s="53"/>
      <c r="JWD159" s="8"/>
      <c r="JWE159" s="45"/>
      <c r="JWF159" s="45"/>
      <c r="JWG159" s="46"/>
      <c r="JWH159" s="44"/>
      <c r="JWI159" s="7"/>
      <c r="JWJ159" s="51"/>
      <c r="JWK159" s="52"/>
      <c r="JWL159" s="53"/>
      <c r="JWM159" s="54"/>
      <c r="JWN159" s="52"/>
      <c r="JWO159" s="53"/>
      <c r="JWP159" s="54"/>
      <c r="JWQ159" s="52"/>
      <c r="JWR159" s="53"/>
      <c r="JWS159" s="8"/>
      <c r="JWT159" s="45"/>
      <c r="JWU159" s="45"/>
      <c r="JWV159" s="46"/>
      <c r="JWW159" s="44"/>
      <c r="JWX159" s="7"/>
      <c r="JWY159" s="51"/>
      <c r="JWZ159" s="52"/>
      <c r="JXA159" s="53"/>
      <c r="JXB159" s="54"/>
      <c r="JXC159" s="52"/>
      <c r="JXD159" s="53"/>
      <c r="JXE159" s="54"/>
      <c r="JXF159" s="52"/>
      <c r="JXG159" s="53"/>
      <c r="JXH159" s="8"/>
      <c r="JXI159" s="45"/>
      <c r="JXJ159" s="45"/>
      <c r="JXK159" s="46"/>
      <c r="JXL159" s="44"/>
      <c r="JXM159" s="7"/>
      <c r="JXN159" s="51"/>
      <c r="JXO159" s="52"/>
      <c r="JXP159" s="53"/>
      <c r="JXQ159" s="54"/>
      <c r="JXR159" s="52"/>
      <c r="JXS159" s="53"/>
      <c r="JXT159" s="54"/>
      <c r="JXU159" s="52"/>
      <c r="JXV159" s="53"/>
      <c r="JXW159" s="8"/>
      <c r="JXX159" s="45"/>
      <c r="JXY159" s="45"/>
      <c r="JXZ159" s="46"/>
      <c r="JYA159" s="44"/>
      <c r="JYB159" s="7"/>
      <c r="JYC159" s="51"/>
      <c r="JYD159" s="52"/>
      <c r="JYE159" s="53"/>
      <c r="JYF159" s="54"/>
      <c r="JYG159" s="52"/>
      <c r="JYH159" s="53"/>
      <c r="JYI159" s="54"/>
      <c r="JYJ159" s="52"/>
      <c r="JYK159" s="53"/>
      <c r="JYL159" s="8"/>
      <c r="JYM159" s="45"/>
      <c r="JYN159" s="45"/>
      <c r="JYO159" s="46"/>
      <c r="JYP159" s="44"/>
      <c r="JYQ159" s="7"/>
      <c r="JYR159" s="51"/>
      <c r="JYS159" s="52"/>
      <c r="JYT159" s="53"/>
      <c r="JYU159" s="54"/>
      <c r="JYV159" s="52"/>
      <c r="JYW159" s="53"/>
      <c r="JYX159" s="54"/>
      <c r="JYY159" s="52"/>
      <c r="JYZ159" s="53"/>
      <c r="JZA159" s="8"/>
      <c r="JZB159" s="45"/>
      <c r="JZC159" s="45"/>
      <c r="JZD159" s="46"/>
      <c r="JZE159" s="44"/>
      <c r="JZF159" s="7"/>
      <c r="JZG159" s="51"/>
      <c r="JZH159" s="52"/>
      <c r="JZI159" s="53"/>
      <c r="JZJ159" s="54"/>
      <c r="JZK159" s="52"/>
      <c r="JZL159" s="53"/>
      <c r="JZM159" s="54"/>
      <c r="JZN159" s="52"/>
      <c r="JZO159" s="53"/>
      <c r="JZP159" s="8"/>
      <c r="JZQ159" s="45"/>
      <c r="JZR159" s="45"/>
      <c r="JZS159" s="46"/>
      <c r="JZT159" s="44"/>
      <c r="JZU159" s="7"/>
      <c r="JZV159" s="51"/>
      <c r="JZW159" s="52"/>
      <c r="JZX159" s="53"/>
      <c r="JZY159" s="54"/>
      <c r="JZZ159" s="52"/>
      <c r="KAA159" s="53"/>
      <c r="KAB159" s="54"/>
      <c r="KAC159" s="52"/>
      <c r="KAD159" s="53"/>
      <c r="KAE159" s="8"/>
      <c r="KAF159" s="45"/>
      <c r="KAG159" s="45"/>
      <c r="KAH159" s="46"/>
      <c r="KAI159" s="44"/>
      <c r="KAJ159" s="7"/>
      <c r="KAK159" s="51"/>
      <c r="KAL159" s="52"/>
      <c r="KAM159" s="53"/>
      <c r="KAN159" s="54"/>
      <c r="KAO159" s="52"/>
      <c r="KAP159" s="53"/>
      <c r="KAQ159" s="54"/>
      <c r="KAR159" s="52"/>
      <c r="KAS159" s="53"/>
      <c r="KAT159" s="8"/>
      <c r="KAU159" s="45"/>
      <c r="KAV159" s="45"/>
      <c r="KAW159" s="46"/>
      <c r="KAX159" s="44"/>
      <c r="KAY159" s="7"/>
      <c r="KAZ159" s="51"/>
      <c r="KBA159" s="52"/>
      <c r="KBB159" s="53"/>
      <c r="KBC159" s="54"/>
      <c r="KBD159" s="52"/>
      <c r="KBE159" s="53"/>
      <c r="KBF159" s="54"/>
      <c r="KBG159" s="52"/>
      <c r="KBH159" s="53"/>
      <c r="KBI159" s="8"/>
      <c r="KBJ159" s="45"/>
      <c r="KBK159" s="45"/>
      <c r="KBL159" s="46"/>
      <c r="KBM159" s="44"/>
      <c r="KBN159" s="7"/>
      <c r="KBO159" s="51"/>
      <c r="KBP159" s="52"/>
      <c r="KBQ159" s="53"/>
      <c r="KBR159" s="54"/>
      <c r="KBS159" s="52"/>
      <c r="KBT159" s="53"/>
      <c r="KBU159" s="54"/>
      <c r="KBV159" s="52"/>
      <c r="KBW159" s="53"/>
      <c r="KBX159" s="8"/>
      <c r="KBY159" s="45"/>
      <c r="KBZ159" s="45"/>
      <c r="KCA159" s="46"/>
      <c r="KCB159" s="44"/>
      <c r="KCC159" s="7"/>
      <c r="KCD159" s="51"/>
      <c r="KCE159" s="52"/>
      <c r="KCF159" s="53"/>
      <c r="KCG159" s="54"/>
      <c r="KCH159" s="52"/>
      <c r="KCI159" s="53"/>
      <c r="KCJ159" s="54"/>
      <c r="KCK159" s="52"/>
      <c r="KCL159" s="53"/>
      <c r="KCM159" s="8"/>
      <c r="KCN159" s="45"/>
      <c r="KCO159" s="45"/>
      <c r="KCP159" s="46"/>
      <c r="KCQ159" s="44"/>
      <c r="KCR159" s="7"/>
      <c r="KCS159" s="51"/>
      <c r="KCT159" s="52"/>
      <c r="KCU159" s="53"/>
      <c r="KCV159" s="54"/>
      <c r="KCW159" s="52"/>
      <c r="KCX159" s="53"/>
      <c r="KCY159" s="54"/>
      <c r="KCZ159" s="52"/>
      <c r="KDA159" s="53"/>
      <c r="KDB159" s="8"/>
      <c r="KDC159" s="45"/>
      <c r="KDD159" s="45"/>
      <c r="KDE159" s="46"/>
      <c r="KDF159" s="44"/>
      <c r="KDG159" s="7"/>
      <c r="KDH159" s="51"/>
      <c r="KDI159" s="52"/>
      <c r="KDJ159" s="53"/>
      <c r="KDK159" s="54"/>
      <c r="KDL159" s="52"/>
      <c r="KDM159" s="53"/>
      <c r="KDN159" s="54"/>
      <c r="KDO159" s="52"/>
      <c r="KDP159" s="53"/>
      <c r="KDQ159" s="8"/>
      <c r="KDR159" s="45"/>
      <c r="KDS159" s="45"/>
      <c r="KDT159" s="46"/>
      <c r="KDU159" s="44"/>
      <c r="KDV159" s="7"/>
      <c r="KDW159" s="51"/>
      <c r="KDX159" s="52"/>
      <c r="KDY159" s="53"/>
      <c r="KDZ159" s="54"/>
      <c r="KEA159" s="52"/>
      <c r="KEB159" s="53"/>
      <c r="KEC159" s="54"/>
      <c r="KED159" s="52"/>
      <c r="KEE159" s="53"/>
      <c r="KEF159" s="8"/>
      <c r="KEG159" s="45"/>
      <c r="KEH159" s="45"/>
      <c r="KEI159" s="46"/>
      <c r="KEJ159" s="44"/>
      <c r="KEK159" s="7"/>
      <c r="KEL159" s="51"/>
      <c r="KEM159" s="52"/>
      <c r="KEN159" s="53"/>
      <c r="KEO159" s="54"/>
      <c r="KEP159" s="52"/>
      <c r="KEQ159" s="53"/>
      <c r="KER159" s="54"/>
      <c r="KES159" s="52"/>
      <c r="KET159" s="53"/>
      <c r="KEU159" s="8"/>
      <c r="KEV159" s="45"/>
      <c r="KEW159" s="45"/>
      <c r="KEX159" s="46"/>
      <c r="KEY159" s="44"/>
      <c r="KEZ159" s="7"/>
      <c r="KFA159" s="51"/>
      <c r="KFB159" s="52"/>
      <c r="KFC159" s="53"/>
      <c r="KFD159" s="54"/>
      <c r="KFE159" s="52"/>
      <c r="KFF159" s="53"/>
      <c r="KFG159" s="54"/>
      <c r="KFH159" s="52"/>
      <c r="KFI159" s="53"/>
      <c r="KFJ159" s="8"/>
      <c r="KFK159" s="45"/>
      <c r="KFL159" s="45"/>
      <c r="KFM159" s="46"/>
      <c r="KFN159" s="44"/>
      <c r="KFO159" s="7"/>
      <c r="KFP159" s="51"/>
      <c r="KFQ159" s="52"/>
      <c r="KFR159" s="53"/>
      <c r="KFS159" s="54"/>
      <c r="KFT159" s="52"/>
      <c r="KFU159" s="53"/>
      <c r="KFV159" s="54"/>
      <c r="KFW159" s="52"/>
      <c r="KFX159" s="53"/>
      <c r="KFY159" s="8"/>
      <c r="KFZ159" s="45"/>
      <c r="KGA159" s="45"/>
      <c r="KGB159" s="46"/>
      <c r="KGC159" s="44"/>
      <c r="KGD159" s="7"/>
      <c r="KGE159" s="51"/>
      <c r="KGF159" s="52"/>
      <c r="KGG159" s="53"/>
      <c r="KGH159" s="54"/>
      <c r="KGI159" s="52"/>
      <c r="KGJ159" s="53"/>
      <c r="KGK159" s="54"/>
      <c r="KGL159" s="52"/>
      <c r="KGM159" s="53"/>
      <c r="KGN159" s="8"/>
      <c r="KGO159" s="45"/>
      <c r="KGP159" s="45"/>
      <c r="KGQ159" s="46"/>
      <c r="KGR159" s="44"/>
      <c r="KGS159" s="7"/>
      <c r="KGT159" s="51"/>
      <c r="KGU159" s="52"/>
      <c r="KGV159" s="53"/>
      <c r="KGW159" s="54"/>
      <c r="KGX159" s="52"/>
      <c r="KGY159" s="53"/>
      <c r="KGZ159" s="54"/>
      <c r="KHA159" s="52"/>
      <c r="KHB159" s="53"/>
      <c r="KHC159" s="8"/>
      <c r="KHD159" s="45"/>
      <c r="KHE159" s="45"/>
      <c r="KHF159" s="46"/>
      <c r="KHG159" s="44"/>
      <c r="KHH159" s="7"/>
      <c r="KHI159" s="51"/>
      <c r="KHJ159" s="52"/>
      <c r="KHK159" s="53"/>
      <c r="KHL159" s="54"/>
      <c r="KHM159" s="52"/>
      <c r="KHN159" s="53"/>
      <c r="KHO159" s="54"/>
      <c r="KHP159" s="52"/>
      <c r="KHQ159" s="53"/>
      <c r="KHR159" s="8"/>
      <c r="KHS159" s="45"/>
      <c r="KHT159" s="45"/>
      <c r="KHU159" s="46"/>
      <c r="KHV159" s="44"/>
      <c r="KHW159" s="7"/>
      <c r="KHX159" s="51"/>
      <c r="KHY159" s="52"/>
      <c r="KHZ159" s="53"/>
      <c r="KIA159" s="54"/>
      <c r="KIB159" s="52"/>
      <c r="KIC159" s="53"/>
      <c r="KID159" s="54"/>
      <c r="KIE159" s="52"/>
      <c r="KIF159" s="53"/>
      <c r="KIG159" s="8"/>
      <c r="KIH159" s="45"/>
      <c r="KII159" s="45"/>
      <c r="KIJ159" s="46"/>
      <c r="KIK159" s="44"/>
      <c r="KIL159" s="7"/>
      <c r="KIM159" s="51"/>
      <c r="KIN159" s="52"/>
      <c r="KIO159" s="53"/>
      <c r="KIP159" s="54"/>
      <c r="KIQ159" s="52"/>
      <c r="KIR159" s="53"/>
      <c r="KIS159" s="54"/>
      <c r="KIT159" s="52"/>
      <c r="KIU159" s="53"/>
      <c r="KIV159" s="8"/>
      <c r="KIW159" s="45"/>
      <c r="KIX159" s="45"/>
      <c r="KIY159" s="46"/>
      <c r="KIZ159" s="44"/>
      <c r="KJA159" s="7"/>
      <c r="KJB159" s="51"/>
      <c r="KJC159" s="52"/>
      <c r="KJD159" s="53"/>
      <c r="KJE159" s="54"/>
      <c r="KJF159" s="52"/>
      <c r="KJG159" s="53"/>
      <c r="KJH159" s="54"/>
      <c r="KJI159" s="52"/>
      <c r="KJJ159" s="53"/>
      <c r="KJK159" s="8"/>
      <c r="KJL159" s="45"/>
      <c r="KJM159" s="45"/>
      <c r="KJN159" s="46"/>
      <c r="KJO159" s="44"/>
      <c r="KJP159" s="7"/>
      <c r="KJQ159" s="51"/>
      <c r="KJR159" s="52"/>
      <c r="KJS159" s="53"/>
      <c r="KJT159" s="54"/>
      <c r="KJU159" s="52"/>
      <c r="KJV159" s="53"/>
      <c r="KJW159" s="54"/>
      <c r="KJX159" s="52"/>
      <c r="KJY159" s="53"/>
      <c r="KJZ159" s="8"/>
      <c r="KKA159" s="45"/>
      <c r="KKB159" s="45"/>
      <c r="KKC159" s="46"/>
      <c r="KKD159" s="44"/>
      <c r="KKE159" s="7"/>
      <c r="KKF159" s="51"/>
      <c r="KKG159" s="52"/>
      <c r="KKH159" s="53"/>
      <c r="KKI159" s="54"/>
      <c r="KKJ159" s="52"/>
      <c r="KKK159" s="53"/>
      <c r="KKL159" s="54"/>
      <c r="KKM159" s="52"/>
      <c r="KKN159" s="53"/>
      <c r="KKO159" s="8"/>
      <c r="KKP159" s="45"/>
      <c r="KKQ159" s="45"/>
      <c r="KKR159" s="46"/>
      <c r="KKS159" s="44"/>
      <c r="KKT159" s="7"/>
      <c r="KKU159" s="51"/>
      <c r="KKV159" s="52"/>
      <c r="KKW159" s="53"/>
      <c r="KKX159" s="54"/>
      <c r="KKY159" s="52"/>
      <c r="KKZ159" s="53"/>
      <c r="KLA159" s="54"/>
      <c r="KLB159" s="52"/>
      <c r="KLC159" s="53"/>
      <c r="KLD159" s="8"/>
      <c r="KLE159" s="45"/>
      <c r="KLF159" s="45"/>
      <c r="KLG159" s="46"/>
      <c r="KLH159" s="44"/>
      <c r="KLI159" s="7"/>
      <c r="KLJ159" s="51"/>
      <c r="KLK159" s="52"/>
      <c r="KLL159" s="53"/>
      <c r="KLM159" s="54"/>
      <c r="KLN159" s="52"/>
      <c r="KLO159" s="53"/>
      <c r="KLP159" s="54"/>
      <c r="KLQ159" s="52"/>
      <c r="KLR159" s="53"/>
      <c r="KLS159" s="8"/>
      <c r="KLT159" s="45"/>
      <c r="KLU159" s="45"/>
      <c r="KLV159" s="46"/>
      <c r="KLW159" s="44"/>
      <c r="KLX159" s="7"/>
      <c r="KLY159" s="51"/>
      <c r="KLZ159" s="52"/>
      <c r="KMA159" s="53"/>
      <c r="KMB159" s="54"/>
      <c r="KMC159" s="52"/>
      <c r="KMD159" s="53"/>
      <c r="KME159" s="54"/>
      <c r="KMF159" s="52"/>
      <c r="KMG159" s="53"/>
      <c r="KMH159" s="8"/>
      <c r="KMI159" s="45"/>
      <c r="KMJ159" s="45"/>
      <c r="KMK159" s="46"/>
      <c r="KML159" s="44"/>
      <c r="KMM159" s="7"/>
      <c r="KMN159" s="51"/>
      <c r="KMO159" s="52"/>
      <c r="KMP159" s="53"/>
      <c r="KMQ159" s="54"/>
      <c r="KMR159" s="52"/>
      <c r="KMS159" s="53"/>
      <c r="KMT159" s="54"/>
      <c r="KMU159" s="52"/>
      <c r="KMV159" s="53"/>
      <c r="KMW159" s="8"/>
      <c r="KMX159" s="45"/>
      <c r="KMY159" s="45"/>
      <c r="KMZ159" s="46"/>
      <c r="KNA159" s="44"/>
      <c r="KNB159" s="7"/>
      <c r="KNC159" s="51"/>
      <c r="KND159" s="52"/>
      <c r="KNE159" s="53"/>
      <c r="KNF159" s="54"/>
      <c r="KNG159" s="52"/>
      <c r="KNH159" s="53"/>
      <c r="KNI159" s="54"/>
      <c r="KNJ159" s="52"/>
      <c r="KNK159" s="53"/>
      <c r="KNL159" s="8"/>
      <c r="KNM159" s="45"/>
      <c r="KNN159" s="45"/>
      <c r="KNO159" s="46"/>
      <c r="KNP159" s="44"/>
      <c r="KNQ159" s="7"/>
      <c r="KNR159" s="51"/>
      <c r="KNS159" s="52"/>
      <c r="KNT159" s="53"/>
      <c r="KNU159" s="54"/>
      <c r="KNV159" s="52"/>
      <c r="KNW159" s="53"/>
      <c r="KNX159" s="54"/>
      <c r="KNY159" s="52"/>
      <c r="KNZ159" s="53"/>
      <c r="KOA159" s="8"/>
      <c r="KOB159" s="45"/>
      <c r="KOC159" s="45"/>
      <c r="KOD159" s="46"/>
      <c r="KOE159" s="44"/>
      <c r="KOF159" s="7"/>
      <c r="KOG159" s="51"/>
      <c r="KOH159" s="52"/>
      <c r="KOI159" s="53"/>
      <c r="KOJ159" s="54"/>
      <c r="KOK159" s="52"/>
      <c r="KOL159" s="53"/>
      <c r="KOM159" s="54"/>
      <c r="KON159" s="52"/>
      <c r="KOO159" s="53"/>
      <c r="KOP159" s="8"/>
      <c r="KOQ159" s="45"/>
      <c r="KOR159" s="45"/>
      <c r="KOS159" s="46"/>
      <c r="KOT159" s="44"/>
      <c r="KOU159" s="7"/>
      <c r="KOV159" s="51"/>
      <c r="KOW159" s="52"/>
      <c r="KOX159" s="53"/>
      <c r="KOY159" s="54"/>
      <c r="KOZ159" s="52"/>
      <c r="KPA159" s="53"/>
      <c r="KPB159" s="54"/>
      <c r="KPC159" s="52"/>
      <c r="KPD159" s="53"/>
      <c r="KPE159" s="8"/>
      <c r="KPF159" s="45"/>
      <c r="KPG159" s="45"/>
      <c r="KPH159" s="46"/>
      <c r="KPI159" s="44"/>
      <c r="KPJ159" s="7"/>
      <c r="KPK159" s="51"/>
      <c r="KPL159" s="52"/>
      <c r="KPM159" s="53"/>
      <c r="KPN159" s="54"/>
      <c r="KPO159" s="52"/>
      <c r="KPP159" s="53"/>
      <c r="KPQ159" s="54"/>
      <c r="KPR159" s="52"/>
      <c r="KPS159" s="53"/>
      <c r="KPT159" s="8"/>
      <c r="KPU159" s="45"/>
      <c r="KPV159" s="45"/>
      <c r="KPW159" s="46"/>
      <c r="KPX159" s="44"/>
      <c r="KPY159" s="7"/>
      <c r="KPZ159" s="51"/>
      <c r="KQA159" s="52"/>
      <c r="KQB159" s="53"/>
      <c r="KQC159" s="54"/>
      <c r="KQD159" s="52"/>
      <c r="KQE159" s="53"/>
      <c r="KQF159" s="54"/>
      <c r="KQG159" s="52"/>
      <c r="KQH159" s="53"/>
      <c r="KQI159" s="8"/>
      <c r="KQJ159" s="45"/>
      <c r="KQK159" s="45"/>
      <c r="KQL159" s="46"/>
      <c r="KQM159" s="44"/>
      <c r="KQN159" s="7"/>
      <c r="KQO159" s="51"/>
      <c r="KQP159" s="52"/>
      <c r="KQQ159" s="53"/>
      <c r="KQR159" s="54"/>
      <c r="KQS159" s="52"/>
      <c r="KQT159" s="53"/>
      <c r="KQU159" s="54"/>
      <c r="KQV159" s="52"/>
      <c r="KQW159" s="53"/>
      <c r="KQX159" s="8"/>
      <c r="KQY159" s="45"/>
      <c r="KQZ159" s="45"/>
      <c r="KRA159" s="46"/>
      <c r="KRB159" s="44"/>
      <c r="KRC159" s="7"/>
      <c r="KRD159" s="51"/>
      <c r="KRE159" s="52"/>
      <c r="KRF159" s="53"/>
      <c r="KRG159" s="54"/>
      <c r="KRH159" s="52"/>
      <c r="KRI159" s="53"/>
      <c r="KRJ159" s="54"/>
      <c r="KRK159" s="52"/>
      <c r="KRL159" s="53"/>
      <c r="KRM159" s="8"/>
      <c r="KRN159" s="45"/>
      <c r="KRO159" s="45"/>
      <c r="KRP159" s="46"/>
      <c r="KRQ159" s="44"/>
      <c r="KRR159" s="7"/>
      <c r="KRS159" s="51"/>
      <c r="KRT159" s="52"/>
      <c r="KRU159" s="53"/>
      <c r="KRV159" s="54"/>
      <c r="KRW159" s="52"/>
      <c r="KRX159" s="53"/>
      <c r="KRY159" s="54"/>
      <c r="KRZ159" s="52"/>
      <c r="KSA159" s="53"/>
      <c r="KSB159" s="8"/>
      <c r="KSC159" s="45"/>
      <c r="KSD159" s="45"/>
      <c r="KSE159" s="46"/>
      <c r="KSF159" s="44"/>
      <c r="KSG159" s="7"/>
      <c r="KSH159" s="51"/>
      <c r="KSI159" s="52"/>
      <c r="KSJ159" s="53"/>
      <c r="KSK159" s="54"/>
      <c r="KSL159" s="52"/>
      <c r="KSM159" s="53"/>
      <c r="KSN159" s="54"/>
      <c r="KSO159" s="52"/>
      <c r="KSP159" s="53"/>
      <c r="KSQ159" s="8"/>
      <c r="KSR159" s="45"/>
      <c r="KSS159" s="45"/>
      <c r="KST159" s="46"/>
      <c r="KSU159" s="44"/>
      <c r="KSV159" s="7"/>
      <c r="KSW159" s="51"/>
      <c r="KSX159" s="52"/>
      <c r="KSY159" s="53"/>
      <c r="KSZ159" s="54"/>
      <c r="KTA159" s="52"/>
      <c r="KTB159" s="53"/>
      <c r="KTC159" s="54"/>
      <c r="KTD159" s="52"/>
      <c r="KTE159" s="53"/>
      <c r="KTF159" s="8"/>
      <c r="KTG159" s="45"/>
      <c r="KTH159" s="45"/>
      <c r="KTI159" s="46"/>
      <c r="KTJ159" s="44"/>
      <c r="KTK159" s="7"/>
      <c r="KTL159" s="51"/>
      <c r="KTM159" s="52"/>
      <c r="KTN159" s="53"/>
      <c r="KTO159" s="54"/>
      <c r="KTP159" s="52"/>
      <c r="KTQ159" s="53"/>
      <c r="KTR159" s="54"/>
      <c r="KTS159" s="52"/>
      <c r="KTT159" s="53"/>
      <c r="KTU159" s="8"/>
      <c r="KTV159" s="45"/>
      <c r="KTW159" s="45"/>
      <c r="KTX159" s="46"/>
      <c r="KTY159" s="44"/>
      <c r="KTZ159" s="7"/>
      <c r="KUA159" s="51"/>
      <c r="KUB159" s="52"/>
      <c r="KUC159" s="53"/>
      <c r="KUD159" s="54"/>
      <c r="KUE159" s="52"/>
      <c r="KUF159" s="53"/>
      <c r="KUG159" s="54"/>
      <c r="KUH159" s="52"/>
      <c r="KUI159" s="53"/>
      <c r="KUJ159" s="8"/>
      <c r="KUK159" s="45"/>
      <c r="KUL159" s="45"/>
      <c r="KUM159" s="46"/>
      <c r="KUN159" s="44"/>
      <c r="KUO159" s="7"/>
      <c r="KUP159" s="51"/>
      <c r="KUQ159" s="52"/>
      <c r="KUR159" s="53"/>
      <c r="KUS159" s="54"/>
      <c r="KUT159" s="52"/>
      <c r="KUU159" s="53"/>
      <c r="KUV159" s="54"/>
      <c r="KUW159" s="52"/>
      <c r="KUX159" s="53"/>
      <c r="KUY159" s="8"/>
      <c r="KUZ159" s="45"/>
      <c r="KVA159" s="45"/>
      <c r="KVB159" s="46"/>
      <c r="KVC159" s="44"/>
      <c r="KVD159" s="7"/>
      <c r="KVE159" s="51"/>
      <c r="KVF159" s="52"/>
      <c r="KVG159" s="53"/>
      <c r="KVH159" s="54"/>
      <c r="KVI159" s="52"/>
      <c r="KVJ159" s="53"/>
      <c r="KVK159" s="54"/>
      <c r="KVL159" s="52"/>
      <c r="KVM159" s="53"/>
      <c r="KVN159" s="8"/>
      <c r="KVO159" s="45"/>
      <c r="KVP159" s="45"/>
      <c r="KVQ159" s="46"/>
      <c r="KVR159" s="44"/>
      <c r="KVS159" s="7"/>
      <c r="KVT159" s="51"/>
      <c r="KVU159" s="52"/>
      <c r="KVV159" s="53"/>
      <c r="KVW159" s="54"/>
      <c r="KVX159" s="52"/>
      <c r="KVY159" s="53"/>
      <c r="KVZ159" s="54"/>
      <c r="KWA159" s="52"/>
      <c r="KWB159" s="53"/>
      <c r="KWC159" s="8"/>
      <c r="KWD159" s="45"/>
      <c r="KWE159" s="45"/>
      <c r="KWF159" s="46"/>
      <c r="KWG159" s="44"/>
      <c r="KWH159" s="7"/>
      <c r="KWI159" s="51"/>
      <c r="KWJ159" s="52"/>
      <c r="KWK159" s="53"/>
      <c r="KWL159" s="54"/>
      <c r="KWM159" s="52"/>
      <c r="KWN159" s="53"/>
      <c r="KWO159" s="54"/>
      <c r="KWP159" s="52"/>
      <c r="KWQ159" s="53"/>
      <c r="KWR159" s="8"/>
      <c r="KWS159" s="45"/>
      <c r="KWT159" s="45"/>
      <c r="KWU159" s="46"/>
      <c r="KWV159" s="44"/>
      <c r="KWW159" s="7"/>
      <c r="KWX159" s="51"/>
      <c r="KWY159" s="52"/>
      <c r="KWZ159" s="53"/>
      <c r="KXA159" s="54"/>
      <c r="KXB159" s="52"/>
      <c r="KXC159" s="53"/>
      <c r="KXD159" s="54"/>
      <c r="KXE159" s="52"/>
      <c r="KXF159" s="53"/>
      <c r="KXG159" s="8"/>
      <c r="KXH159" s="45"/>
      <c r="KXI159" s="45"/>
      <c r="KXJ159" s="46"/>
      <c r="KXK159" s="44"/>
      <c r="KXL159" s="7"/>
      <c r="KXM159" s="51"/>
      <c r="KXN159" s="52"/>
      <c r="KXO159" s="53"/>
      <c r="KXP159" s="54"/>
      <c r="KXQ159" s="52"/>
      <c r="KXR159" s="53"/>
      <c r="KXS159" s="54"/>
      <c r="KXT159" s="52"/>
      <c r="KXU159" s="53"/>
      <c r="KXV159" s="8"/>
      <c r="KXW159" s="45"/>
      <c r="KXX159" s="45"/>
      <c r="KXY159" s="46"/>
      <c r="KXZ159" s="44"/>
      <c r="KYA159" s="7"/>
      <c r="KYB159" s="51"/>
      <c r="KYC159" s="52"/>
      <c r="KYD159" s="53"/>
      <c r="KYE159" s="54"/>
      <c r="KYF159" s="52"/>
      <c r="KYG159" s="53"/>
      <c r="KYH159" s="54"/>
      <c r="KYI159" s="52"/>
      <c r="KYJ159" s="53"/>
      <c r="KYK159" s="8"/>
      <c r="KYL159" s="45"/>
      <c r="KYM159" s="45"/>
      <c r="KYN159" s="46"/>
      <c r="KYO159" s="44"/>
      <c r="KYP159" s="7"/>
      <c r="KYQ159" s="51"/>
      <c r="KYR159" s="52"/>
      <c r="KYS159" s="53"/>
      <c r="KYT159" s="54"/>
      <c r="KYU159" s="52"/>
      <c r="KYV159" s="53"/>
      <c r="KYW159" s="54"/>
      <c r="KYX159" s="52"/>
      <c r="KYY159" s="53"/>
      <c r="KYZ159" s="8"/>
      <c r="KZA159" s="45"/>
      <c r="KZB159" s="45"/>
      <c r="KZC159" s="46"/>
      <c r="KZD159" s="44"/>
      <c r="KZE159" s="7"/>
      <c r="KZF159" s="51"/>
      <c r="KZG159" s="52"/>
      <c r="KZH159" s="53"/>
      <c r="KZI159" s="54"/>
      <c r="KZJ159" s="52"/>
      <c r="KZK159" s="53"/>
      <c r="KZL159" s="54"/>
      <c r="KZM159" s="52"/>
      <c r="KZN159" s="53"/>
      <c r="KZO159" s="8"/>
      <c r="KZP159" s="45"/>
      <c r="KZQ159" s="45"/>
      <c r="KZR159" s="46"/>
      <c r="KZS159" s="44"/>
      <c r="KZT159" s="7"/>
      <c r="KZU159" s="51"/>
      <c r="KZV159" s="52"/>
      <c r="KZW159" s="53"/>
      <c r="KZX159" s="54"/>
      <c r="KZY159" s="52"/>
      <c r="KZZ159" s="53"/>
      <c r="LAA159" s="54"/>
      <c r="LAB159" s="52"/>
      <c r="LAC159" s="53"/>
      <c r="LAD159" s="8"/>
      <c r="LAE159" s="45"/>
      <c r="LAF159" s="45"/>
      <c r="LAG159" s="46"/>
      <c r="LAH159" s="44"/>
      <c r="LAI159" s="7"/>
      <c r="LAJ159" s="51"/>
      <c r="LAK159" s="52"/>
      <c r="LAL159" s="53"/>
      <c r="LAM159" s="54"/>
      <c r="LAN159" s="52"/>
      <c r="LAO159" s="53"/>
      <c r="LAP159" s="54"/>
      <c r="LAQ159" s="52"/>
      <c r="LAR159" s="53"/>
      <c r="LAS159" s="8"/>
      <c r="LAT159" s="45"/>
      <c r="LAU159" s="45"/>
      <c r="LAV159" s="46"/>
      <c r="LAW159" s="44"/>
      <c r="LAX159" s="7"/>
      <c r="LAY159" s="51"/>
      <c r="LAZ159" s="52"/>
      <c r="LBA159" s="53"/>
      <c r="LBB159" s="54"/>
      <c r="LBC159" s="52"/>
      <c r="LBD159" s="53"/>
      <c r="LBE159" s="54"/>
      <c r="LBF159" s="52"/>
      <c r="LBG159" s="53"/>
      <c r="LBH159" s="8"/>
      <c r="LBI159" s="45"/>
      <c r="LBJ159" s="45"/>
      <c r="LBK159" s="46"/>
      <c r="LBL159" s="44"/>
      <c r="LBM159" s="7"/>
      <c r="LBN159" s="51"/>
      <c r="LBO159" s="52"/>
      <c r="LBP159" s="53"/>
      <c r="LBQ159" s="54"/>
      <c r="LBR159" s="52"/>
      <c r="LBS159" s="53"/>
      <c r="LBT159" s="54"/>
      <c r="LBU159" s="52"/>
      <c r="LBV159" s="53"/>
      <c r="LBW159" s="8"/>
      <c r="LBX159" s="45"/>
      <c r="LBY159" s="45"/>
      <c r="LBZ159" s="46"/>
      <c r="LCA159" s="44"/>
      <c r="LCB159" s="7"/>
      <c r="LCC159" s="51"/>
      <c r="LCD159" s="52"/>
      <c r="LCE159" s="53"/>
      <c r="LCF159" s="54"/>
      <c r="LCG159" s="52"/>
      <c r="LCH159" s="53"/>
      <c r="LCI159" s="54"/>
      <c r="LCJ159" s="52"/>
      <c r="LCK159" s="53"/>
      <c r="LCL159" s="8"/>
      <c r="LCM159" s="45"/>
      <c r="LCN159" s="45"/>
      <c r="LCO159" s="46"/>
      <c r="LCP159" s="44"/>
      <c r="LCQ159" s="7"/>
      <c r="LCR159" s="51"/>
      <c r="LCS159" s="52"/>
      <c r="LCT159" s="53"/>
      <c r="LCU159" s="54"/>
      <c r="LCV159" s="52"/>
      <c r="LCW159" s="53"/>
      <c r="LCX159" s="54"/>
      <c r="LCY159" s="52"/>
      <c r="LCZ159" s="53"/>
      <c r="LDA159" s="8"/>
      <c r="LDB159" s="45"/>
      <c r="LDC159" s="45"/>
      <c r="LDD159" s="46"/>
      <c r="LDE159" s="44"/>
      <c r="LDF159" s="7"/>
      <c r="LDG159" s="51"/>
      <c r="LDH159" s="52"/>
      <c r="LDI159" s="53"/>
      <c r="LDJ159" s="54"/>
      <c r="LDK159" s="52"/>
      <c r="LDL159" s="53"/>
      <c r="LDM159" s="54"/>
      <c r="LDN159" s="52"/>
      <c r="LDO159" s="53"/>
      <c r="LDP159" s="8"/>
      <c r="LDQ159" s="45"/>
      <c r="LDR159" s="45"/>
      <c r="LDS159" s="46"/>
      <c r="LDT159" s="44"/>
      <c r="LDU159" s="7"/>
      <c r="LDV159" s="51"/>
      <c r="LDW159" s="52"/>
      <c r="LDX159" s="53"/>
      <c r="LDY159" s="54"/>
      <c r="LDZ159" s="52"/>
      <c r="LEA159" s="53"/>
      <c r="LEB159" s="54"/>
      <c r="LEC159" s="52"/>
      <c r="LED159" s="53"/>
      <c r="LEE159" s="8"/>
      <c r="LEF159" s="45"/>
      <c r="LEG159" s="45"/>
      <c r="LEH159" s="46"/>
      <c r="LEI159" s="44"/>
      <c r="LEJ159" s="7"/>
      <c r="LEK159" s="51"/>
      <c r="LEL159" s="52"/>
      <c r="LEM159" s="53"/>
      <c r="LEN159" s="54"/>
      <c r="LEO159" s="52"/>
      <c r="LEP159" s="53"/>
      <c r="LEQ159" s="54"/>
      <c r="LER159" s="52"/>
      <c r="LES159" s="53"/>
      <c r="LET159" s="8"/>
      <c r="LEU159" s="45"/>
      <c r="LEV159" s="45"/>
      <c r="LEW159" s="46"/>
      <c r="LEX159" s="44"/>
      <c r="LEY159" s="7"/>
      <c r="LEZ159" s="51"/>
      <c r="LFA159" s="52"/>
      <c r="LFB159" s="53"/>
      <c r="LFC159" s="54"/>
      <c r="LFD159" s="52"/>
      <c r="LFE159" s="53"/>
      <c r="LFF159" s="54"/>
      <c r="LFG159" s="52"/>
      <c r="LFH159" s="53"/>
      <c r="LFI159" s="8"/>
      <c r="LFJ159" s="45"/>
      <c r="LFK159" s="45"/>
      <c r="LFL159" s="46"/>
      <c r="LFM159" s="44"/>
      <c r="LFN159" s="7"/>
      <c r="LFO159" s="51"/>
      <c r="LFP159" s="52"/>
      <c r="LFQ159" s="53"/>
      <c r="LFR159" s="54"/>
      <c r="LFS159" s="52"/>
      <c r="LFT159" s="53"/>
      <c r="LFU159" s="54"/>
      <c r="LFV159" s="52"/>
      <c r="LFW159" s="53"/>
      <c r="LFX159" s="8"/>
      <c r="LFY159" s="45"/>
      <c r="LFZ159" s="45"/>
      <c r="LGA159" s="46"/>
      <c r="LGB159" s="44"/>
      <c r="LGC159" s="7"/>
      <c r="LGD159" s="51"/>
      <c r="LGE159" s="52"/>
      <c r="LGF159" s="53"/>
      <c r="LGG159" s="54"/>
      <c r="LGH159" s="52"/>
      <c r="LGI159" s="53"/>
      <c r="LGJ159" s="54"/>
      <c r="LGK159" s="52"/>
      <c r="LGL159" s="53"/>
      <c r="LGM159" s="8"/>
      <c r="LGN159" s="45"/>
      <c r="LGO159" s="45"/>
      <c r="LGP159" s="46"/>
      <c r="LGQ159" s="44"/>
      <c r="LGR159" s="7"/>
      <c r="LGS159" s="51"/>
      <c r="LGT159" s="52"/>
      <c r="LGU159" s="53"/>
      <c r="LGV159" s="54"/>
      <c r="LGW159" s="52"/>
      <c r="LGX159" s="53"/>
      <c r="LGY159" s="54"/>
      <c r="LGZ159" s="52"/>
      <c r="LHA159" s="53"/>
      <c r="LHB159" s="8"/>
      <c r="LHC159" s="45"/>
      <c r="LHD159" s="45"/>
      <c r="LHE159" s="46"/>
      <c r="LHF159" s="44"/>
      <c r="LHG159" s="7"/>
      <c r="LHH159" s="51"/>
      <c r="LHI159" s="52"/>
      <c r="LHJ159" s="53"/>
      <c r="LHK159" s="54"/>
      <c r="LHL159" s="52"/>
      <c r="LHM159" s="53"/>
      <c r="LHN159" s="54"/>
      <c r="LHO159" s="52"/>
      <c r="LHP159" s="53"/>
      <c r="LHQ159" s="8"/>
      <c r="LHR159" s="45"/>
      <c r="LHS159" s="45"/>
      <c r="LHT159" s="46"/>
      <c r="LHU159" s="44"/>
      <c r="LHV159" s="7"/>
      <c r="LHW159" s="51"/>
      <c r="LHX159" s="52"/>
      <c r="LHY159" s="53"/>
      <c r="LHZ159" s="54"/>
      <c r="LIA159" s="52"/>
      <c r="LIB159" s="53"/>
      <c r="LIC159" s="54"/>
      <c r="LID159" s="52"/>
      <c r="LIE159" s="53"/>
      <c r="LIF159" s="8"/>
      <c r="LIG159" s="45"/>
      <c r="LIH159" s="45"/>
      <c r="LII159" s="46"/>
      <c r="LIJ159" s="44"/>
      <c r="LIK159" s="7"/>
      <c r="LIL159" s="51"/>
      <c r="LIM159" s="52"/>
      <c r="LIN159" s="53"/>
      <c r="LIO159" s="54"/>
      <c r="LIP159" s="52"/>
      <c r="LIQ159" s="53"/>
      <c r="LIR159" s="54"/>
      <c r="LIS159" s="52"/>
      <c r="LIT159" s="53"/>
      <c r="LIU159" s="8"/>
      <c r="LIV159" s="45"/>
      <c r="LIW159" s="45"/>
      <c r="LIX159" s="46"/>
      <c r="LIY159" s="44"/>
      <c r="LIZ159" s="7"/>
      <c r="LJA159" s="51"/>
      <c r="LJB159" s="52"/>
      <c r="LJC159" s="53"/>
      <c r="LJD159" s="54"/>
      <c r="LJE159" s="52"/>
      <c r="LJF159" s="53"/>
      <c r="LJG159" s="54"/>
      <c r="LJH159" s="52"/>
      <c r="LJI159" s="53"/>
      <c r="LJJ159" s="8"/>
      <c r="LJK159" s="45"/>
      <c r="LJL159" s="45"/>
      <c r="LJM159" s="46"/>
      <c r="LJN159" s="44"/>
      <c r="LJO159" s="7"/>
      <c r="LJP159" s="51"/>
      <c r="LJQ159" s="52"/>
      <c r="LJR159" s="53"/>
      <c r="LJS159" s="54"/>
      <c r="LJT159" s="52"/>
      <c r="LJU159" s="53"/>
      <c r="LJV159" s="54"/>
      <c r="LJW159" s="52"/>
      <c r="LJX159" s="53"/>
      <c r="LJY159" s="8"/>
      <c r="LJZ159" s="45"/>
      <c r="LKA159" s="45"/>
      <c r="LKB159" s="46"/>
      <c r="LKC159" s="44"/>
      <c r="LKD159" s="7"/>
      <c r="LKE159" s="51"/>
      <c r="LKF159" s="52"/>
      <c r="LKG159" s="53"/>
      <c r="LKH159" s="54"/>
      <c r="LKI159" s="52"/>
      <c r="LKJ159" s="53"/>
      <c r="LKK159" s="54"/>
      <c r="LKL159" s="52"/>
      <c r="LKM159" s="53"/>
      <c r="LKN159" s="8"/>
      <c r="LKO159" s="45"/>
      <c r="LKP159" s="45"/>
      <c r="LKQ159" s="46"/>
      <c r="LKR159" s="44"/>
      <c r="LKS159" s="7"/>
      <c r="LKT159" s="51"/>
      <c r="LKU159" s="52"/>
      <c r="LKV159" s="53"/>
      <c r="LKW159" s="54"/>
      <c r="LKX159" s="52"/>
      <c r="LKY159" s="53"/>
      <c r="LKZ159" s="54"/>
      <c r="LLA159" s="52"/>
      <c r="LLB159" s="53"/>
      <c r="LLC159" s="8"/>
      <c r="LLD159" s="45"/>
      <c r="LLE159" s="45"/>
      <c r="LLF159" s="46"/>
      <c r="LLG159" s="44"/>
      <c r="LLH159" s="7"/>
      <c r="LLI159" s="51"/>
      <c r="LLJ159" s="52"/>
      <c r="LLK159" s="53"/>
      <c r="LLL159" s="54"/>
      <c r="LLM159" s="52"/>
      <c r="LLN159" s="53"/>
      <c r="LLO159" s="54"/>
      <c r="LLP159" s="52"/>
      <c r="LLQ159" s="53"/>
      <c r="LLR159" s="8"/>
      <c r="LLS159" s="45"/>
      <c r="LLT159" s="45"/>
      <c r="LLU159" s="46"/>
      <c r="LLV159" s="44"/>
      <c r="LLW159" s="7"/>
      <c r="LLX159" s="51"/>
      <c r="LLY159" s="52"/>
      <c r="LLZ159" s="53"/>
      <c r="LMA159" s="54"/>
      <c r="LMB159" s="52"/>
      <c r="LMC159" s="53"/>
      <c r="LMD159" s="54"/>
      <c r="LME159" s="52"/>
      <c r="LMF159" s="53"/>
      <c r="LMG159" s="8"/>
      <c r="LMH159" s="45"/>
      <c r="LMI159" s="45"/>
      <c r="LMJ159" s="46"/>
      <c r="LMK159" s="44"/>
      <c r="LML159" s="7"/>
      <c r="LMM159" s="51"/>
      <c r="LMN159" s="52"/>
      <c r="LMO159" s="53"/>
      <c r="LMP159" s="54"/>
      <c r="LMQ159" s="52"/>
      <c r="LMR159" s="53"/>
      <c r="LMS159" s="54"/>
      <c r="LMT159" s="52"/>
      <c r="LMU159" s="53"/>
      <c r="LMV159" s="8"/>
      <c r="LMW159" s="45"/>
      <c r="LMX159" s="45"/>
      <c r="LMY159" s="46"/>
      <c r="LMZ159" s="44"/>
      <c r="LNA159" s="7"/>
      <c r="LNB159" s="51"/>
      <c r="LNC159" s="52"/>
      <c r="LND159" s="53"/>
      <c r="LNE159" s="54"/>
      <c r="LNF159" s="52"/>
      <c r="LNG159" s="53"/>
      <c r="LNH159" s="54"/>
      <c r="LNI159" s="52"/>
      <c r="LNJ159" s="53"/>
      <c r="LNK159" s="8"/>
      <c r="LNL159" s="45"/>
      <c r="LNM159" s="45"/>
      <c r="LNN159" s="46"/>
      <c r="LNO159" s="44"/>
      <c r="LNP159" s="7"/>
      <c r="LNQ159" s="51"/>
      <c r="LNR159" s="52"/>
      <c r="LNS159" s="53"/>
      <c r="LNT159" s="54"/>
      <c r="LNU159" s="52"/>
      <c r="LNV159" s="53"/>
      <c r="LNW159" s="54"/>
      <c r="LNX159" s="52"/>
      <c r="LNY159" s="53"/>
      <c r="LNZ159" s="8"/>
      <c r="LOA159" s="45"/>
      <c r="LOB159" s="45"/>
      <c r="LOC159" s="46"/>
      <c r="LOD159" s="44"/>
      <c r="LOE159" s="7"/>
      <c r="LOF159" s="51"/>
      <c r="LOG159" s="52"/>
      <c r="LOH159" s="53"/>
      <c r="LOI159" s="54"/>
      <c r="LOJ159" s="52"/>
      <c r="LOK159" s="53"/>
      <c r="LOL159" s="54"/>
      <c r="LOM159" s="52"/>
      <c r="LON159" s="53"/>
      <c r="LOO159" s="8"/>
      <c r="LOP159" s="45"/>
      <c r="LOQ159" s="45"/>
      <c r="LOR159" s="46"/>
      <c r="LOS159" s="44"/>
      <c r="LOT159" s="7"/>
      <c r="LOU159" s="51"/>
      <c r="LOV159" s="52"/>
      <c r="LOW159" s="53"/>
      <c r="LOX159" s="54"/>
      <c r="LOY159" s="52"/>
      <c r="LOZ159" s="53"/>
      <c r="LPA159" s="54"/>
      <c r="LPB159" s="52"/>
      <c r="LPC159" s="53"/>
      <c r="LPD159" s="8"/>
      <c r="LPE159" s="45"/>
      <c r="LPF159" s="45"/>
      <c r="LPG159" s="46"/>
      <c r="LPH159" s="44"/>
      <c r="LPI159" s="7"/>
      <c r="LPJ159" s="51"/>
      <c r="LPK159" s="52"/>
      <c r="LPL159" s="53"/>
      <c r="LPM159" s="54"/>
      <c r="LPN159" s="52"/>
      <c r="LPO159" s="53"/>
      <c r="LPP159" s="54"/>
      <c r="LPQ159" s="52"/>
      <c r="LPR159" s="53"/>
      <c r="LPS159" s="8"/>
      <c r="LPT159" s="45"/>
      <c r="LPU159" s="45"/>
      <c r="LPV159" s="46"/>
      <c r="LPW159" s="44"/>
      <c r="LPX159" s="7"/>
      <c r="LPY159" s="51"/>
      <c r="LPZ159" s="52"/>
      <c r="LQA159" s="53"/>
      <c r="LQB159" s="54"/>
      <c r="LQC159" s="52"/>
      <c r="LQD159" s="53"/>
      <c r="LQE159" s="54"/>
      <c r="LQF159" s="52"/>
      <c r="LQG159" s="53"/>
      <c r="LQH159" s="8"/>
      <c r="LQI159" s="45"/>
      <c r="LQJ159" s="45"/>
      <c r="LQK159" s="46"/>
      <c r="LQL159" s="44"/>
      <c r="LQM159" s="7"/>
      <c r="LQN159" s="51"/>
      <c r="LQO159" s="52"/>
      <c r="LQP159" s="53"/>
      <c r="LQQ159" s="54"/>
      <c r="LQR159" s="52"/>
      <c r="LQS159" s="53"/>
      <c r="LQT159" s="54"/>
      <c r="LQU159" s="52"/>
      <c r="LQV159" s="53"/>
      <c r="LQW159" s="8"/>
      <c r="LQX159" s="45"/>
      <c r="LQY159" s="45"/>
      <c r="LQZ159" s="46"/>
      <c r="LRA159" s="44"/>
      <c r="LRB159" s="7"/>
      <c r="LRC159" s="51"/>
      <c r="LRD159" s="52"/>
      <c r="LRE159" s="53"/>
      <c r="LRF159" s="54"/>
      <c r="LRG159" s="52"/>
      <c r="LRH159" s="53"/>
      <c r="LRI159" s="54"/>
      <c r="LRJ159" s="52"/>
      <c r="LRK159" s="53"/>
      <c r="LRL159" s="8"/>
      <c r="LRM159" s="45"/>
      <c r="LRN159" s="45"/>
      <c r="LRO159" s="46"/>
      <c r="LRP159" s="44"/>
      <c r="LRQ159" s="7"/>
      <c r="LRR159" s="51"/>
      <c r="LRS159" s="52"/>
      <c r="LRT159" s="53"/>
      <c r="LRU159" s="54"/>
      <c r="LRV159" s="52"/>
      <c r="LRW159" s="53"/>
      <c r="LRX159" s="54"/>
      <c r="LRY159" s="52"/>
      <c r="LRZ159" s="53"/>
      <c r="LSA159" s="8"/>
      <c r="LSB159" s="45"/>
      <c r="LSC159" s="45"/>
      <c r="LSD159" s="46"/>
      <c r="LSE159" s="44"/>
      <c r="LSF159" s="7"/>
      <c r="LSG159" s="51"/>
      <c r="LSH159" s="52"/>
      <c r="LSI159" s="53"/>
      <c r="LSJ159" s="54"/>
      <c r="LSK159" s="52"/>
      <c r="LSL159" s="53"/>
      <c r="LSM159" s="54"/>
      <c r="LSN159" s="52"/>
      <c r="LSO159" s="53"/>
      <c r="LSP159" s="8"/>
      <c r="LSQ159" s="45"/>
      <c r="LSR159" s="45"/>
      <c r="LSS159" s="46"/>
      <c r="LST159" s="44"/>
      <c r="LSU159" s="7"/>
      <c r="LSV159" s="51"/>
      <c r="LSW159" s="52"/>
      <c r="LSX159" s="53"/>
      <c r="LSY159" s="54"/>
      <c r="LSZ159" s="52"/>
      <c r="LTA159" s="53"/>
      <c r="LTB159" s="54"/>
      <c r="LTC159" s="52"/>
      <c r="LTD159" s="53"/>
      <c r="LTE159" s="8"/>
      <c r="LTF159" s="45"/>
      <c r="LTG159" s="45"/>
      <c r="LTH159" s="46"/>
      <c r="LTI159" s="44"/>
      <c r="LTJ159" s="7"/>
      <c r="LTK159" s="51"/>
      <c r="LTL159" s="52"/>
      <c r="LTM159" s="53"/>
      <c r="LTN159" s="54"/>
      <c r="LTO159" s="52"/>
      <c r="LTP159" s="53"/>
      <c r="LTQ159" s="54"/>
      <c r="LTR159" s="52"/>
      <c r="LTS159" s="53"/>
      <c r="LTT159" s="8"/>
      <c r="LTU159" s="45"/>
      <c r="LTV159" s="45"/>
      <c r="LTW159" s="46"/>
      <c r="LTX159" s="44"/>
      <c r="LTY159" s="7"/>
      <c r="LTZ159" s="51"/>
      <c r="LUA159" s="52"/>
      <c r="LUB159" s="53"/>
      <c r="LUC159" s="54"/>
      <c r="LUD159" s="52"/>
      <c r="LUE159" s="53"/>
      <c r="LUF159" s="54"/>
      <c r="LUG159" s="52"/>
      <c r="LUH159" s="53"/>
      <c r="LUI159" s="8"/>
      <c r="LUJ159" s="45"/>
      <c r="LUK159" s="45"/>
      <c r="LUL159" s="46"/>
      <c r="LUM159" s="44"/>
      <c r="LUN159" s="7"/>
      <c r="LUO159" s="51"/>
      <c r="LUP159" s="52"/>
      <c r="LUQ159" s="53"/>
      <c r="LUR159" s="54"/>
      <c r="LUS159" s="52"/>
      <c r="LUT159" s="53"/>
      <c r="LUU159" s="54"/>
      <c r="LUV159" s="52"/>
      <c r="LUW159" s="53"/>
      <c r="LUX159" s="8"/>
      <c r="LUY159" s="45"/>
      <c r="LUZ159" s="45"/>
      <c r="LVA159" s="46"/>
      <c r="LVB159" s="44"/>
      <c r="LVC159" s="7"/>
      <c r="LVD159" s="51"/>
      <c r="LVE159" s="52"/>
      <c r="LVF159" s="53"/>
      <c r="LVG159" s="54"/>
      <c r="LVH159" s="52"/>
      <c r="LVI159" s="53"/>
      <c r="LVJ159" s="54"/>
      <c r="LVK159" s="52"/>
      <c r="LVL159" s="53"/>
      <c r="LVM159" s="8"/>
      <c r="LVN159" s="45"/>
      <c r="LVO159" s="45"/>
      <c r="LVP159" s="46"/>
      <c r="LVQ159" s="44"/>
      <c r="LVR159" s="7"/>
      <c r="LVS159" s="51"/>
      <c r="LVT159" s="52"/>
      <c r="LVU159" s="53"/>
      <c r="LVV159" s="54"/>
      <c r="LVW159" s="52"/>
      <c r="LVX159" s="53"/>
      <c r="LVY159" s="54"/>
      <c r="LVZ159" s="52"/>
      <c r="LWA159" s="53"/>
      <c r="LWB159" s="8"/>
      <c r="LWC159" s="45"/>
      <c r="LWD159" s="45"/>
      <c r="LWE159" s="46"/>
      <c r="LWF159" s="44"/>
      <c r="LWG159" s="7"/>
      <c r="LWH159" s="51"/>
      <c r="LWI159" s="52"/>
      <c r="LWJ159" s="53"/>
      <c r="LWK159" s="54"/>
      <c r="LWL159" s="52"/>
      <c r="LWM159" s="53"/>
      <c r="LWN159" s="54"/>
      <c r="LWO159" s="52"/>
      <c r="LWP159" s="53"/>
      <c r="LWQ159" s="8"/>
      <c r="LWR159" s="45"/>
      <c r="LWS159" s="45"/>
      <c r="LWT159" s="46"/>
      <c r="LWU159" s="44"/>
      <c r="LWV159" s="7"/>
      <c r="LWW159" s="51"/>
      <c r="LWX159" s="52"/>
      <c r="LWY159" s="53"/>
      <c r="LWZ159" s="54"/>
      <c r="LXA159" s="52"/>
      <c r="LXB159" s="53"/>
      <c r="LXC159" s="54"/>
      <c r="LXD159" s="52"/>
      <c r="LXE159" s="53"/>
      <c r="LXF159" s="8"/>
      <c r="LXG159" s="45"/>
      <c r="LXH159" s="45"/>
      <c r="LXI159" s="46"/>
      <c r="LXJ159" s="44"/>
      <c r="LXK159" s="7"/>
      <c r="LXL159" s="51"/>
      <c r="LXM159" s="52"/>
      <c r="LXN159" s="53"/>
      <c r="LXO159" s="54"/>
      <c r="LXP159" s="52"/>
      <c r="LXQ159" s="53"/>
      <c r="LXR159" s="54"/>
      <c r="LXS159" s="52"/>
      <c r="LXT159" s="53"/>
      <c r="LXU159" s="8"/>
      <c r="LXV159" s="45"/>
      <c r="LXW159" s="45"/>
      <c r="LXX159" s="46"/>
      <c r="LXY159" s="44"/>
      <c r="LXZ159" s="7"/>
      <c r="LYA159" s="51"/>
      <c r="LYB159" s="52"/>
      <c r="LYC159" s="53"/>
      <c r="LYD159" s="54"/>
      <c r="LYE159" s="52"/>
      <c r="LYF159" s="53"/>
      <c r="LYG159" s="54"/>
      <c r="LYH159" s="52"/>
      <c r="LYI159" s="53"/>
      <c r="LYJ159" s="8"/>
      <c r="LYK159" s="45"/>
      <c r="LYL159" s="45"/>
      <c r="LYM159" s="46"/>
      <c r="LYN159" s="44"/>
      <c r="LYO159" s="7"/>
      <c r="LYP159" s="51"/>
      <c r="LYQ159" s="52"/>
      <c r="LYR159" s="53"/>
      <c r="LYS159" s="54"/>
      <c r="LYT159" s="52"/>
      <c r="LYU159" s="53"/>
      <c r="LYV159" s="54"/>
      <c r="LYW159" s="52"/>
      <c r="LYX159" s="53"/>
      <c r="LYY159" s="8"/>
      <c r="LYZ159" s="45"/>
      <c r="LZA159" s="45"/>
      <c r="LZB159" s="46"/>
      <c r="LZC159" s="44"/>
      <c r="LZD159" s="7"/>
      <c r="LZE159" s="51"/>
      <c r="LZF159" s="52"/>
      <c r="LZG159" s="53"/>
      <c r="LZH159" s="54"/>
      <c r="LZI159" s="52"/>
      <c r="LZJ159" s="53"/>
      <c r="LZK159" s="54"/>
      <c r="LZL159" s="52"/>
      <c r="LZM159" s="53"/>
      <c r="LZN159" s="8"/>
      <c r="LZO159" s="45"/>
      <c r="LZP159" s="45"/>
      <c r="LZQ159" s="46"/>
      <c r="LZR159" s="44"/>
      <c r="LZS159" s="7"/>
      <c r="LZT159" s="51"/>
      <c r="LZU159" s="52"/>
      <c r="LZV159" s="53"/>
      <c r="LZW159" s="54"/>
      <c r="LZX159" s="52"/>
      <c r="LZY159" s="53"/>
      <c r="LZZ159" s="54"/>
      <c r="MAA159" s="52"/>
      <c r="MAB159" s="53"/>
      <c r="MAC159" s="8"/>
      <c r="MAD159" s="45"/>
      <c r="MAE159" s="45"/>
      <c r="MAF159" s="46"/>
      <c r="MAG159" s="44"/>
      <c r="MAH159" s="7"/>
      <c r="MAI159" s="51"/>
      <c r="MAJ159" s="52"/>
      <c r="MAK159" s="53"/>
      <c r="MAL159" s="54"/>
      <c r="MAM159" s="52"/>
      <c r="MAN159" s="53"/>
      <c r="MAO159" s="54"/>
      <c r="MAP159" s="52"/>
      <c r="MAQ159" s="53"/>
      <c r="MAR159" s="8"/>
      <c r="MAS159" s="45"/>
      <c r="MAT159" s="45"/>
      <c r="MAU159" s="46"/>
      <c r="MAV159" s="44"/>
      <c r="MAW159" s="7"/>
      <c r="MAX159" s="51"/>
      <c r="MAY159" s="52"/>
      <c r="MAZ159" s="53"/>
      <c r="MBA159" s="54"/>
      <c r="MBB159" s="52"/>
      <c r="MBC159" s="53"/>
      <c r="MBD159" s="54"/>
      <c r="MBE159" s="52"/>
      <c r="MBF159" s="53"/>
      <c r="MBG159" s="8"/>
      <c r="MBH159" s="45"/>
      <c r="MBI159" s="45"/>
      <c r="MBJ159" s="46"/>
      <c r="MBK159" s="44"/>
      <c r="MBL159" s="7"/>
      <c r="MBM159" s="51"/>
      <c r="MBN159" s="52"/>
      <c r="MBO159" s="53"/>
      <c r="MBP159" s="54"/>
      <c r="MBQ159" s="52"/>
      <c r="MBR159" s="53"/>
      <c r="MBS159" s="54"/>
      <c r="MBT159" s="52"/>
      <c r="MBU159" s="53"/>
      <c r="MBV159" s="8"/>
      <c r="MBW159" s="45"/>
      <c r="MBX159" s="45"/>
      <c r="MBY159" s="46"/>
      <c r="MBZ159" s="44"/>
      <c r="MCA159" s="7"/>
      <c r="MCB159" s="51"/>
      <c r="MCC159" s="52"/>
      <c r="MCD159" s="53"/>
      <c r="MCE159" s="54"/>
      <c r="MCF159" s="52"/>
      <c r="MCG159" s="53"/>
      <c r="MCH159" s="54"/>
      <c r="MCI159" s="52"/>
      <c r="MCJ159" s="53"/>
      <c r="MCK159" s="8"/>
      <c r="MCL159" s="45"/>
      <c r="MCM159" s="45"/>
      <c r="MCN159" s="46"/>
      <c r="MCO159" s="44"/>
      <c r="MCP159" s="7"/>
      <c r="MCQ159" s="51"/>
      <c r="MCR159" s="52"/>
      <c r="MCS159" s="53"/>
      <c r="MCT159" s="54"/>
      <c r="MCU159" s="52"/>
      <c r="MCV159" s="53"/>
      <c r="MCW159" s="54"/>
      <c r="MCX159" s="52"/>
      <c r="MCY159" s="53"/>
      <c r="MCZ159" s="8"/>
      <c r="MDA159" s="45"/>
      <c r="MDB159" s="45"/>
      <c r="MDC159" s="46"/>
      <c r="MDD159" s="44"/>
      <c r="MDE159" s="7"/>
      <c r="MDF159" s="51"/>
      <c r="MDG159" s="52"/>
      <c r="MDH159" s="53"/>
      <c r="MDI159" s="54"/>
      <c r="MDJ159" s="52"/>
      <c r="MDK159" s="53"/>
      <c r="MDL159" s="54"/>
      <c r="MDM159" s="52"/>
      <c r="MDN159" s="53"/>
      <c r="MDO159" s="8"/>
      <c r="MDP159" s="45"/>
      <c r="MDQ159" s="45"/>
      <c r="MDR159" s="46"/>
      <c r="MDS159" s="44"/>
      <c r="MDT159" s="7"/>
      <c r="MDU159" s="51"/>
      <c r="MDV159" s="52"/>
      <c r="MDW159" s="53"/>
      <c r="MDX159" s="54"/>
      <c r="MDY159" s="52"/>
      <c r="MDZ159" s="53"/>
      <c r="MEA159" s="54"/>
      <c r="MEB159" s="52"/>
      <c r="MEC159" s="53"/>
      <c r="MED159" s="8"/>
      <c r="MEE159" s="45"/>
      <c r="MEF159" s="45"/>
      <c r="MEG159" s="46"/>
      <c r="MEH159" s="44"/>
      <c r="MEI159" s="7"/>
      <c r="MEJ159" s="51"/>
      <c r="MEK159" s="52"/>
      <c r="MEL159" s="53"/>
      <c r="MEM159" s="54"/>
      <c r="MEN159" s="52"/>
      <c r="MEO159" s="53"/>
      <c r="MEP159" s="54"/>
      <c r="MEQ159" s="52"/>
      <c r="MER159" s="53"/>
      <c r="MES159" s="8"/>
      <c r="MET159" s="45"/>
      <c r="MEU159" s="45"/>
      <c r="MEV159" s="46"/>
      <c r="MEW159" s="44"/>
      <c r="MEX159" s="7"/>
      <c r="MEY159" s="51"/>
      <c r="MEZ159" s="52"/>
      <c r="MFA159" s="53"/>
      <c r="MFB159" s="54"/>
      <c r="MFC159" s="52"/>
      <c r="MFD159" s="53"/>
      <c r="MFE159" s="54"/>
      <c r="MFF159" s="52"/>
      <c r="MFG159" s="53"/>
      <c r="MFH159" s="8"/>
      <c r="MFI159" s="45"/>
      <c r="MFJ159" s="45"/>
      <c r="MFK159" s="46"/>
      <c r="MFL159" s="44"/>
      <c r="MFM159" s="7"/>
      <c r="MFN159" s="51"/>
      <c r="MFO159" s="52"/>
      <c r="MFP159" s="53"/>
      <c r="MFQ159" s="54"/>
      <c r="MFR159" s="52"/>
      <c r="MFS159" s="53"/>
      <c r="MFT159" s="54"/>
      <c r="MFU159" s="52"/>
      <c r="MFV159" s="53"/>
      <c r="MFW159" s="8"/>
      <c r="MFX159" s="45"/>
      <c r="MFY159" s="45"/>
      <c r="MFZ159" s="46"/>
      <c r="MGA159" s="44"/>
      <c r="MGB159" s="7"/>
      <c r="MGC159" s="51"/>
      <c r="MGD159" s="52"/>
      <c r="MGE159" s="53"/>
      <c r="MGF159" s="54"/>
      <c r="MGG159" s="52"/>
      <c r="MGH159" s="53"/>
      <c r="MGI159" s="54"/>
      <c r="MGJ159" s="52"/>
      <c r="MGK159" s="53"/>
      <c r="MGL159" s="8"/>
      <c r="MGM159" s="45"/>
      <c r="MGN159" s="45"/>
      <c r="MGO159" s="46"/>
      <c r="MGP159" s="44"/>
      <c r="MGQ159" s="7"/>
      <c r="MGR159" s="51"/>
      <c r="MGS159" s="52"/>
      <c r="MGT159" s="53"/>
      <c r="MGU159" s="54"/>
      <c r="MGV159" s="52"/>
      <c r="MGW159" s="53"/>
      <c r="MGX159" s="54"/>
      <c r="MGY159" s="52"/>
      <c r="MGZ159" s="53"/>
      <c r="MHA159" s="8"/>
      <c r="MHB159" s="45"/>
      <c r="MHC159" s="45"/>
      <c r="MHD159" s="46"/>
      <c r="MHE159" s="44"/>
      <c r="MHF159" s="7"/>
      <c r="MHG159" s="51"/>
      <c r="MHH159" s="52"/>
      <c r="MHI159" s="53"/>
      <c r="MHJ159" s="54"/>
      <c r="MHK159" s="52"/>
      <c r="MHL159" s="53"/>
      <c r="MHM159" s="54"/>
      <c r="MHN159" s="52"/>
      <c r="MHO159" s="53"/>
      <c r="MHP159" s="8"/>
      <c r="MHQ159" s="45"/>
      <c r="MHR159" s="45"/>
      <c r="MHS159" s="46"/>
      <c r="MHT159" s="44"/>
      <c r="MHU159" s="7"/>
      <c r="MHV159" s="51"/>
      <c r="MHW159" s="52"/>
      <c r="MHX159" s="53"/>
      <c r="MHY159" s="54"/>
      <c r="MHZ159" s="52"/>
      <c r="MIA159" s="53"/>
      <c r="MIB159" s="54"/>
      <c r="MIC159" s="52"/>
      <c r="MID159" s="53"/>
      <c r="MIE159" s="8"/>
      <c r="MIF159" s="45"/>
      <c r="MIG159" s="45"/>
      <c r="MIH159" s="46"/>
      <c r="MII159" s="44"/>
      <c r="MIJ159" s="7"/>
      <c r="MIK159" s="51"/>
      <c r="MIL159" s="52"/>
      <c r="MIM159" s="53"/>
      <c r="MIN159" s="54"/>
      <c r="MIO159" s="52"/>
      <c r="MIP159" s="53"/>
      <c r="MIQ159" s="54"/>
      <c r="MIR159" s="52"/>
      <c r="MIS159" s="53"/>
      <c r="MIT159" s="8"/>
      <c r="MIU159" s="45"/>
      <c r="MIV159" s="45"/>
      <c r="MIW159" s="46"/>
      <c r="MIX159" s="44"/>
      <c r="MIY159" s="7"/>
      <c r="MIZ159" s="51"/>
      <c r="MJA159" s="52"/>
      <c r="MJB159" s="53"/>
      <c r="MJC159" s="54"/>
      <c r="MJD159" s="52"/>
      <c r="MJE159" s="53"/>
      <c r="MJF159" s="54"/>
      <c r="MJG159" s="52"/>
      <c r="MJH159" s="53"/>
      <c r="MJI159" s="8"/>
      <c r="MJJ159" s="45"/>
      <c r="MJK159" s="45"/>
      <c r="MJL159" s="46"/>
      <c r="MJM159" s="44"/>
      <c r="MJN159" s="7"/>
      <c r="MJO159" s="51"/>
      <c r="MJP159" s="52"/>
      <c r="MJQ159" s="53"/>
      <c r="MJR159" s="54"/>
      <c r="MJS159" s="52"/>
      <c r="MJT159" s="53"/>
      <c r="MJU159" s="54"/>
      <c r="MJV159" s="52"/>
      <c r="MJW159" s="53"/>
      <c r="MJX159" s="8"/>
      <c r="MJY159" s="45"/>
      <c r="MJZ159" s="45"/>
      <c r="MKA159" s="46"/>
      <c r="MKB159" s="44"/>
      <c r="MKC159" s="7"/>
      <c r="MKD159" s="51"/>
      <c r="MKE159" s="52"/>
      <c r="MKF159" s="53"/>
    </row>
    <row r="1048487" spans="16361:16361">
      <c r="XEG1048487" t="e">
        <f>solver_pre</f>
        <v>#NAME?</v>
      </c>
    </row>
    <row r="1048488" spans="16361:16361">
      <c r="XEG1048488" t="e">
        <f>solver_scl</f>
        <v>#NAME?</v>
      </c>
    </row>
    <row r="1048489" spans="16361:16361">
      <c r="XEG1048489" t="e">
        <f>solver_rlx</f>
        <v>#NAME?</v>
      </c>
    </row>
    <row r="1048490" spans="16361:16361">
      <c r="XEG1048490" t="e">
        <f>solver_tol</f>
        <v>#NAME?</v>
      </c>
    </row>
    <row r="1048491" spans="16361:16361">
      <c r="XEG1048491" t="e">
        <f>solver_cvg</f>
        <v>#NAME?</v>
      </c>
    </row>
    <row r="1048492" spans="16361:16361">
      <c r="XEG1048492" t="e">
        <f>AREAS(solver_adj1)</f>
        <v>#NAME?</v>
      </c>
    </row>
    <row r="1048493" spans="16361:16361">
      <c r="XEG1048493" t="e">
        <f>solver_ssz</f>
        <v>#NAME?</v>
      </c>
    </row>
    <row r="1048494" spans="16361:16361">
      <c r="XEG1048494" t="e">
        <f>solver_rsd</f>
        <v>#NAME?</v>
      </c>
    </row>
    <row r="1048495" spans="16361:16361">
      <c r="XEG1048495" t="e">
        <f>solver_mrt</f>
        <v>#NAME?</v>
      </c>
    </row>
    <row r="1048496" spans="16361:16361">
      <c r="XEG1048496" t="e">
        <f>solver_mni</f>
        <v>#NAME?</v>
      </c>
    </row>
    <row r="1048497" spans="16361:16361">
      <c r="XEG1048497" t="e">
        <f>solver_rbv</f>
        <v>#NAME?</v>
      </c>
    </row>
    <row r="1048498" spans="16361:16361">
      <c r="XEG1048498" t="e">
        <f>solver_neg</f>
        <v>#NAME?</v>
      </c>
    </row>
    <row r="1048499" spans="16361:16361">
      <c r="XEG1048499" t="e">
        <f>solver_ntr</f>
        <v>#NAME?</v>
      </c>
    </row>
    <row r="1048500" spans="16361:16361">
      <c r="XEG1048500" t="e">
        <f>solver_acc</f>
        <v>#NAME?</v>
      </c>
    </row>
    <row r="1048501" spans="16361:16361">
      <c r="XEG1048501" t="e">
        <f>solver_res</f>
        <v>#NAME?</v>
      </c>
    </row>
    <row r="1048502" spans="16361:16361">
      <c r="XEG1048502" t="e">
        <f>solver_ars</f>
        <v>#NAME?</v>
      </c>
    </row>
    <row r="1048503" spans="16361:16361">
      <c r="XEG1048503" t="e">
        <f>solver_sta</f>
        <v>#NAME?</v>
      </c>
    </row>
    <row r="1048504" spans="16361:16361">
      <c r="XEG1048504" t="e">
        <f>solver_met</f>
        <v>#NAME?</v>
      </c>
    </row>
    <row r="1048505" spans="16361:16361">
      <c r="XEG1048505" t="e">
        <f>solver_soc</f>
        <v>#NAME?</v>
      </c>
    </row>
    <row r="1048506" spans="16361:16361">
      <c r="XEG1048506" t="e">
        <f>solver_lpt</f>
        <v>#NAME?</v>
      </c>
    </row>
    <row r="1048507" spans="16361:16361">
      <c r="XEG1048507" t="e">
        <f>solver_lpp</f>
        <v>#NAME?</v>
      </c>
    </row>
    <row r="1048508" spans="16361:16361">
      <c r="XEG1048508" t="e">
        <f>solver_gap</f>
        <v>#NAME?</v>
      </c>
    </row>
    <row r="1048509" spans="16361:16361">
      <c r="XEG1048509" t="e">
        <f>solver_ips</f>
        <v>#NAME?</v>
      </c>
    </row>
    <row r="1048510" spans="16361:16361">
      <c r="XEG1048510" t="e">
        <f>solver_fea</f>
        <v>#NAME?</v>
      </c>
    </row>
    <row r="1048511" spans="16361:16361">
      <c r="XEG1048511" t="e">
        <f>solver_ipi</f>
        <v>#NAME?</v>
      </c>
    </row>
    <row r="1048512" spans="16361:16361">
      <c r="XEG1048512" t="e">
        <f>solver_ipd</f>
        <v>#NAME?</v>
      </c>
    </row>
  </sheetData>
  <mergeCells count="16131">
    <mergeCell ref="MKD159:MKF159"/>
    <mergeCell ref="MIZ159:MJB159"/>
    <mergeCell ref="MJC159:MJE159"/>
    <mergeCell ref="MJF159:MJH159"/>
    <mergeCell ref="MJO159:MJQ159"/>
    <mergeCell ref="MJR159:MJT159"/>
    <mergeCell ref="MJU159:MJW159"/>
    <mergeCell ref="MHV159:MHX159"/>
    <mergeCell ref="MHY159:MIA159"/>
    <mergeCell ref="MIB159:MID159"/>
    <mergeCell ref="MIK159:MIM159"/>
    <mergeCell ref="MIN159:MIP159"/>
    <mergeCell ref="MIQ159:MIS159"/>
    <mergeCell ref="MGR159:MGT159"/>
    <mergeCell ref="MGU159:MGW159"/>
    <mergeCell ref="MGX159:MGZ159"/>
    <mergeCell ref="MHG159:MHI159"/>
    <mergeCell ref="MHJ159:MHL159"/>
    <mergeCell ref="MHM159:MHO159"/>
    <mergeCell ref="MFN159:MFP159"/>
    <mergeCell ref="MFQ159:MFS159"/>
    <mergeCell ref="MFT159:MFV159"/>
    <mergeCell ref="MGC159:MGE159"/>
    <mergeCell ref="MGF159:MGH159"/>
    <mergeCell ref="MGI159:MGK159"/>
    <mergeCell ref="MEJ159:MEL159"/>
    <mergeCell ref="MEM159:MEO159"/>
    <mergeCell ref="MEP159:MER159"/>
    <mergeCell ref="MEY159:MFA159"/>
    <mergeCell ref="MFB159:MFD159"/>
    <mergeCell ref="MFE159:MFG159"/>
    <mergeCell ref="MDF159:MDH159"/>
    <mergeCell ref="MDI159:MDK159"/>
    <mergeCell ref="MDL159:MDN159"/>
    <mergeCell ref="MDU159:MDW159"/>
    <mergeCell ref="MDX159:MDZ159"/>
    <mergeCell ref="MEA159:MEC159"/>
    <mergeCell ref="MCB159:MCD159"/>
    <mergeCell ref="MCE159:MCG159"/>
    <mergeCell ref="MCH159:MCJ159"/>
    <mergeCell ref="MCQ159:MCS159"/>
    <mergeCell ref="MCT159:MCV159"/>
    <mergeCell ref="MCW159:MCY159"/>
    <mergeCell ref="MAX159:MAZ159"/>
    <mergeCell ref="MBA159:MBC159"/>
    <mergeCell ref="MBD159:MBF159"/>
    <mergeCell ref="MBM159:MBO159"/>
    <mergeCell ref="MBP159:MBR159"/>
    <mergeCell ref="MBS159:MBU159"/>
    <mergeCell ref="LZT159:LZV159"/>
    <mergeCell ref="LZW159:LZY159"/>
    <mergeCell ref="LZZ159:MAB159"/>
    <mergeCell ref="MAI159:MAK159"/>
    <mergeCell ref="MAL159:MAN159"/>
    <mergeCell ref="MAO159:MAQ159"/>
    <mergeCell ref="LYP159:LYR159"/>
    <mergeCell ref="LYS159:LYU159"/>
    <mergeCell ref="LYV159:LYX159"/>
    <mergeCell ref="LZE159:LZG159"/>
    <mergeCell ref="LZH159:LZJ159"/>
    <mergeCell ref="LZK159:LZM159"/>
    <mergeCell ref="LXL159:LXN159"/>
    <mergeCell ref="LXO159:LXQ159"/>
    <mergeCell ref="LXR159:LXT159"/>
    <mergeCell ref="LYA159:LYC159"/>
    <mergeCell ref="LYD159:LYF159"/>
    <mergeCell ref="LYG159:LYI159"/>
    <mergeCell ref="LWH159:LWJ159"/>
    <mergeCell ref="LWK159:LWM159"/>
    <mergeCell ref="LWN159:LWP159"/>
    <mergeCell ref="LWW159:LWY159"/>
    <mergeCell ref="LWZ159:LXB159"/>
    <mergeCell ref="LXC159:LXE159"/>
    <mergeCell ref="LVD159:LVF159"/>
    <mergeCell ref="LVG159:LVI159"/>
    <mergeCell ref="LVJ159:LVL159"/>
    <mergeCell ref="LVS159:LVU159"/>
    <mergeCell ref="LVV159:LVX159"/>
    <mergeCell ref="LVY159:LWA159"/>
    <mergeCell ref="LTZ159:LUB159"/>
    <mergeCell ref="LUC159:LUE159"/>
    <mergeCell ref="LUF159:LUH159"/>
    <mergeCell ref="LUO159:LUQ159"/>
    <mergeCell ref="LUR159:LUT159"/>
    <mergeCell ref="LUU159:LUW159"/>
    <mergeCell ref="LSV159:LSX159"/>
    <mergeCell ref="LSY159:LTA159"/>
    <mergeCell ref="LTB159:LTD159"/>
    <mergeCell ref="LTK159:LTM159"/>
    <mergeCell ref="LTN159:LTP159"/>
    <mergeCell ref="LTQ159:LTS159"/>
    <mergeCell ref="LRR159:LRT159"/>
    <mergeCell ref="LRU159:LRW159"/>
    <mergeCell ref="LRX159:LRZ159"/>
    <mergeCell ref="LSG159:LSI159"/>
    <mergeCell ref="LSJ159:LSL159"/>
    <mergeCell ref="LSM159:LSO159"/>
    <mergeCell ref="LQN159:LQP159"/>
    <mergeCell ref="LQQ159:LQS159"/>
    <mergeCell ref="LQT159:LQV159"/>
    <mergeCell ref="LRC159:LRE159"/>
    <mergeCell ref="LRF159:LRH159"/>
    <mergeCell ref="LRI159:LRK159"/>
    <mergeCell ref="LPJ159:LPL159"/>
    <mergeCell ref="LPM159:LPO159"/>
    <mergeCell ref="LPP159:LPR159"/>
    <mergeCell ref="LPY159:LQA159"/>
    <mergeCell ref="LQB159:LQD159"/>
    <mergeCell ref="LQE159:LQG159"/>
    <mergeCell ref="LOF159:LOH159"/>
    <mergeCell ref="LOI159:LOK159"/>
    <mergeCell ref="LOL159:LON159"/>
    <mergeCell ref="LOU159:LOW159"/>
    <mergeCell ref="LOX159:LOZ159"/>
    <mergeCell ref="LPA159:LPC159"/>
    <mergeCell ref="LNB159:LND159"/>
    <mergeCell ref="LNE159:LNG159"/>
    <mergeCell ref="LNH159:LNJ159"/>
    <mergeCell ref="LNQ159:LNS159"/>
    <mergeCell ref="LNT159:LNV159"/>
    <mergeCell ref="LNW159:LNY159"/>
    <mergeCell ref="LLX159:LLZ159"/>
    <mergeCell ref="LMA159:LMC159"/>
    <mergeCell ref="LMD159:LMF159"/>
    <mergeCell ref="LMM159:LMO159"/>
    <mergeCell ref="LMP159:LMR159"/>
    <mergeCell ref="LMS159:LMU159"/>
    <mergeCell ref="LKT159:LKV159"/>
    <mergeCell ref="LKW159:LKY159"/>
    <mergeCell ref="LKZ159:LLB159"/>
    <mergeCell ref="LLI159:LLK159"/>
    <mergeCell ref="LLL159:LLN159"/>
    <mergeCell ref="LLO159:LLQ159"/>
    <mergeCell ref="LJP159:LJR159"/>
    <mergeCell ref="LJS159:LJU159"/>
    <mergeCell ref="LJV159:LJX159"/>
    <mergeCell ref="LKE159:LKG159"/>
    <mergeCell ref="LKH159:LKJ159"/>
    <mergeCell ref="LKK159:LKM159"/>
    <mergeCell ref="LIL159:LIN159"/>
    <mergeCell ref="LIO159:LIQ159"/>
    <mergeCell ref="LIR159:LIT159"/>
    <mergeCell ref="LJA159:LJC159"/>
    <mergeCell ref="LJD159:LJF159"/>
    <mergeCell ref="LJG159:LJI159"/>
    <mergeCell ref="LHH159:LHJ159"/>
    <mergeCell ref="LHK159:LHM159"/>
    <mergeCell ref="LHN159:LHP159"/>
    <mergeCell ref="LHW159:LHY159"/>
    <mergeCell ref="LHZ159:LIB159"/>
    <mergeCell ref="LIC159:LIE159"/>
    <mergeCell ref="LGD159:LGF159"/>
    <mergeCell ref="LGG159:LGI159"/>
    <mergeCell ref="LGJ159:LGL159"/>
    <mergeCell ref="LGS159:LGU159"/>
    <mergeCell ref="LGV159:LGX159"/>
    <mergeCell ref="LGY159:LHA159"/>
    <mergeCell ref="LEZ159:LFB159"/>
    <mergeCell ref="LFC159:LFE159"/>
    <mergeCell ref="LFF159:LFH159"/>
    <mergeCell ref="LFO159:LFQ159"/>
    <mergeCell ref="LFR159:LFT159"/>
    <mergeCell ref="LFU159:LFW159"/>
    <mergeCell ref="LDV159:LDX159"/>
    <mergeCell ref="LDY159:LEA159"/>
    <mergeCell ref="LEB159:LED159"/>
    <mergeCell ref="LEK159:LEM159"/>
    <mergeCell ref="LEN159:LEP159"/>
    <mergeCell ref="LEQ159:LES159"/>
    <mergeCell ref="LCR159:LCT159"/>
    <mergeCell ref="LCU159:LCW159"/>
    <mergeCell ref="LCX159:LCZ159"/>
    <mergeCell ref="LDG159:LDI159"/>
    <mergeCell ref="LDJ159:LDL159"/>
    <mergeCell ref="LDM159:LDO159"/>
    <mergeCell ref="LBN159:LBP159"/>
    <mergeCell ref="LBQ159:LBS159"/>
    <mergeCell ref="LBT159:LBV159"/>
    <mergeCell ref="LCC159:LCE159"/>
    <mergeCell ref="LCF159:LCH159"/>
    <mergeCell ref="LCI159:LCK159"/>
    <mergeCell ref="LAJ159:LAL159"/>
    <mergeCell ref="LAM159:LAO159"/>
    <mergeCell ref="LAP159:LAR159"/>
    <mergeCell ref="LAY159:LBA159"/>
    <mergeCell ref="LBB159:LBD159"/>
    <mergeCell ref="LBE159:LBG159"/>
    <mergeCell ref="KZF159:KZH159"/>
    <mergeCell ref="KZI159:KZK159"/>
    <mergeCell ref="KZL159:KZN159"/>
    <mergeCell ref="KZU159:KZW159"/>
    <mergeCell ref="KZX159:KZZ159"/>
    <mergeCell ref="LAA159:LAC159"/>
    <mergeCell ref="KYB159:KYD159"/>
    <mergeCell ref="KYE159:KYG159"/>
    <mergeCell ref="KYH159:KYJ159"/>
    <mergeCell ref="KYQ159:KYS159"/>
    <mergeCell ref="KYT159:KYV159"/>
    <mergeCell ref="KYW159:KYY159"/>
    <mergeCell ref="KWX159:KWZ159"/>
    <mergeCell ref="KXA159:KXC159"/>
    <mergeCell ref="KXD159:KXF159"/>
    <mergeCell ref="KXM159:KXO159"/>
    <mergeCell ref="KXP159:KXR159"/>
    <mergeCell ref="KXS159:KXU159"/>
    <mergeCell ref="KVT159:KVV159"/>
    <mergeCell ref="KVW159:KVY159"/>
    <mergeCell ref="KVZ159:KWB159"/>
    <mergeCell ref="KWI159:KWK159"/>
    <mergeCell ref="KWL159:KWN159"/>
    <mergeCell ref="KWO159:KWQ159"/>
    <mergeCell ref="KUP159:KUR159"/>
    <mergeCell ref="KUS159:KUU159"/>
    <mergeCell ref="KUV159:KUX159"/>
    <mergeCell ref="KVE159:KVG159"/>
    <mergeCell ref="KVH159:KVJ159"/>
    <mergeCell ref="KVK159:KVM159"/>
    <mergeCell ref="KTL159:KTN159"/>
    <mergeCell ref="KTO159:KTQ159"/>
    <mergeCell ref="KTR159:KTT159"/>
    <mergeCell ref="KUA159:KUC159"/>
    <mergeCell ref="KUD159:KUF159"/>
    <mergeCell ref="KUG159:KUI159"/>
    <mergeCell ref="KSH159:KSJ159"/>
    <mergeCell ref="KSK159:KSM159"/>
    <mergeCell ref="KSN159:KSP159"/>
    <mergeCell ref="KSW159:KSY159"/>
    <mergeCell ref="KSZ159:KTB159"/>
    <mergeCell ref="KTC159:KTE159"/>
    <mergeCell ref="KRD159:KRF159"/>
    <mergeCell ref="KRG159:KRI159"/>
    <mergeCell ref="KRJ159:KRL159"/>
    <mergeCell ref="KRS159:KRU159"/>
    <mergeCell ref="KRV159:KRX159"/>
    <mergeCell ref="KRY159:KSA159"/>
    <mergeCell ref="KPZ159:KQB159"/>
    <mergeCell ref="KQC159:KQE159"/>
    <mergeCell ref="KQF159:KQH159"/>
    <mergeCell ref="KQO159:KQQ159"/>
    <mergeCell ref="KQR159:KQT159"/>
    <mergeCell ref="KQU159:KQW159"/>
    <mergeCell ref="KOV159:KOX159"/>
    <mergeCell ref="KOY159:KPA159"/>
    <mergeCell ref="KPB159:KPD159"/>
    <mergeCell ref="KPK159:KPM159"/>
    <mergeCell ref="KPN159:KPP159"/>
    <mergeCell ref="KPQ159:KPS159"/>
    <mergeCell ref="KNR159:KNT159"/>
    <mergeCell ref="KNU159:KNW159"/>
    <mergeCell ref="KNX159:KNZ159"/>
    <mergeCell ref="KOG159:KOI159"/>
    <mergeCell ref="KOJ159:KOL159"/>
    <mergeCell ref="KOM159:KOO159"/>
    <mergeCell ref="KMN159:KMP159"/>
    <mergeCell ref="KMQ159:KMS159"/>
    <mergeCell ref="KMT159:KMV159"/>
    <mergeCell ref="KNC159:KNE159"/>
    <mergeCell ref="KNF159:KNH159"/>
    <mergeCell ref="KNI159:KNK159"/>
    <mergeCell ref="KLJ159:KLL159"/>
    <mergeCell ref="KLM159:KLO159"/>
    <mergeCell ref="KLP159:KLR159"/>
    <mergeCell ref="KLY159:KMA159"/>
    <mergeCell ref="KMB159:KMD159"/>
    <mergeCell ref="KME159:KMG159"/>
    <mergeCell ref="KKF159:KKH159"/>
    <mergeCell ref="KKI159:KKK159"/>
    <mergeCell ref="KKL159:KKN159"/>
    <mergeCell ref="KKU159:KKW159"/>
    <mergeCell ref="KKX159:KKZ159"/>
    <mergeCell ref="KLA159:KLC159"/>
    <mergeCell ref="KJB159:KJD159"/>
    <mergeCell ref="KJE159:KJG159"/>
    <mergeCell ref="KJH159:KJJ159"/>
    <mergeCell ref="KJQ159:KJS159"/>
    <mergeCell ref="KJT159:KJV159"/>
    <mergeCell ref="KJW159:KJY159"/>
    <mergeCell ref="KHX159:KHZ159"/>
    <mergeCell ref="KIA159:KIC159"/>
    <mergeCell ref="KID159:KIF159"/>
    <mergeCell ref="KIM159:KIO159"/>
    <mergeCell ref="KIP159:KIR159"/>
    <mergeCell ref="KIS159:KIU159"/>
    <mergeCell ref="KGT159:KGV159"/>
    <mergeCell ref="KGW159:KGY159"/>
    <mergeCell ref="KGZ159:KHB159"/>
    <mergeCell ref="KHI159:KHK159"/>
    <mergeCell ref="KHL159:KHN159"/>
    <mergeCell ref="KHO159:KHQ159"/>
    <mergeCell ref="KFP159:KFR159"/>
    <mergeCell ref="KFS159:KFU159"/>
    <mergeCell ref="KFV159:KFX159"/>
    <mergeCell ref="KGE159:KGG159"/>
    <mergeCell ref="KGH159:KGJ159"/>
    <mergeCell ref="KGK159:KGM159"/>
    <mergeCell ref="KEL159:KEN159"/>
    <mergeCell ref="KEO159:KEQ159"/>
    <mergeCell ref="KER159:KET159"/>
    <mergeCell ref="KFA159:KFC159"/>
    <mergeCell ref="KFD159:KFF159"/>
    <mergeCell ref="KFG159:KFI159"/>
    <mergeCell ref="KDH159:KDJ159"/>
    <mergeCell ref="KDK159:KDM159"/>
    <mergeCell ref="KDN159:KDP159"/>
    <mergeCell ref="KDW159:KDY159"/>
    <mergeCell ref="KDZ159:KEB159"/>
    <mergeCell ref="KEC159:KEE159"/>
    <mergeCell ref="KCD159:KCF159"/>
    <mergeCell ref="KCG159:KCI159"/>
    <mergeCell ref="KCJ159:KCL159"/>
    <mergeCell ref="KCS159:KCU159"/>
    <mergeCell ref="KCV159:KCX159"/>
    <mergeCell ref="KCY159:KDA159"/>
    <mergeCell ref="KAZ159:KBB159"/>
    <mergeCell ref="KBC159:KBE159"/>
    <mergeCell ref="KBF159:KBH159"/>
    <mergeCell ref="KBO159:KBQ159"/>
    <mergeCell ref="KBR159:KBT159"/>
    <mergeCell ref="KBU159:KBW159"/>
    <mergeCell ref="JZV159:JZX159"/>
    <mergeCell ref="JZY159:KAA159"/>
    <mergeCell ref="KAB159:KAD159"/>
    <mergeCell ref="KAK159:KAM159"/>
    <mergeCell ref="KAN159:KAP159"/>
    <mergeCell ref="KAQ159:KAS159"/>
    <mergeCell ref="JYR159:JYT159"/>
    <mergeCell ref="JYU159:JYW159"/>
    <mergeCell ref="JYX159:JYZ159"/>
    <mergeCell ref="JZG159:JZI159"/>
    <mergeCell ref="JZJ159:JZL159"/>
    <mergeCell ref="JZM159:JZO159"/>
    <mergeCell ref="JXN159:JXP159"/>
    <mergeCell ref="JXQ159:JXS159"/>
    <mergeCell ref="JXT159:JXV159"/>
    <mergeCell ref="JYC159:JYE159"/>
    <mergeCell ref="JYF159:JYH159"/>
    <mergeCell ref="JYI159:JYK159"/>
    <mergeCell ref="JWJ159:JWL159"/>
    <mergeCell ref="JWM159:JWO159"/>
    <mergeCell ref="JWP159:JWR159"/>
    <mergeCell ref="JWY159:JXA159"/>
    <mergeCell ref="JXB159:JXD159"/>
    <mergeCell ref="JXE159:JXG159"/>
    <mergeCell ref="JVF159:JVH159"/>
    <mergeCell ref="JVI159:JVK159"/>
    <mergeCell ref="JVL159:JVN159"/>
    <mergeCell ref="JVU159:JVW159"/>
    <mergeCell ref="JVX159:JVZ159"/>
    <mergeCell ref="JWA159:JWC159"/>
    <mergeCell ref="JUB159:JUD159"/>
    <mergeCell ref="JUE159:JUG159"/>
    <mergeCell ref="JUH159:JUJ159"/>
    <mergeCell ref="JUQ159:JUS159"/>
    <mergeCell ref="JUT159:JUV159"/>
    <mergeCell ref="JUW159:JUY159"/>
    <mergeCell ref="JSX159:JSZ159"/>
    <mergeCell ref="JTA159:JTC159"/>
    <mergeCell ref="JTD159:JTF159"/>
    <mergeCell ref="JTM159:JTO159"/>
    <mergeCell ref="JTP159:JTR159"/>
    <mergeCell ref="JTS159:JTU159"/>
    <mergeCell ref="JRT159:JRV159"/>
    <mergeCell ref="JRW159:JRY159"/>
    <mergeCell ref="JRZ159:JSB159"/>
    <mergeCell ref="JSI159:JSK159"/>
    <mergeCell ref="JSL159:JSN159"/>
    <mergeCell ref="JSO159:JSQ159"/>
    <mergeCell ref="JQP159:JQR159"/>
    <mergeCell ref="JQS159:JQU159"/>
    <mergeCell ref="JQV159:JQX159"/>
    <mergeCell ref="JRE159:JRG159"/>
    <mergeCell ref="JRH159:JRJ159"/>
    <mergeCell ref="JRK159:JRM159"/>
    <mergeCell ref="JPL159:JPN159"/>
    <mergeCell ref="JPO159:JPQ159"/>
    <mergeCell ref="JPR159:JPT159"/>
    <mergeCell ref="JQA159:JQC159"/>
    <mergeCell ref="JQD159:JQF159"/>
    <mergeCell ref="JQG159:JQI159"/>
    <mergeCell ref="JOH159:JOJ159"/>
    <mergeCell ref="JOK159:JOM159"/>
    <mergeCell ref="JON159:JOP159"/>
    <mergeCell ref="JOW159:JOY159"/>
    <mergeCell ref="JOZ159:JPB159"/>
    <mergeCell ref="JPC159:JPE159"/>
    <mergeCell ref="JND159:JNF159"/>
    <mergeCell ref="JNG159:JNI159"/>
    <mergeCell ref="JNJ159:JNL159"/>
    <mergeCell ref="JNS159:JNU159"/>
    <mergeCell ref="JNV159:JNX159"/>
    <mergeCell ref="JNY159:JOA159"/>
    <mergeCell ref="JLZ159:JMB159"/>
    <mergeCell ref="JMC159:JME159"/>
    <mergeCell ref="JMF159:JMH159"/>
    <mergeCell ref="JMO159:JMQ159"/>
    <mergeCell ref="JMR159:JMT159"/>
    <mergeCell ref="JMU159:JMW159"/>
    <mergeCell ref="JKV159:JKX159"/>
    <mergeCell ref="JKY159:JLA159"/>
    <mergeCell ref="JLB159:JLD159"/>
    <mergeCell ref="JLK159:JLM159"/>
    <mergeCell ref="JLN159:JLP159"/>
    <mergeCell ref="JLQ159:JLS159"/>
    <mergeCell ref="JJR159:JJT159"/>
    <mergeCell ref="JJU159:JJW159"/>
    <mergeCell ref="JJX159:JJZ159"/>
    <mergeCell ref="JKG159:JKI159"/>
    <mergeCell ref="JKJ159:JKL159"/>
    <mergeCell ref="JKM159:JKO159"/>
    <mergeCell ref="JIN159:JIP159"/>
    <mergeCell ref="JIQ159:JIS159"/>
    <mergeCell ref="JIT159:JIV159"/>
    <mergeCell ref="JJC159:JJE159"/>
    <mergeCell ref="JJF159:JJH159"/>
    <mergeCell ref="JJI159:JJK159"/>
    <mergeCell ref="JHJ159:JHL159"/>
    <mergeCell ref="JHM159:JHO159"/>
    <mergeCell ref="JHP159:JHR159"/>
    <mergeCell ref="JHY159:JIA159"/>
    <mergeCell ref="JIB159:JID159"/>
    <mergeCell ref="JIE159:JIG159"/>
    <mergeCell ref="JGF159:JGH159"/>
    <mergeCell ref="JGI159:JGK159"/>
    <mergeCell ref="JGL159:JGN159"/>
    <mergeCell ref="JGU159:JGW159"/>
    <mergeCell ref="JGX159:JGZ159"/>
    <mergeCell ref="JHA159:JHC159"/>
    <mergeCell ref="JFB159:JFD159"/>
    <mergeCell ref="JFE159:JFG159"/>
    <mergeCell ref="JFH159:JFJ159"/>
    <mergeCell ref="JFQ159:JFS159"/>
    <mergeCell ref="JFT159:JFV159"/>
    <mergeCell ref="JFW159:JFY159"/>
    <mergeCell ref="JDX159:JDZ159"/>
    <mergeCell ref="JEA159:JEC159"/>
    <mergeCell ref="JED159:JEF159"/>
    <mergeCell ref="JEM159:JEO159"/>
    <mergeCell ref="JEP159:JER159"/>
    <mergeCell ref="JES159:JEU159"/>
    <mergeCell ref="JCT159:JCV159"/>
    <mergeCell ref="JCW159:JCY159"/>
    <mergeCell ref="JCZ159:JDB159"/>
    <mergeCell ref="JDI159:JDK159"/>
    <mergeCell ref="JDL159:JDN159"/>
    <mergeCell ref="JDO159:JDQ159"/>
    <mergeCell ref="JBP159:JBR159"/>
    <mergeCell ref="JBS159:JBU159"/>
    <mergeCell ref="JBV159:JBX159"/>
    <mergeCell ref="JCE159:JCG159"/>
    <mergeCell ref="JCH159:JCJ159"/>
    <mergeCell ref="JCK159:JCM159"/>
    <mergeCell ref="JAL159:JAN159"/>
    <mergeCell ref="JAO159:JAQ159"/>
    <mergeCell ref="JAR159:JAT159"/>
    <mergeCell ref="JBA159:JBC159"/>
    <mergeCell ref="JBD159:JBF159"/>
    <mergeCell ref="JBG159:JBI159"/>
    <mergeCell ref="IZH159:IZJ159"/>
    <mergeCell ref="IZK159:IZM159"/>
    <mergeCell ref="IZN159:IZP159"/>
    <mergeCell ref="IZW159:IZY159"/>
    <mergeCell ref="IZZ159:JAB159"/>
    <mergeCell ref="JAC159:JAE159"/>
    <mergeCell ref="IYD159:IYF159"/>
    <mergeCell ref="IYG159:IYI159"/>
    <mergeCell ref="IYJ159:IYL159"/>
    <mergeCell ref="IYS159:IYU159"/>
    <mergeCell ref="IYV159:IYX159"/>
    <mergeCell ref="IYY159:IZA159"/>
    <mergeCell ref="IWZ159:IXB159"/>
    <mergeCell ref="IXC159:IXE159"/>
    <mergeCell ref="IXF159:IXH159"/>
    <mergeCell ref="IXO159:IXQ159"/>
    <mergeCell ref="IXR159:IXT159"/>
    <mergeCell ref="IXU159:IXW159"/>
    <mergeCell ref="IVV159:IVX159"/>
    <mergeCell ref="IVY159:IWA159"/>
    <mergeCell ref="IWB159:IWD159"/>
    <mergeCell ref="IWK159:IWM159"/>
    <mergeCell ref="IWN159:IWP159"/>
    <mergeCell ref="IWQ159:IWS159"/>
    <mergeCell ref="IUR159:IUT159"/>
    <mergeCell ref="IUU159:IUW159"/>
    <mergeCell ref="IUX159:IUZ159"/>
    <mergeCell ref="IVG159:IVI159"/>
    <mergeCell ref="IVJ159:IVL159"/>
    <mergeCell ref="IVM159:IVO159"/>
    <mergeCell ref="ITN159:ITP159"/>
    <mergeCell ref="ITQ159:ITS159"/>
    <mergeCell ref="ITT159:ITV159"/>
    <mergeCell ref="IUC159:IUE159"/>
    <mergeCell ref="IUF159:IUH159"/>
    <mergeCell ref="IUI159:IUK159"/>
    <mergeCell ref="ISJ159:ISL159"/>
    <mergeCell ref="ISM159:ISO159"/>
    <mergeCell ref="ISP159:ISR159"/>
    <mergeCell ref="ISY159:ITA159"/>
    <mergeCell ref="ITB159:ITD159"/>
    <mergeCell ref="ITE159:ITG159"/>
    <mergeCell ref="IRF159:IRH159"/>
    <mergeCell ref="IRI159:IRK159"/>
    <mergeCell ref="IRL159:IRN159"/>
    <mergeCell ref="IRU159:IRW159"/>
    <mergeCell ref="IRX159:IRZ159"/>
    <mergeCell ref="ISA159:ISC159"/>
    <mergeCell ref="IQB159:IQD159"/>
    <mergeCell ref="IQE159:IQG159"/>
    <mergeCell ref="IQH159:IQJ159"/>
    <mergeCell ref="IQQ159:IQS159"/>
    <mergeCell ref="IQT159:IQV159"/>
    <mergeCell ref="IQW159:IQY159"/>
    <mergeCell ref="IOX159:IOZ159"/>
    <mergeCell ref="IPA159:IPC159"/>
    <mergeCell ref="IPD159:IPF159"/>
    <mergeCell ref="IPM159:IPO159"/>
    <mergeCell ref="IPP159:IPR159"/>
    <mergeCell ref="IPS159:IPU159"/>
    <mergeCell ref="INT159:INV159"/>
    <mergeCell ref="INW159:INY159"/>
    <mergeCell ref="INZ159:IOB159"/>
    <mergeCell ref="IOI159:IOK159"/>
    <mergeCell ref="IOL159:ION159"/>
    <mergeCell ref="IOO159:IOQ159"/>
    <mergeCell ref="IMP159:IMR159"/>
    <mergeCell ref="IMS159:IMU159"/>
    <mergeCell ref="IMV159:IMX159"/>
    <mergeCell ref="INE159:ING159"/>
    <mergeCell ref="INH159:INJ159"/>
    <mergeCell ref="INK159:INM159"/>
    <mergeCell ref="ILL159:ILN159"/>
    <mergeCell ref="ILO159:ILQ159"/>
    <mergeCell ref="ILR159:ILT159"/>
    <mergeCell ref="IMA159:IMC159"/>
    <mergeCell ref="IMD159:IMF159"/>
    <mergeCell ref="IMG159:IMI159"/>
    <mergeCell ref="IKH159:IKJ159"/>
    <mergeCell ref="IKK159:IKM159"/>
    <mergeCell ref="IKN159:IKP159"/>
    <mergeCell ref="IKW159:IKY159"/>
    <mergeCell ref="IKZ159:ILB159"/>
    <mergeCell ref="ILC159:ILE159"/>
    <mergeCell ref="IJD159:IJF159"/>
    <mergeCell ref="IJG159:IJI159"/>
    <mergeCell ref="IJJ159:IJL159"/>
    <mergeCell ref="IJS159:IJU159"/>
    <mergeCell ref="IJV159:IJX159"/>
    <mergeCell ref="IJY159:IKA159"/>
    <mergeCell ref="IHZ159:IIB159"/>
    <mergeCell ref="IIC159:IIE159"/>
    <mergeCell ref="IIF159:IIH159"/>
    <mergeCell ref="IIO159:IIQ159"/>
    <mergeCell ref="IIR159:IIT159"/>
    <mergeCell ref="IIU159:IIW159"/>
    <mergeCell ref="IGV159:IGX159"/>
    <mergeCell ref="IGY159:IHA159"/>
    <mergeCell ref="IHB159:IHD159"/>
    <mergeCell ref="IHK159:IHM159"/>
    <mergeCell ref="IHN159:IHP159"/>
    <mergeCell ref="IHQ159:IHS159"/>
    <mergeCell ref="IFR159:IFT159"/>
    <mergeCell ref="IFU159:IFW159"/>
    <mergeCell ref="IFX159:IFZ159"/>
    <mergeCell ref="IGG159:IGI159"/>
    <mergeCell ref="IGJ159:IGL159"/>
    <mergeCell ref="IGM159:IGO159"/>
    <mergeCell ref="IEN159:IEP159"/>
    <mergeCell ref="IEQ159:IES159"/>
    <mergeCell ref="IET159:IEV159"/>
    <mergeCell ref="IFC159:IFE159"/>
    <mergeCell ref="IFF159:IFH159"/>
    <mergeCell ref="IFI159:IFK159"/>
    <mergeCell ref="IDJ159:IDL159"/>
    <mergeCell ref="IDM159:IDO159"/>
    <mergeCell ref="IDP159:IDR159"/>
    <mergeCell ref="IDY159:IEA159"/>
    <mergeCell ref="IEB159:IED159"/>
    <mergeCell ref="IEE159:IEG159"/>
    <mergeCell ref="ICF159:ICH159"/>
    <mergeCell ref="ICI159:ICK159"/>
    <mergeCell ref="ICL159:ICN159"/>
    <mergeCell ref="ICU159:ICW159"/>
    <mergeCell ref="ICX159:ICZ159"/>
    <mergeCell ref="IDA159:IDC159"/>
    <mergeCell ref="IBB159:IBD159"/>
    <mergeCell ref="IBE159:IBG159"/>
    <mergeCell ref="IBH159:IBJ159"/>
    <mergeCell ref="IBQ159:IBS159"/>
    <mergeCell ref="IBT159:IBV159"/>
    <mergeCell ref="IBW159:IBY159"/>
    <mergeCell ref="HZX159:HZZ159"/>
    <mergeCell ref="IAA159:IAC159"/>
    <mergeCell ref="IAD159:IAF159"/>
    <mergeCell ref="IAM159:IAO159"/>
    <mergeCell ref="IAP159:IAR159"/>
    <mergeCell ref="IAS159:IAU159"/>
    <mergeCell ref="HYT159:HYV159"/>
    <mergeCell ref="HYW159:HYY159"/>
    <mergeCell ref="HYZ159:HZB159"/>
    <mergeCell ref="HZI159:HZK159"/>
    <mergeCell ref="HZL159:HZN159"/>
    <mergeCell ref="HZO159:HZQ159"/>
    <mergeCell ref="HXP159:HXR159"/>
    <mergeCell ref="HXS159:HXU159"/>
    <mergeCell ref="HXV159:HXX159"/>
    <mergeCell ref="HYE159:HYG159"/>
    <mergeCell ref="HYH159:HYJ159"/>
    <mergeCell ref="HYK159:HYM159"/>
    <mergeCell ref="HWL159:HWN159"/>
    <mergeCell ref="HWO159:HWQ159"/>
    <mergeCell ref="HWR159:HWT159"/>
    <mergeCell ref="HXA159:HXC159"/>
    <mergeCell ref="HXD159:HXF159"/>
    <mergeCell ref="HXG159:HXI159"/>
    <mergeCell ref="HVH159:HVJ159"/>
    <mergeCell ref="HVK159:HVM159"/>
    <mergeCell ref="HVN159:HVP159"/>
    <mergeCell ref="HVW159:HVY159"/>
    <mergeCell ref="HVZ159:HWB159"/>
    <mergeCell ref="HWC159:HWE159"/>
    <mergeCell ref="HUD159:HUF159"/>
    <mergeCell ref="HUG159:HUI159"/>
    <mergeCell ref="HUJ159:HUL159"/>
    <mergeCell ref="HUS159:HUU159"/>
    <mergeCell ref="HUV159:HUX159"/>
    <mergeCell ref="HUY159:HVA159"/>
    <mergeCell ref="HSZ159:HTB159"/>
    <mergeCell ref="HTC159:HTE159"/>
    <mergeCell ref="HTF159:HTH159"/>
    <mergeCell ref="HTO159:HTQ159"/>
    <mergeCell ref="HTR159:HTT159"/>
    <mergeCell ref="HTU159:HTW159"/>
    <mergeCell ref="HRV159:HRX159"/>
    <mergeCell ref="HRY159:HSA159"/>
    <mergeCell ref="HSB159:HSD159"/>
    <mergeCell ref="HSK159:HSM159"/>
    <mergeCell ref="HSN159:HSP159"/>
    <mergeCell ref="HSQ159:HSS159"/>
    <mergeCell ref="HQR159:HQT159"/>
    <mergeCell ref="HQU159:HQW159"/>
    <mergeCell ref="HQX159:HQZ159"/>
    <mergeCell ref="HRG159:HRI159"/>
    <mergeCell ref="HRJ159:HRL159"/>
    <mergeCell ref="HRM159:HRO159"/>
    <mergeCell ref="HPN159:HPP159"/>
    <mergeCell ref="HPQ159:HPS159"/>
    <mergeCell ref="HPT159:HPV159"/>
    <mergeCell ref="HQC159:HQE159"/>
    <mergeCell ref="HQF159:HQH159"/>
    <mergeCell ref="HQI159:HQK159"/>
    <mergeCell ref="HOJ159:HOL159"/>
    <mergeCell ref="HOM159:HOO159"/>
    <mergeCell ref="HOP159:HOR159"/>
    <mergeCell ref="HOY159:HPA159"/>
    <mergeCell ref="HPB159:HPD159"/>
    <mergeCell ref="HPE159:HPG159"/>
    <mergeCell ref="HNF159:HNH159"/>
    <mergeCell ref="HNI159:HNK159"/>
    <mergeCell ref="HNL159:HNN159"/>
    <mergeCell ref="HNU159:HNW159"/>
    <mergeCell ref="HNX159:HNZ159"/>
    <mergeCell ref="HOA159:HOC159"/>
    <mergeCell ref="HMB159:HMD159"/>
    <mergeCell ref="HME159:HMG159"/>
    <mergeCell ref="HMH159:HMJ159"/>
    <mergeCell ref="HMQ159:HMS159"/>
    <mergeCell ref="HMT159:HMV159"/>
    <mergeCell ref="HMW159:HMY159"/>
    <mergeCell ref="HKX159:HKZ159"/>
    <mergeCell ref="HLA159:HLC159"/>
    <mergeCell ref="HLD159:HLF159"/>
    <mergeCell ref="HLM159:HLO159"/>
    <mergeCell ref="HLP159:HLR159"/>
    <mergeCell ref="HLS159:HLU159"/>
    <mergeCell ref="HJT159:HJV159"/>
    <mergeCell ref="HJW159:HJY159"/>
    <mergeCell ref="HJZ159:HKB159"/>
    <mergeCell ref="HKI159:HKK159"/>
    <mergeCell ref="HKL159:HKN159"/>
    <mergeCell ref="HKO159:HKQ159"/>
    <mergeCell ref="HIP159:HIR159"/>
    <mergeCell ref="HIS159:HIU159"/>
    <mergeCell ref="HIV159:HIX159"/>
    <mergeCell ref="HJE159:HJG159"/>
    <mergeCell ref="HJH159:HJJ159"/>
    <mergeCell ref="HJK159:HJM159"/>
    <mergeCell ref="HHL159:HHN159"/>
    <mergeCell ref="HHO159:HHQ159"/>
    <mergeCell ref="HHR159:HHT159"/>
    <mergeCell ref="HIA159:HIC159"/>
    <mergeCell ref="HID159:HIF159"/>
    <mergeCell ref="HIG159:HII159"/>
    <mergeCell ref="HGH159:HGJ159"/>
    <mergeCell ref="HGK159:HGM159"/>
    <mergeCell ref="HGN159:HGP159"/>
    <mergeCell ref="HGW159:HGY159"/>
    <mergeCell ref="HGZ159:HHB159"/>
    <mergeCell ref="HHC159:HHE159"/>
    <mergeCell ref="HFD159:HFF159"/>
    <mergeCell ref="HFG159:HFI159"/>
    <mergeCell ref="HFJ159:HFL159"/>
    <mergeCell ref="HFS159:HFU159"/>
    <mergeCell ref="HFV159:HFX159"/>
    <mergeCell ref="HFY159:HGA159"/>
    <mergeCell ref="HDZ159:HEB159"/>
    <mergeCell ref="HEC159:HEE159"/>
    <mergeCell ref="HEF159:HEH159"/>
    <mergeCell ref="HEO159:HEQ159"/>
    <mergeCell ref="HER159:HET159"/>
    <mergeCell ref="HEU159:HEW159"/>
    <mergeCell ref="HCV159:HCX159"/>
    <mergeCell ref="HCY159:HDA159"/>
    <mergeCell ref="HDB159:HDD159"/>
    <mergeCell ref="HDK159:HDM159"/>
    <mergeCell ref="HDN159:HDP159"/>
    <mergeCell ref="HDQ159:HDS159"/>
    <mergeCell ref="HBR159:HBT159"/>
    <mergeCell ref="HBU159:HBW159"/>
    <mergeCell ref="HBX159:HBZ159"/>
    <mergeCell ref="HCG159:HCI159"/>
    <mergeCell ref="HCJ159:HCL159"/>
    <mergeCell ref="HCM159:HCO159"/>
    <mergeCell ref="HAN159:HAP159"/>
    <mergeCell ref="HAQ159:HAS159"/>
    <mergeCell ref="HAT159:HAV159"/>
    <mergeCell ref="HBC159:HBE159"/>
    <mergeCell ref="HBF159:HBH159"/>
    <mergeCell ref="HBI159:HBK159"/>
    <mergeCell ref="GZJ159:GZL159"/>
    <mergeCell ref="GZM159:GZO159"/>
    <mergeCell ref="GZP159:GZR159"/>
    <mergeCell ref="GZY159:HAA159"/>
    <mergeCell ref="HAB159:HAD159"/>
    <mergeCell ref="HAE159:HAG159"/>
    <mergeCell ref="GYF159:GYH159"/>
    <mergeCell ref="GYI159:GYK159"/>
    <mergeCell ref="GYL159:GYN159"/>
    <mergeCell ref="GYU159:GYW159"/>
    <mergeCell ref="GYX159:GYZ159"/>
    <mergeCell ref="GZA159:GZC159"/>
    <mergeCell ref="GXB159:GXD159"/>
    <mergeCell ref="GXE159:GXG159"/>
    <mergeCell ref="GXH159:GXJ159"/>
    <mergeCell ref="GXQ159:GXS159"/>
    <mergeCell ref="GXT159:GXV159"/>
    <mergeCell ref="GXW159:GXY159"/>
    <mergeCell ref="GVX159:GVZ159"/>
    <mergeCell ref="GWA159:GWC159"/>
    <mergeCell ref="GWD159:GWF159"/>
    <mergeCell ref="GWM159:GWO159"/>
    <mergeCell ref="GWP159:GWR159"/>
    <mergeCell ref="GWS159:GWU159"/>
    <mergeCell ref="GUT159:GUV159"/>
    <mergeCell ref="GUW159:GUY159"/>
    <mergeCell ref="GUZ159:GVB159"/>
    <mergeCell ref="GVI159:GVK159"/>
    <mergeCell ref="GVL159:GVN159"/>
    <mergeCell ref="GVO159:GVQ159"/>
    <mergeCell ref="GTP159:GTR159"/>
    <mergeCell ref="GTS159:GTU159"/>
    <mergeCell ref="GTV159:GTX159"/>
    <mergeCell ref="GUE159:GUG159"/>
    <mergeCell ref="GUH159:GUJ159"/>
    <mergeCell ref="GUK159:GUM159"/>
    <mergeCell ref="GSL159:GSN159"/>
    <mergeCell ref="GSO159:GSQ159"/>
    <mergeCell ref="GSR159:GST159"/>
    <mergeCell ref="GTA159:GTC159"/>
    <mergeCell ref="GTD159:GTF159"/>
    <mergeCell ref="GTG159:GTI159"/>
    <mergeCell ref="GRH159:GRJ159"/>
    <mergeCell ref="GRK159:GRM159"/>
    <mergeCell ref="GRN159:GRP159"/>
    <mergeCell ref="GRW159:GRY159"/>
    <mergeCell ref="GRZ159:GSB159"/>
    <mergeCell ref="GSC159:GSE159"/>
    <mergeCell ref="GQD159:GQF159"/>
    <mergeCell ref="GQG159:GQI159"/>
    <mergeCell ref="GQJ159:GQL159"/>
    <mergeCell ref="GQS159:GQU159"/>
    <mergeCell ref="GQV159:GQX159"/>
    <mergeCell ref="GQY159:GRA159"/>
    <mergeCell ref="GOZ159:GPB159"/>
    <mergeCell ref="GPC159:GPE159"/>
    <mergeCell ref="GPF159:GPH159"/>
    <mergeCell ref="GPO159:GPQ159"/>
    <mergeCell ref="GPR159:GPT159"/>
    <mergeCell ref="GPU159:GPW159"/>
    <mergeCell ref="GNV159:GNX159"/>
    <mergeCell ref="GNY159:GOA159"/>
    <mergeCell ref="GOB159:GOD159"/>
    <mergeCell ref="GOK159:GOM159"/>
    <mergeCell ref="GON159:GOP159"/>
    <mergeCell ref="GOQ159:GOS159"/>
    <mergeCell ref="GMR159:GMT159"/>
    <mergeCell ref="GMU159:GMW159"/>
    <mergeCell ref="GMX159:GMZ159"/>
    <mergeCell ref="GNG159:GNI159"/>
    <mergeCell ref="GNJ159:GNL159"/>
    <mergeCell ref="GNM159:GNO159"/>
    <mergeCell ref="GLN159:GLP159"/>
    <mergeCell ref="GLQ159:GLS159"/>
    <mergeCell ref="GLT159:GLV159"/>
    <mergeCell ref="GMC159:GME159"/>
    <mergeCell ref="GMF159:GMH159"/>
    <mergeCell ref="GMI159:GMK159"/>
    <mergeCell ref="GKJ159:GKL159"/>
    <mergeCell ref="GKM159:GKO159"/>
    <mergeCell ref="GKP159:GKR159"/>
    <mergeCell ref="GKY159:GLA159"/>
    <mergeCell ref="GLB159:GLD159"/>
    <mergeCell ref="GLE159:GLG159"/>
    <mergeCell ref="GJF159:GJH159"/>
    <mergeCell ref="GJI159:GJK159"/>
    <mergeCell ref="GJL159:GJN159"/>
    <mergeCell ref="GJU159:GJW159"/>
    <mergeCell ref="GJX159:GJZ159"/>
    <mergeCell ref="GKA159:GKC159"/>
    <mergeCell ref="GIB159:GID159"/>
    <mergeCell ref="GIE159:GIG159"/>
    <mergeCell ref="GIH159:GIJ159"/>
    <mergeCell ref="GIQ159:GIS159"/>
    <mergeCell ref="GIT159:GIV159"/>
    <mergeCell ref="GIW159:GIY159"/>
    <mergeCell ref="GGX159:GGZ159"/>
    <mergeCell ref="GHA159:GHC159"/>
    <mergeCell ref="GHD159:GHF159"/>
    <mergeCell ref="GHM159:GHO159"/>
    <mergeCell ref="GHP159:GHR159"/>
    <mergeCell ref="GHS159:GHU159"/>
    <mergeCell ref="GFT159:GFV159"/>
    <mergeCell ref="GFW159:GFY159"/>
    <mergeCell ref="GFZ159:GGB159"/>
    <mergeCell ref="GGI159:GGK159"/>
    <mergeCell ref="GGL159:GGN159"/>
    <mergeCell ref="GGO159:GGQ159"/>
    <mergeCell ref="GEP159:GER159"/>
    <mergeCell ref="GES159:GEU159"/>
    <mergeCell ref="GEV159:GEX159"/>
    <mergeCell ref="GFE159:GFG159"/>
    <mergeCell ref="GFH159:GFJ159"/>
    <mergeCell ref="GFK159:GFM159"/>
    <mergeCell ref="GDL159:GDN159"/>
    <mergeCell ref="GDO159:GDQ159"/>
    <mergeCell ref="GDR159:GDT159"/>
    <mergeCell ref="GEA159:GEC159"/>
    <mergeCell ref="GED159:GEF159"/>
    <mergeCell ref="GEG159:GEI159"/>
    <mergeCell ref="GCH159:GCJ159"/>
    <mergeCell ref="GCK159:GCM159"/>
    <mergeCell ref="GCN159:GCP159"/>
    <mergeCell ref="GCW159:GCY159"/>
    <mergeCell ref="GCZ159:GDB159"/>
    <mergeCell ref="GDC159:GDE159"/>
    <mergeCell ref="GBD159:GBF159"/>
    <mergeCell ref="GBG159:GBI159"/>
    <mergeCell ref="GBJ159:GBL159"/>
    <mergeCell ref="GBS159:GBU159"/>
    <mergeCell ref="GBV159:GBX159"/>
    <mergeCell ref="GBY159:GCA159"/>
    <mergeCell ref="FZZ159:GAB159"/>
    <mergeCell ref="GAC159:GAE159"/>
    <mergeCell ref="GAF159:GAH159"/>
    <mergeCell ref="GAO159:GAQ159"/>
    <mergeCell ref="GAR159:GAT159"/>
    <mergeCell ref="GAU159:GAW159"/>
    <mergeCell ref="FYV159:FYX159"/>
    <mergeCell ref="FYY159:FZA159"/>
    <mergeCell ref="FZB159:FZD159"/>
    <mergeCell ref="FZK159:FZM159"/>
    <mergeCell ref="FZN159:FZP159"/>
    <mergeCell ref="FZQ159:FZS159"/>
    <mergeCell ref="FXR159:FXT159"/>
    <mergeCell ref="FXU159:FXW159"/>
    <mergeCell ref="FXX159:FXZ159"/>
    <mergeCell ref="FYG159:FYI159"/>
    <mergeCell ref="FYJ159:FYL159"/>
    <mergeCell ref="FYM159:FYO159"/>
    <mergeCell ref="FWN159:FWP159"/>
    <mergeCell ref="FWQ159:FWS159"/>
    <mergeCell ref="FWT159:FWV159"/>
    <mergeCell ref="FXC159:FXE159"/>
    <mergeCell ref="FXF159:FXH159"/>
    <mergeCell ref="FXI159:FXK159"/>
    <mergeCell ref="FVJ159:FVL159"/>
    <mergeCell ref="FVM159:FVO159"/>
    <mergeCell ref="FVP159:FVR159"/>
    <mergeCell ref="FVY159:FWA159"/>
    <mergeCell ref="FWB159:FWD159"/>
    <mergeCell ref="FWE159:FWG159"/>
    <mergeCell ref="FUF159:FUH159"/>
    <mergeCell ref="FUI159:FUK159"/>
    <mergeCell ref="FUL159:FUN159"/>
    <mergeCell ref="FUU159:FUW159"/>
    <mergeCell ref="FUX159:FUZ159"/>
    <mergeCell ref="FVA159:FVC159"/>
    <mergeCell ref="FTB159:FTD159"/>
    <mergeCell ref="FTE159:FTG159"/>
    <mergeCell ref="FTH159:FTJ159"/>
    <mergeCell ref="FTQ159:FTS159"/>
    <mergeCell ref="FTT159:FTV159"/>
    <mergeCell ref="FTW159:FTY159"/>
    <mergeCell ref="FRX159:FRZ159"/>
    <mergeCell ref="FSA159:FSC159"/>
    <mergeCell ref="FSD159:FSF159"/>
    <mergeCell ref="FSM159:FSO159"/>
    <mergeCell ref="FSP159:FSR159"/>
    <mergeCell ref="FSS159:FSU159"/>
    <mergeCell ref="FQT159:FQV159"/>
    <mergeCell ref="FQW159:FQY159"/>
    <mergeCell ref="FQZ159:FRB159"/>
    <mergeCell ref="FRI159:FRK159"/>
    <mergeCell ref="FRL159:FRN159"/>
    <mergeCell ref="FRO159:FRQ159"/>
    <mergeCell ref="FPP159:FPR159"/>
    <mergeCell ref="FPS159:FPU159"/>
    <mergeCell ref="FPV159:FPX159"/>
    <mergeCell ref="FQE159:FQG159"/>
    <mergeCell ref="FQH159:FQJ159"/>
    <mergeCell ref="FQK159:FQM159"/>
    <mergeCell ref="FOL159:FON159"/>
    <mergeCell ref="FOO159:FOQ159"/>
    <mergeCell ref="FOR159:FOT159"/>
    <mergeCell ref="FPA159:FPC159"/>
    <mergeCell ref="FPD159:FPF159"/>
    <mergeCell ref="FPG159:FPI159"/>
    <mergeCell ref="FNH159:FNJ159"/>
    <mergeCell ref="FNK159:FNM159"/>
    <mergeCell ref="FNN159:FNP159"/>
    <mergeCell ref="FNW159:FNY159"/>
    <mergeCell ref="FNZ159:FOB159"/>
    <mergeCell ref="FOC159:FOE159"/>
    <mergeCell ref="FMD159:FMF159"/>
    <mergeCell ref="FMG159:FMI159"/>
    <mergeCell ref="FMJ159:FML159"/>
    <mergeCell ref="FMS159:FMU159"/>
    <mergeCell ref="FMV159:FMX159"/>
    <mergeCell ref="FMY159:FNA159"/>
    <mergeCell ref="FKZ159:FLB159"/>
    <mergeCell ref="FLC159:FLE159"/>
    <mergeCell ref="FLF159:FLH159"/>
    <mergeCell ref="FLO159:FLQ159"/>
    <mergeCell ref="FLR159:FLT159"/>
    <mergeCell ref="FLU159:FLW159"/>
    <mergeCell ref="FJV159:FJX159"/>
    <mergeCell ref="FJY159:FKA159"/>
    <mergeCell ref="FKB159:FKD159"/>
    <mergeCell ref="FKK159:FKM159"/>
    <mergeCell ref="FKN159:FKP159"/>
    <mergeCell ref="FKQ159:FKS159"/>
    <mergeCell ref="FIR159:FIT159"/>
    <mergeCell ref="FIU159:FIW159"/>
    <mergeCell ref="FIX159:FIZ159"/>
    <mergeCell ref="FJG159:FJI159"/>
    <mergeCell ref="FJJ159:FJL159"/>
    <mergeCell ref="FJM159:FJO159"/>
    <mergeCell ref="FHN159:FHP159"/>
    <mergeCell ref="FHQ159:FHS159"/>
    <mergeCell ref="FHT159:FHV159"/>
    <mergeCell ref="FIC159:FIE159"/>
    <mergeCell ref="FIF159:FIH159"/>
    <mergeCell ref="FII159:FIK159"/>
    <mergeCell ref="FGJ159:FGL159"/>
    <mergeCell ref="FGM159:FGO159"/>
    <mergeCell ref="FGP159:FGR159"/>
    <mergeCell ref="FGY159:FHA159"/>
    <mergeCell ref="FHB159:FHD159"/>
    <mergeCell ref="FHE159:FHG159"/>
    <mergeCell ref="FFF159:FFH159"/>
    <mergeCell ref="FFI159:FFK159"/>
    <mergeCell ref="FFL159:FFN159"/>
    <mergeCell ref="FFU159:FFW159"/>
    <mergeCell ref="FFX159:FFZ159"/>
    <mergeCell ref="FGA159:FGC159"/>
    <mergeCell ref="FEB159:FED159"/>
    <mergeCell ref="FEE159:FEG159"/>
    <mergeCell ref="FEH159:FEJ159"/>
    <mergeCell ref="FEQ159:FES159"/>
    <mergeCell ref="FET159:FEV159"/>
    <mergeCell ref="FEW159:FEY159"/>
    <mergeCell ref="FCX159:FCZ159"/>
    <mergeCell ref="FDA159:FDC159"/>
    <mergeCell ref="FDD159:FDF159"/>
    <mergeCell ref="FDM159:FDO159"/>
    <mergeCell ref="FDP159:FDR159"/>
    <mergeCell ref="FDS159:FDU159"/>
    <mergeCell ref="FBT159:FBV159"/>
    <mergeCell ref="FBW159:FBY159"/>
    <mergeCell ref="FBZ159:FCB159"/>
    <mergeCell ref="FCI159:FCK159"/>
    <mergeCell ref="FCL159:FCN159"/>
    <mergeCell ref="FCO159:FCQ159"/>
    <mergeCell ref="FAP159:FAR159"/>
    <mergeCell ref="FAS159:FAU159"/>
    <mergeCell ref="FAV159:FAX159"/>
    <mergeCell ref="FBE159:FBG159"/>
    <mergeCell ref="FBH159:FBJ159"/>
    <mergeCell ref="FBK159:FBM159"/>
    <mergeCell ref="EZL159:EZN159"/>
    <mergeCell ref="EZO159:EZQ159"/>
    <mergeCell ref="EZR159:EZT159"/>
    <mergeCell ref="FAA159:FAC159"/>
    <mergeCell ref="FAD159:FAF159"/>
    <mergeCell ref="FAG159:FAI159"/>
    <mergeCell ref="EYH159:EYJ159"/>
    <mergeCell ref="EYK159:EYM159"/>
    <mergeCell ref="EYN159:EYP159"/>
    <mergeCell ref="EYW159:EYY159"/>
    <mergeCell ref="EYZ159:EZB159"/>
    <mergeCell ref="EZC159:EZE159"/>
    <mergeCell ref="EXD159:EXF159"/>
    <mergeCell ref="EXG159:EXI159"/>
    <mergeCell ref="EXJ159:EXL159"/>
    <mergeCell ref="EXS159:EXU159"/>
    <mergeCell ref="EXV159:EXX159"/>
    <mergeCell ref="EXY159:EYA159"/>
    <mergeCell ref="EVZ159:EWB159"/>
    <mergeCell ref="EWC159:EWE159"/>
    <mergeCell ref="EWF159:EWH159"/>
    <mergeCell ref="EWO159:EWQ159"/>
    <mergeCell ref="EWR159:EWT159"/>
    <mergeCell ref="EWU159:EWW159"/>
    <mergeCell ref="EUV159:EUX159"/>
    <mergeCell ref="EUY159:EVA159"/>
    <mergeCell ref="EVB159:EVD159"/>
    <mergeCell ref="EVK159:EVM159"/>
    <mergeCell ref="EVN159:EVP159"/>
    <mergeCell ref="EVQ159:EVS159"/>
    <mergeCell ref="ETR159:ETT159"/>
    <mergeCell ref="ETU159:ETW159"/>
    <mergeCell ref="ETX159:ETZ159"/>
    <mergeCell ref="EUG159:EUI159"/>
    <mergeCell ref="EUJ159:EUL159"/>
    <mergeCell ref="EUM159:EUO159"/>
    <mergeCell ref="ESN159:ESP159"/>
    <mergeCell ref="ESQ159:ESS159"/>
    <mergeCell ref="EST159:ESV159"/>
    <mergeCell ref="ETC159:ETE159"/>
    <mergeCell ref="ETF159:ETH159"/>
    <mergeCell ref="ETI159:ETK159"/>
    <mergeCell ref="ERJ159:ERL159"/>
    <mergeCell ref="ERM159:ERO159"/>
    <mergeCell ref="ERP159:ERR159"/>
    <mergeCell ref="ERY159:ESA159"/>
    <mergeCell ref="ESB159:ESD159"/>
    <mergeCell ref="ESE159:ESG159"/>
    <mergeCell ref="EQF159:EQH159"/>
    <mergeCell ref="EQI159:EQK159"/>
    <mergeCell ref="EQL159:EQN159"/>
    <mergeCell ref="EQU159:EQW159"/>
    <mergeCell ref="EQX159:EQZ159"/>
    <mergeCell ref="ERA159:ERC159"/>
    <mergeCell ref="EPB159:EPD159"/>
    <mergeCell ref="EPE159:EPG159"/>
    <mergeCell ref="EPH159:EPJ159"/>
    <mergeCell ref="EPQ159:EPS159"/>
    <mergeCell ref="EPT159:EPV159"/>
    <mergeCell ref="EPW159:EPY159"/>
    <mergeCell ref="ENX159:ENZ159"/>
    <mergeCell ref="EOA159:EOC159"/>
    <mergeCell ref="EOD159:EOF159"/>
    <mergeCell ref="EOM159:EOO159"/>
    <mergeCell ref="EOP159:EOR159"/>
    <mergeCell ref="EOS159:EOU159"/>
    <mergeCell ref="EMT159:EMV159"/>
    <mergeCell ref="EMW159:EMY159"/>
    <mergeCell ref="EMZ159:ENB159"/>
    <mergeCell ref="ENI159:ENK159"/>
    <mergeCell ref="ENL159:ENN159"/>
    <mergeCell ref="ENO159:ENQ159"/>
    <mergeCell ref="ELP159:ELR159"/>
    <mergeCell ref="ELS159:ELU159"/>
    <mergeCell ref="ELV159:ELX159"/>
    <mergeCell ref="EME159:EMG159"/>
    <mergeCell ref="EMH159:EMJ159"/>
    <mergeCell ref="EMK159:EMM159"/>
    <mergeCell ref="EKL159:EKN159"/>
    <mergeCell ref="EKO159:EKQ159"/>
    <mergeCell ref="EKR159:EKT159"/>
    <mergeCell ref="ELA159:ELC159"/>
    <mergeCell ref="ELD159:ELF159"/>
    <mergeCell ref="ELG159:ELI159"/>
    <mergeCell ref="EJH159:EJJ159"/>
    <mergeCell ref="EJK159:EJM159"/>
    <mergeCell ref="EJN159:EJP159"/>
    <mergeCell ref="EJW159:EJY159"/>
    <mergeCell ref="EJZ159:EKB159"/>
    <mergeCell ref="EKC159:EKE159"/>
    <mergeCell ref="EID159:EIF159"/>
    <mergeCell ref="EIG159:EII159"/>
    <mergeCell ref="EIJ159:EIL159"/>
    <mergeCell ref="EIS159:EIU159"/>
    <mergeCell ref="EIV159:EIX159"/>
    <mergeCell ref="EIY159:EJA159"/>
    <mergeCell ref="EGZ159:EHB159"/>
    <mergeCell ref="EHC159:EHE159"/>
    <mergeCell ref="EHF159:EHH159"/>
    <mergeCell ref="EHO159:EHQ159"/>
    <mergeCell ref="EHR159:EHT159"/>
    <mergeCell ref="EHU159:EHW159"/>
    <mergeCell ref="EFV159:EFX159"/>
    <mergeCell ref="EFY159:EGA159"/>
    <mergeCell ref="EGB159:EGD159"/>
    <mergeCell ref="EGK159:EGM159"/>
    <mergeCell ref="EGN159:EGP159"/>
    <mergeCell ref="EGQ159:EGS159"/>
    <mergeCell ref="EER159:EET159"/>
    <mergeCell ref="EEU159:EEW159"/>
    <mergeCell ref="EEX159:EEZ159"/>
    <mergeCell ref="EFG159:EFI159"/>
    <mergeCell ref="EFJ159:EFL159"/>
    <mergeCell ref="EFM159:EFO159"/>
    <mergeCell ref="EDN159:EDP159"/>
    <mergeCell ref="EDQ159:EDS159"/>
    <mergeCell ref="EDT159:EDV159"/>
    <mergeCell ref="EEC159:EEE159"/>
    <mergeCell ref="EEF159:EEH159"/>
    <mergeCell ref="EEI159:EEK159"/>
    <mergeCell ref="ECJ159:ECL159"/>
    <mergeCell ref="ECM159:ECO159"/>
    <mergeCell ref="ECP159:ECR159"/>
    <mergeCell ref="ECY159:EDA159"/>
    <mergeCell ref="EDB159:EDD159"/>
    <mergeCell ref="EDE159:EDG159"/>
    <mergeCell ref="EBF159:EBH159"/>
    <mergeCell ref="EBI159:EBK159"/>
    <mergeCell ref="EBL159:EBN159"/>
    <mergeCell ref="EBU159:EBW159"/>
    <mergeCell ref="EBX159:EBZ159"/>
    <mergeCell ref="ECA159:ECC159"/>
    <mergeCell ref="EAB159:EAD159"/>
    <mergeCell ref="EAE159:EAG159"/>
    <mergeCell ref="EAH159:EAJ159"/>
    <mergeCell ref="EAQ159:EAS159"/>
    <mergeCell ref="EAT159:EAV159"/>
    <mergeCell ref="EAW159:EAY159"/>
    <mergeCell ref="DYX159:DYZ159"/>
    <mergeCell ref="DZA159:DZC159"/>
    <mergeCell ref="DZD159:DZF159"/>
    <mergeCell ref="DZM159:DZO159"/>
    <mergeCell ref="DZP159:DZR159"/>
    <mergeCell ref="DZS159:DZU159"/>
    <mergeCell ref="DXT159:DXV159"/>
    <mergeCell ref="DXW159:DXY159"/>
    <mergeCell ref="DXZ159:DYB159"/>
    <mergeCell ref="DYI159:DYK159"/>
    <mergeCell ref="DYL159:DYN159"/>
    <mergeCell ref="DYO159:DYQ159"/>
    <mergeCell ref="DWP159:DWR159"/>
    <mergeCell ref="DWS159:DWU159"/>
    <mergeCell ref="DWV159:DWX159"/>
    <mergeCell ref="DXE159:DXG159"/>
    <mergeCell ref="DXH159:DXJ159"/>
    <mergeCell ref="DXK159:DXM159"/>
    <mergeCell ref="DVL159:DVN159"/>
    <mergeCell ref="DVO159:DVQ159"/>
    <mergeCell ref="DVR159:DVT159"/>
    <mergeCell ref="DWA159:DWC159"/>
    <mergeCell ref="DWD159:DWF159"/>
    <mergeCell ref="DWG159:DWI159"/>
    <mergeCell ref="DUH159:DUJ159"/>
    <mergeCell ref="DUK159:DUM159"/>
    <mergeCell ref="DUN159:DUP159"/>
    <mergeCell ref="DUW159:DUY159"/>
    <mergeCell ref="DUZ159:DVB159"/>
    <mergeCell ref="DVC159:DVE159"/>
    <mergeCell ref="DTD159:DTF159"/>
    <mergeCell ref="DTG159:DTI159"/>
    <mergeCell ref="DTJ159:DTL159"/>
    <mergeCell ref="DTS159:DTU159"/>
    <mergeCell ref="DTV159:DTX159"/>
    <mergeCell ref="DTY159:DUA159"/>
    <mergeCell ref="DRZ159:DSB159"/>
    <mergeCell ref="DSC159:DSE159"/>
    <mergeCell ref="DSF159:DSH159"/>
    <mergeCell ref="DSO159:DSQ159"/>
    <mergeCell ref="DSR159:DST159"/>
    <mergeCell ref="DSU159:DSW159"/>
    <mergeCell ref="DQV159:DQX159"/>
    <mergeCell ref="DQY159:DRA159"/>
    <mergeCell ref="DRB159:DRD159"/>
    <mergeCell ref="DRK159:DRM159"/>
    <mergeCell ref="DRN159:DRP159"/>
    <mergeCell ref="DRQ159:DRS159"/>
    <mergeCell ref="DPR159:DPT159"/>
    <mergeCell ref="DPU159:DPW159"/>
    <mergeCell ref="DPX159:DPZ159"/>
    <mergeCell ref="DQG159:DQI159"/>
    <mergeCell ref="DQJ159:DQL159"/>
    <mergeCell ref="DQM159:DQO159"/>
    <mergeCell ref="DON159:DOP159"/>
    <mergeCell ref="DOQ159:DOS159"/>
    <mergeCell ref="DOT159:DOV159"/>
    <mergeCell ref="DPC159:DPE159"/>
    <mergeCell ref="DPF159:DPH159"/>
    <mergeCell ref="DPI159:DPK159"/>
    <mergeCell ref="DNJ159:DNL159"/>
    <mergeCell ref="DNM159:DNO159"/>
    <mergeCell ref="DNP159:DNR159"/>
    <mergeCell ref="DNY159:DOA159"/>
    <mergeCell ref="DOB159:DOD159"/>
    <mergeCell ref="DOE159:DOG159"/>
    <mergeCell ref="DMF159:DMH159"/>
    <mergeCell ref="DMI159:DMK159"/>
    <mergeCell ref="DML159:DMN159"/>
    <mergeCell ref="DMU159:DMW159"/>
    <mergeCell ref="DMX159:DMZ159"/>
    <mergeCell ref="DNA159:DNC159"/>
    <mergeCell ref="DLB159:DLD159"/>
    <mergeCell ref="DLE159:DLG159"/>
    <mergeCell ref="DLH159:DLJ159"/>
    <mergeCell ref="DLQ159:DLS159"/>
    <mergeCell ref="DLT159:DLV159"/>
    <mergeCell ref="DLW159:DLY159"/>
    <mergeCell ref="DJX159:DJZ159"/>
    <mergeCell ref="DKA159:DKC159"/>
    <mergeCell ref="DKD159:DKF159"/>
    <mergeCell ref="DKM159:DKO159"/>
    <mergeCell ref="DKP159:DKR159"/>
    <mergeCell ref="DKS159:DKU159"/>
    <mergeCell ref="DIT159:DIV159"/>
    <mergeCell ref="DIW159:DIY159"/>
    <mergeCell ref="DIZ159:DJB159"/>
    <mergeCell ref="DJI159:DJK159"/>
    <mergeCell ref="DJL159:DJN159"/>
    <mergeCell ref="DJO159:DJQ159"/>
    <mergeCell ref="DHP159:DHR159"/>
    <mergeCell ref="DHS159:DHU159"/>
    <mergeCell ref="DHV159:DHX159"/>
    <mergeCell ref="DIE159:DIG159"/>
    <mergeCell ref="DIH159:DIJ159"/>
    <mergeCell ref="DIK159:DIM159"/>
    <mergeCell ref="DGL159:DGN159"/>
    <mergeCell ref="DGO159:DGQ159"/>
    <mergeCell ref="DGR159:DGT159"/>
    <mergeCell ref="DHA159:DHC159"/>
    <mergeCell ref="DHD159:DHF159"/>
    <mergeCell ref="DHG159:DHI159"/>
    <mergeCell ref="DFH159:DFJ159"/>
    <mergeCell ref="DFK159:DFM159"/>
    <mergeCell ref="DFN159:DFP159"/>
    <mergeCell ref="DFW159:DFY159"/>
    <mergeCell ref="DFZ159:DGB159"/>
    <mergeCell ref="DGC159:DGE159"/>
    <mergeCell ref="DED159:DEF159"/>
    <mergeCell ref="DEG159:DEI159"/>
    <mergeCell ref="DEJ159:DEL159"/>
    <mergeCell ref="DES159:DEU159"/>
    <mergeCell ref="DEV159:DEX159"/>
    <mergeCell ref="DEY159:DFA159"/>
    <mergeCell ref="DCZ159:DDB159"/>
    <mergeCell ref="DDC159:DDE159"/>
    <mergeCell ref="DDF159:DDH159"/>
    <mergeCell ref="DDO159:DDQ159"/>
    <mergeCell ref="DDR159:DDT159"/>
    <mergeCell ref="DDU159:DDW159"/>
    <mergeCell ref="DBV159:DBX159"/>
    <mergeCell ref="DBY159:DCA159"/>
    <mergeCell ref="DCB159:DCD159"/>
    <mergeCell ref="DCK159:DCM159"/>
    <mergeCell ref="DCN159:DCP159"/>
    <mergeCell ref="DCQ159:DCS159"/>
    <mergeCell ref="DAR159:DAT159"/>
    <mergeCell ref="DAU159:DAW159"/>
    <mergeCell ref="DAX159:DAZ159"/>
    <mergeCell ref="DBG159:DBI159"/>
    <mergeCell ref="DBJ159:DBL159"/>
    <mergeCell ref="DBM159:DBO159"/>
    <mergeCell ref="CZN159:CZP159"/>
    <mergeCell ref="CZQ159:CZS159"/>
    <mergeCell ref="CZT159:CZV159"/>
    <mergeCell ref="DAC159:DAE159"/>
    <mergeCell ref="DAF159:DAH159"/>
    <mergeCell ref="DAI159:DAK159"/>
    <mergeCell ref="CYJ159:CYL159"/>
    <mergeCell ref="CYM159:CYO159"/>
    <mergeCell ref="CYP159:CYR159"/>
    <mergeCell ref="CYY159:CZA159"/>
    <mergeCell ref="CZB159:CZD159"/>
    <mergeCell ref="CZE159:CZG159"/>
    <mergeCell ref="CXF159:CXH159"/>
    <mergeCell ref="CXI159:CXK159"/>
    <mergeCell ref="CXL159:CXN159"/>
    <mergeCell ref="CXU159:CXW159"/>
    <mergeCell ref="CXX159:CXZ159"/>
    <mergeCell ref="CYA159:CYC159"/>
    <mergeCell ref="CWB159:CWD159"/>
    <mergeCell ref="CWE159:CWG159"/>
    <mergeCell ref="CWH159:CWJ159"/>
    <mergeCell ref="CWQ159:CWS159"/>
    <mergeCell ref="CWT159:CWV159"/>
    <mergeCell ref="CWW159:CWY159"/>
    <mergeCell ref="CUX159:CUZ159"/>
    <mergeCell ref="CVA159:CVC159"/>
    <mergeCell ref="CVD159:CVF159"/>
    <mergeCell ref="CVM159:CVO159"/>
    <mergeCell ref="CVP159:CVR159"/>
    <mergeCell ref="CVS159:CVU159"/>
    <mergeCell ref="CTT159:CTV159"/>
    <mergeCell ref="CTW159:CTY159"/>
    <mergeCell ref="CTZ159:CUB159"/>
    <mergeCell ref="CUI159:CUK159"/>
    <mergeCell ref="CUL159:CUN159"/>
    <mergeCell ref="CUO159:CUQ159"/>
    <mergeCell ref="CSP159:CSR159"/>
    <mergeCell ref="CSS159:CSU159"/>
    <mergeCell ref="CSV159:CSX159"/>
    <mergeCell ref="CTE159:CTG159"/>
    <mergeCell ref="CTH159:CTJ159"/>
    <mergeCell ref="CTK159:CTM159"/>
    <mergeCell ref="CRL159:CRN159"/>
    <mergeCell ref="CRO159:CRQ159"/>
    <mergeCell ref="CRR159:CRT159"/>
    <mergeCell ref="CSA159:CSC159"/>
    <mergeCell ref="CSD159:CSF159"/>
    <mergeCell ref="CSG159:CSI159"/>
    <mergeCell ref="CQH159:CQJ159"/>
    <mergeCell ref="CQK159:CQM159"/>
    <mergeCell ref="CQN159:CQP159"/>
    <mergeCell ref="CQW159:CQY159"/>
    <mergeCell ref="CQZ159:CRB159"/>
    <mergeCell ref="CRC159:CRE159"/>
    <mergeCell ref="CPD159:CPF159"/>
    <mergeCell ref="CPG159:CPI159"/>
    <mergeCell ref="CPJ159:CPL159"/>
    <mergeCell ref="CPS159:CPU159"/>
    <mergeCell ref="CPV159:CPX159"/>
    <mergeCell ref="CPY159:CQA159"/>
    <mergeCell ref="CNZ159:COB159"/>
    <mergeCell ref="COC159:COE159"/>
    <mergeCell ref="COF159:COH159"/>
    <mergeCell ref="COO159:COQ159"/>
    <mergeCell ref="COR159:COT159"/>
    <mergeCell ref="COU159:COW159"/>
    <mergeCell ref="CMV159:CMX159"/>
    <mergeCell ref="CMY159:CNA159"/>
    <mergeCell ref="CNB159:CND159"/>
    <mergeCell ref="CNK159:CNM159"/>
    <mergeCell ref="CNN159:CNP159"/>
    <mergeCell ref="CNQ159:CNS159"/>
    <mergeCell ref="CLR159:CLT159"/>
    <mergeCell ref="CLU159:CLW159"/>
    <mergeCell ref="CLX159:CLZ159"/>
    <mergeCell ref="CMG159:CMI159"/>
    <mergeCell ref="CMJ159:CML159"/>
    <mergeCell ref="CMM159:CMO159"/>
    <mergeCell ref="CKN159:CKP159"/>
    <mergeCell ref="CKQ159:CKS159"/>
    <mergeCell ref="CKT159:CKV159"/>
    <mergeCell ref="CLC159:CLE159"/>
    <mergeCell ref="CLF159:CLH159"/>
    <mergeCell ref="CLI159:CLK159"/>
    <mergeCell ref="CJJ159:CJL159"/>
    <mergeCell ref="CJM159:CJO159"/>
    <mergeCell ref="CJP159:CJR159"/>
    <mergeCell ref="CJY159:CKA159"/>
    <mergeCell ref="CKB159:CKD159"/>
    <mergeCell ref="CKE159:CKG159"/>
    <mergeCell ref="CIF159:CIH159"/>
    <mergeCell ref="CII159:CIK159"/>
    <mergeCell ref="CIL159:CIN159"/>
    <mergeCell ref="CIU159:CIW159"/>
    <mergeCell ref="CIX159:CIZ159"/>
    <mergeCell ref="CJA159:CJC159"/>
    <mergeCell ref="CHB159:CHD159"/>
    <mergeCell ref="CHE159:CHG159"/>
    <mergeCell ref="CHH159:CHJ159"/>
    <mergeCell ref="CHQ159:CHS159"/>
    <mergeCell ref="CHT159:CHV159"/>
    <mergeCell ref="CHW159:CHY159"/>
    <mergeCell ref="CFX159:CFZ159"/>
    <mergeCell ref="CGA159:CGC159"/>
    <mergeCell ref="CGD159:CGF159"/>
    <mergeCell ref="CGM159:CGO159"/>
    <mergeCell ref="CGP159:CGR159"/>
    <mergeCell ref="CGS159:CGU159"/>
    <mergeCell ref="CET159:CEV159"/>
    <mergeCell ref="CEW159:CEY159"/>
    <mergeCell ref="CEZ159:CFB159"/>
    <mergeCell ref="CFI159:CFK159"/>
    <mergeCell ref="CFL159:CFN159"/>
    <mergeCell ref="CFO159:CFQ159"/>
    <mergeCell ref="CDP159:CDR159"/>
    <mergeCell ref="CDS159:CDU159"/>
    <mergeCell ref="CDV159:CDX159"/>
    <mergeCell ref="CEE159:CEG159"/>
    <mergeCell ref="CEH159:CEJ159"/>
    <mergeCell ref="CEK159:CEM159"/>
    <mergeCell ref="CCL159:CCN159"/>
    <mergeCell ref="CCO159:CCQ159"/>
    <mergeCell ref="CCR159:CCT159"/>
    <mergeCell ref="CDA159:CDC159"/>
    <mergeCell ref="CDD159:CDF159"/>
    <mergeCell ref="CDG159:CDI159"/>
    <mergeCell ref="CBH159:CBJ159"/>
    <mergeCell ref="CBK159:CBM159"/>
    <mergeCell ref="CBN159:CBP159"/>
    <mergeCell ref="CBW159:CBY159"/>
    <mergeCell ref="CBZ159:CCB159"/>
    <mergeCell ref="CCC159:CCE159"/>
    <mergeCell ref="CAD159:CAF159"/>
    <mergeCell ref="CAG159:CAI159"/>
    <mergeCell ref="CAJ159:CAL159"/>
    <mergeCell ref="CAS159:CAU159"/>
    <mergeCell ref="CAV159:CAX159"/>
    <mergeCell ref="CAY159:CBA159"/>
    <mergeCell ref="BYZ159:BZB159"/>
    <mergeCell ref="BZC159:BZE159"/>
    <mergeCell ref="BZF159:BZH159"/>
    <mergeCell ref="BZO159:BZQ159"/>
    <mergeCell ref="BZR159:BZT159"/>
    <mergeCell ref="BZU159:BZW159"/>
    <mergeCell ref="BXV159:BXX159"/>
    <mergeCell ref="BXY159:BYA159"/>
    <mergeCell ref="BYB159:BYD159"/>
    <mergeCell ref="BYK159:BYM159"/>
    <mergeCell ref="BYN159:BYP159"/>
    <mergeCell ref="BYQ159:BYS159"/>
    <mergeCell ref="BWR159:BWT159"/>
    <mergeCell ref="BWU159:BWW159"/>
    <mergeCell ref="BWX159:BWZ159"/>
    <mergeCell ref="BXG159:BXI159"/>
    <mergeCell ref="BXJ159:BXL159"/>
    <mergeCell ref="BXM159:BXO159"/>
    <mergeCell ref="BVN159:BVP159"/>
    <mergeCell ref="BVQ159:BVS159"/>
    <mergeCell ref="BVT159:BVV159"/>
    <mergeCell ref="BWC159:BWE159"/>
    <mergeCell ref="BWF159:BWH159"/>
    <mergeCell ref="BWI159:BWK159"/>
    <mergeCell ref="BUJ159:BUL159"/>
    <mergeCell ref="BUM159:BUO159"/>
    <mergeCell ref="BUP159:BUR159"/>
    <mergeCell ref="BUY159:BVA159"/>
    <mergeCell ref="BVB159:BVD159"/>
    <mergeCell ref="BVE159:BVG159"/>
    <mergeCell ref="BTF159:BTH159"/>
    <mergeCell ref="BTI159:BTK159"/>
    <mergeCell ref="BTL159:BTN159"/>
    <mergeCell ref="BTU159:BTW159"/>
    <mergeCell ref="BTX159:BTZ159"/>
    <mergeCell ref="BUA159:BUC159"/>
    <mergeCell ref="BSB159:BSD159"/>
    <mergeCell ref="BSE159:BSG159"/>
    <mergeCell ref="BSH159:BSJ159"/>
    <mergeCell ref="BSQ159:BSS159"/>
    <mergeCell ref="BST159:BSV159"/>
    <mergeCell ref="BSW159:BSY159"/>
    <mergeCell ref="BQX159:BQZ159"/>
    <mergeCell ref="BRA159:BRC159"/>
    <mergeCell ref="BRD159:BRF159"/>
    <mergeCell ref="BRM159:BRO159"/>
    <mergeCell ref="BRP159:BRR159"/>
    <mergeCell ref="BRS159:BRU159"/>
    <mergeCell ref="BPT159:BPV159"/>
    <mergeCell ref="BPW159:BPY159"/>
    <mergeCell ref="BPZ159:BQB159"/>
    <mergeCell ref="BQI159:BQK159"/>
    <mergeCell ref="BQL159:BQN159"/>
    <mergeCell ref="BQO159:BQQ159"/>
    <mergeCell ref="BOP159:BOR159"/>
    <mergeCell ref="BOS159:BOU159"/>
    <mergeCell ref="BOV159:BOX159"/>
    <mergeCell ref="BPE159:BPG159"/>
    <mergeCell ref="BPH159:BPJ159"/>
    <mergeCell ref="BPK159:BPM159"/>
    <mergeCell ref="BNL159:BNN159"/>
    <mergeCell ref="BNO159:BNQ159"/>
    <mergeCell ref="BNR159:BNT159"/>
    <mergeCell ref="BOA159:BOC159"/>
    <mergeCell ref="BOD159:BOF159"/>
    <mergeCell ref="BOG159:BOI159"/>
    <mergeCell ref="BMH159:BMJ159"/>
    <mergeCell ref="BMK159:BMM159"/>
    <mergeCell ref="BMN159:BMP159"/>
    <mergeCell ref="BMW159:BMY159"/>
    <mergeCell ref="BMZ159:BNB159"/>
    <mergeCell ref="BNC159:BNE159"/>
    <mergeCell ref="BLD159:BLF159"/>
    <mergeCell ref="BLG159:BLI159"/>
    <mergeCell ref="BLJ159:BLL159"/>
    <mergeCell ref="BLS159:BLU159"/>
    <mergeCell ref="BLV159:BLX159"/>
    <mergeCell ref="BLY159:BMA159"/>
    <mergeCell ref="BJZ159:BKB159"/>
    <mergeCell ref="BKC159:BKE159"/>
    <mergeCell ref="BKF159:BKH159"/>
    <mergeCell ref="BKO159:BKQ159"/>
    <mergeCell ref="BKR159:BKT159"/>
    <mergeCell ref="BKU159:BKW159"/>
    <mergeCell ref="BIV159:BIX159"/>
    <mergeCell ref="BIY159:BJA159"/>
    <mergeCell ref="BJB159:BJD159"/>
    <mergeCell ref="BJK159:BJM159"/>
    <mergeCell ref="BJN159:BJP159"/>
    <mergeCell ref="BJQ159:BJS159"/>
    <mergeCell ref="BHR159:BHT159"/>
    <mergeCell ref="BHU159:BHW159"/>
    <mergeCell ref="BHX159:BHZ159"/>
    <mergeCell ref="BIG159:BII159"/>
    <mergeCell ref="BIJ159:BIL159"/>
    <mergeCell ref="BIM159:BIO159"/>
    <mergeCell ref="BGN159:BGP159"/>
    <mergeCell ref="BGQ159:BGS159"/>
    <mergeCell ref="BGT159:BGV159"/>
    <mergeCell ref="BHC159:BHE159"/>
    <mergeCell ref="BHF159:BHH159"/>
    <mergeCell ref="BHI159:BHK159"/>
    <mergeCell ref="BFJ159:BFL159"/>
    <mergeCell ref="BFM159:BFO159"/>
    <mergeCell ref="BFP159:BFR159"/>
    <mergeCell ref="BFY159:BGA159"/>
    <mergeCell ref="BGB159:BGD159"/>
    <mergeCell ref="BGE159:BGG159"/>
    <mergeCell ref="BEF159:BEH159"/>
    <mergeCell ref="BEI159:BEK159"/>
    <mergeCell ref="BEL159:BEN159"/>
    <mergeCell ref="BEU159:BEW159"/>
    <mergeCell ref="BEX159:BEZ159"/>
    <mergeCell ref="BFA159:BFC159"/>
    <mergeCell ref="BDB159:BDD159"/>
    <mergeCell ref="BDE159:BDG159"/>
    <mergeCell ref="BDH159:BDJ159"/>
    <mergeCell ref="BDQ159:BDS159"/>
    <mergeCell ref="BDT159:BDV159"/>
    <mergeCell ref="BDW159:BDY159"/>
    <mergeCell ref="BBX159:BBZ159"/>
    <mergeCell ref="BCA159:BCC159"/>
    <mergeCell ref="BCD159:BCF159"/>
    <mergeCell ref="BCM159:BCO159"/>
    <mergeCell ref="BCP159:BCR159"/>
    <mergeCell ref="BCS159:BCU159"/>
    <mergeCell ref="BAT159:BAV159"/>
    <mergeCell ref="BAW159:BAY159"/>
    <mergeCell ref="BAZ159:BBB159"/>
    <mergeCell ref="BBI159:BBK159"/>
    <mergeCell ref="BBL159:BBN159"/>
    <mergeCell ref="BBO159:BBQ159"/>
    <mergeCell ref="AZP159:AZR159"/>
    <mergeCell ref="AZS159:AZU159"/>
    <mergeCell ref="AZV159:AZX159"/>
    <mergeCell ref="BAE159:BAG159"/>
    <mergeCell ref="BAH159:BAJ159"/>
    <mergeCell ref="BAK159:BAM159"/>
    <mergeCell ref="AYL159:AYN159"/>
    <mergeCell ref="AYO159:AYQ159"/>
    <mergeCell ref="AYR159:AYT159"/>
    <mergeCell ref="AZA159:AZC159"/>
    <mergeCell ref="AZD159:AZF159"/>
    <mergeCell ref="AZG159:AZI159"/>
    <mergeCell ref="AXH159:AXJ159"/>
    <mergeCell ref="AXK159:AXM159"/>
    <mergeCell ref="AXN159:AXP159"/>
    <mergeCell ref="AXW159:AXY159"/>
    <mergeCell ref="AXZ159:AYB159"/>
    <mergeCell ref="AYC159:AYE159"/>
    <mergeCell ref="AWD159:AWF159"/>
    <mergeCell ref="AWG159:AWI159"/>
    <mergeCell ref="AWJ159:AWL159"/>
    <mergeCell ref="AWS159:AWU159"/>
    <mergeCell ref="AWV159:AWX159"/>
    <mergeCell ref="AWY159:AXA159"/>
    <mergeCell ref="AUZ159:AVB159"/>
    <mergeCell ref="AVC159:AVE159"/>
    <mergeCell ref="AVF159:AVH159"/>
    <mergeCell ref="AVO159:AVQ159"/>
    <mergeCell ref="AVR159:AVT159"/>
    <mergeCell ref="AVU159:AVW159"/>
    <mergeCell ref="ATV159:ATX159"/>
    <mergeCell ref="ATY159:AUA159"/>
    <mergeCell ref="AUB159:AUD159"/>
    <mergeCell ref="AUK159:AUM159"/>
    <mergeCell ref="AUN159:AUP159"/>
    <mergeCell ref="AUQ159:AUS159"/>
    <mergeCell ref="ASR159:AST159"/>
    <mergeCell ref="ASU159:ASW159"/>
    <mergeCell ref="ASX159:ASZ159"/>
    <mergeCell ref="ATG159:ATI159"/>
    <mergeCell ref="ATJ159:ATL159"/>
    <mergeCell ref="ATM159:ATO159"/>
    <mergeCell ref="ARN159:ARP159"/>
    <mergeCell ref="ARQ159:ARS159"/>
    <mergeCell ref="ART159:ARV159"/>
    <mergeCell ref="ASC159:ASE159"/>
    <mergeCell ref="ASF159:ASH159"/>
    <mergeCell ref="ASI159:ASK159"/>
    <mergeCell ref="AQJ159:AQL159"/>
    <mergeCell ref="AQM159:AQO159"/>
    <mergeCell ref="AQP159:AQR159"/>
    <mergeCell ref="AQY159:ARA159"/>
    <mergeCell ref="ARB159:ARD159"/>
    <mergeCell ref="ARE159:ARG159"/>
    <mergeCell ref="APF159:APH159"/>
    <mergeCell ref="API159:APK159"/>
    <mergeCell ref="APL159:APN159"/>
    <mergeCell ref="APU159:APW159"/>
    <mergeCell ref="APX159:APZ159"/>
    <mergeCell ref="AQA159:AQC159"/>
    <mergeCell ref="AOB159:AOD159"/>
    <mergeCell ref="AOE159:AOG159"/>
    <mergeCell ref="AOH159:AOJ159"/>
    <mergeCell ref="AOQ159:AOS159"/>
    <mergeCell ref="AOT159:AOV159"/>
    <mergeCell ref="AOW159:AOY159"/>
    <mergeCell ref="AMX159:AMZ159"/>
    <mergeCell ref="ANA159:ANC159"/>
    <mergeCell ref="AND159:ANF159"/>
    <mergeCell ref="ANM159:ANO159"/>
    <mergeCell ref="ANP159:ANR159"/>
    <mergeCell ref="ANS159:ANU159"/>
    <mergeCell ref="ALT159:ALV159"/>
    <mergeCell ref="ALW159:ALY159"/>
    <mergeCell ref="ALZ159:AMB159"/>
    <mergeCell ref="AMI159:AMK159"/>
    <mergeCell ref="AML159:AMN159"/>
    <mergeCell ref="AMO159:AMQ159"/>
    <mergeCell ref="AKP159:AKR159"/>
    <mergeCell ref="AKS159:AKU159"/>
    <mergeCell ref="AKV159:AKX159"/>
    <mergeCell ref="ALE159:ALG159"/>
    <mergeCell ref="ALH159:ALJ159"/>
    <mergeCell ref="ALK159:ALM159"/>
    <mergeCell ref="AJL159:AJN159"/>
    <mergeCell ref="AJO159:AJQ159"/>
    <mergeCell ref="AJR159:AJT159"/>
    <mergeCell ref="AKA159:AKC159"/>
    <mergeCell ref="AKD159:AKF159"/>
    <mergeCell ref="AKG159:AKI159"/>
    <mergeCell ref="AIH159:AIJ159"/>
    <mergeCell ref="AIK159:AIM159"/>
    <mergeCell ref="AIN159:AIP159"/>
    <mergeCell ref="AIW159:AIY159"/>
    <mergeCell ref="AIZ159:AJB159"/>
    <mergeCell ref="AJC159:AJE159"/>
    <mergeCell ref="AHD159:AHF159"/>
    <mergeCell ref="AHG159:AHI159"/>
    <mergeCell ref="AHJ159:AHL159"/>
    <mergeCell ref="AHS159:AHU159"/>
    <mergeCell ref="AHV159:AHX159"/>
    <mergeCell ref="AHY159:AIA159"/>
    <mergeCell ref="AFZ159:AGB159"/>
    <mergeCell ref="AGC159:AGE159"/>
    <mergeCell ref="AGF159:AGH159"/>
    <mergeCell ref="AGO159:AGQ159"/>
    <mergeCell ref="AGR159:AGT159"/>
    <mergeCell ref="AGU159:AGW159"/>
    <mergeCell ref="AEV159:AEX159"/>
    <mergeCell ref="AEY159:AFA159"/>
    <mergeCell ref="AFB159:AFD159"/>
    <mergeCell ref="AFK159:AFM159"/>
    <mergeCell ref="AFN159:AFP159"/>
    <mergeCell ref="AFQ159:AFS159"/>
    <mergeCell ref="ADR159:ADT159"/>
    <mergeCell ref="ADU159:ADW159"/>
    <mergeCell ref="ADX159:ADZ159"/>
    <mergeCell ref="AEG159:AEI159"/>
    <mergeCell ref="AEJ159:AEL159"/>
    <mergeCell ref="AEM159:AEO159"/>
    <mergeCell ref="ACN159:ACP159"/>
    <mergeCell ref="ACQ159:ACS159"/>
    <mergeCell ref="ACT159:ACV159"/>
    <mergeCell ref="ADC159:ADE159"/>
    <mergeCell ref="ADF159:ADH159"/>
    <mergeCell ref="ADI159:ADK159"/>
    <mergeCell ref="ABJ159:ABL159"/>
    <mergeCell ref="ABM159:ABO159"/>
    <mergeCell ref="ABP159:ABR159"/>
    <mergeCell ref="ABY159:ACA159"/>
    <mergeCell ref="ACB159:ACD159"/>
    <mergeCell ref="ACE159:ACG159"/>
    <mergeCell ref="AAF159:AAH159"/>
    <mergeCell ref="AAI159:AAK159"/>
    <mergeCell ref="AAL159:AAN159"/>
    <mergeCell ref="AAU159:AAW159"/>
    <mergeCell ref="AAX159:AAZ159"/>
    <mergeCell ref="ABA159:ABC159"/>
    <mergeCell ref="ZB159:ZD159"/>
    <mergeCell ref="ZE159:ZG159"/>
    <mergeCell ref="ZH159:ZJ159"/>
    <mergeCell ref="ZQ159:ZS159"/>
    <mergeCell ref="ZT159:ZV159"/>
    <mergeCell ref="ZW159:ZY159"/>
    <mergeCell ref="XX159:XZ159"/>
    <mergeCell ref="YA159:YC159"/>
    <mergeCell ref="YD159:YF159"/>
    <mergeCell ref="YM159:YO159"/>
    <mergeCell ref="YP159:YR159"/>
    <mergeCell ref="YS159:YU159"/>
    <mergeCell ref="WT159:WV159"/>
    <mergeCell ref="WW159:WY159"/>
    <mergeCell ref="WZ159:XB159"/>
    <mergeCell ref="XI159:XK159"/>
    <mergeCell ref="XL159:XN159"/>
    <mergeCell ref="XO159:XQ159"/>
    <mergeCell ref="VP159:VR159"/>
    <mergeCell ref="VS159:VU159"/>
    <mergeCell ref="VV159:VX159"/>
    <mergeCell ref="WE159:WG159"/>
    <mergeCell ref="WH159:WJ159"/>
    <mergeCell ref="WK159:WM159"/>
    <mergeCell ref="UL159:UN159"/>
    <mergeCell ref="UO159:UQ159"/>
    <mergeCell ref="UR159:UT159"/>
    <mergeCell ref="VA159:VC159"/>
    <mergeCell ref="VD159:VF159"/>
    <mergeCell ref="VG159:VI159"/>
    <mergeCell ref="TH159:TJ159"/>
    <mergeCell ref="TK159:TM159"/>
    <mergeCell ref="TN159:TP159"/>
    <mergeCell ref="TW159:TY159"/>
    <mergeCell ref="TZ159:UB159"/>
    <mergeCell ref="UC159:UE159"/>
    <mergeCell ref="SD159:SF159"/>
    <mergeCell ref="SG159:SI159"/>
    <mergeCell ref="SJ159:SL159"/>
    <mergeCell ref="SS159:SU159"/>
    <mergeCell ref="SV159:SX159"/>
    <mergeCell ref="SY159:TA159"/>
    <mergeCell ref="QZ159:RB159"/>
    <mergeCell ref="RC159:RE159"/>
    <mergeCell ref="RF159:RH159"/>
    <mergeCell ref="RO159:RQ159"/>
    <mergeCell ref="RR159:RT159"/>
    <mergeCell ref="RU159:RW159"/>
    <mergeCell ref="PV159:PX159"/>
    <mergeCell ref="PY159:QA159"/>
    <mergeCell ref="QB159:QD159"/>
    <mergeCell ref="QK159:QM159"/>
    <mergeCell ref="QN159:QP159"/>
    <mergeCell ref="QQ159:QS159"/>
    <mergeCell ref="OR159:OT159"/>
    <mergeCell ref="OU159:OW159"/>
    <mergeCell ref="OX159:OZ159"/>
    <mergeCell ref="PG159:PI159"/>
    <mergeCell ref="PJ159:PL159"/>
    <mergeCell ref="PM159:PO159"/>
    <mergeCell ref="NN159:NP159"/>
    <mergeCell ref="NQ159:NS159"/>
    <mergeCell ref="NT159:NV159"/>
    <mergeCell ref="OC159:OE159"/>
    <mergeCell ref="OF159:OH159"/>
    <mergeCell ref="OI159:OK159"/>
    <mergeCell ref="MJF158:MJH158"/>
    <mergeCell ref="MJO158:MJQ158"/>
    <mergeCell ref="MJR158:MJT158"/>
    <mergeCell ref="MJU158:MJW158"/>
    <mergeCell ref="MKD158:MKF158"/>
    <mergeCell ref="C159:E159"/>
    <mergeCell ref="F159:H159"/>
    <mergeCell ref="I159:K159"/>
    <mergeCell ref="NB159:ND159"/>
    <mergeCell ref="NE159:NG159"/>
    <mergeCell ref="MIB158:MID158"/>
    <mergeCell ref="MIK158:MIM158"/>
    <mergeCell ref="MIN158:MIP158"/>
    <mergeCell ref="MIQ158:MIS158"/>
    <mergeCell ref="MIZ158:MJB158"/>
    <mergeCell ref="MJC158:MJE158"/>
    <mergeCell ref="MGX158:MGZ158"/>
    <mergeCell ref="MHG158:MHI158"/>
    <mergeCell ref="MHJ158:MHL158"/>
    <mergeCell ref="MHM158:MHO158"/>
    <mergeCell ref="MHV158:MHX158"/>
    <mergeCell ref="MHY158:MIA158"/>
    <mergeCell ref="MFT158:MFV158"/>
    <mergeCell ref="MGC158:MGE158"/>
    <mergeCell ref="MGF158:MGH158"/>
    <mergeCell ref="MGI158:MGK158"/>
    <mergeCell ref="MGR158:MGT158"/>
    <mergeCell ref="MGU158:MGW158"/>
    <mergeCell ref="MEP158:MER158"/>
    <mergeCell ref="MEY158:MFA158"/>
    <mergeCell ref="MFB158:MFD158"/>
    <mergeCell ref="MFE158:MFG158"/>
    <mergeCell ref="MFN158:MFP158"/>
    <mergeCell ref="MFQ158:MFS158"/>
    <mergeCell ref="MDL158:MDN158"/>
    <mergeCell ref="MDU158:MDW158"/>
    <mergeCell ref="MDX158:MDZ158"/>
    <mergeCell ref="MEA158:MEC158"/>
    <mergeCell ref="MEJ158:MEL158"/>
    <mergeCell ref="MEM158:MEO158"/>
    <mergeCell ref="MCH158:MCJ158"/>
    <mergeCell ref="MCQ158:MCS158"/>
    <mergeCell ref="MCT158:MCV158"/>
    <mergeCell ref="MCW158:MCY158"/>
    <mergeCell ref="MDF158:MDH158"/>
    <mergeCell ref="MDI158:MDK158"/>
    <mergeCell ref="MBD158:MBF158"/>
    <mergeCell ref="MBM158:MBO158"/>
    <mergeCell ref="MBP158:MBR158"/>
    <mergeCell ref="MBS158:MBU158"/>
    <mergeCell ref="MCB158:MCD158"/>
    <mergeCell ref="MCE158:MCG158"/>
    <mergeCell ref="LZZ158:MAB158"/>
    <mergeCell ref="MAI158:MAK158"/>
    <mergeCell ref="MAL158:MAN158"/>
    <mergeCell ref="MAO158:MAQ158"/>
    <mergeCell ref="MAX158:MAZ158"/>
    <mergeCell ref="MBA158:MBC158"/>
    <mergeCell ref="LYV158:LYX158"/>
    <mergeCell ref="LZE158:LZG158"/>
    <mergeCell ref="LZH158:LZJ158"/>
    <mergeCell ref="LZK158:LZM158"/>
    <mergeCell ref="LZT158:LZV158"/>
    <mergeCell ref="LZW158:LZY158"/>
    <mergeCell ref="LXR158:LXT158"/>
    <mergeCell ref="LYA158:LYC158"/>
    <mergeCell ref="LYD158:LYF158"/>
    <mergeCell ref="LYG158:LYI158"/>
    <mergeCell ref="LYP158:LYR158"/>
    <mergeCell ref="LYS158:LYU158"/>
    <mergeCell ref="LWN158:LWP158"/>
    <mergeCell ref="LWW158:LWY158"/>
    <mergeCell ref="LWZ158:LXB158"/>
    <mergeCell ref="LXC158:LXE158"/>
    <mergeCell ref="LXL158:LXN158"/>
    <mergeCell ref="LXO158:LXQ158"/>
    <mergeCell ref="LVJ158:LVL158"/>
    <mergeCell ref="LVS158:LVU158"/>
    <mergeCell ref="LVV158:LVX158"/>
    <mergeCell ref="LVY158:LWA158"/>
    <mergeCell ref="LWH158:LWJ158"/>
    <mergeCell ref="LWK158:LWM158"/>
    <mergeCell ref="LUF158:LUH158"/>
    <mergeCell ref="LUO158:LUQ158"/>
    <mergeCell ref="LUR158:LUT158"/>
    <mergeCell ref="LUU158:LUW158"/>
    <mergeCell ref="LVD158:LVF158"/>
    <mergeCell ref="LVG158:LVI158"/>
    <mergeCell ref="LTB158:LTD158"/>
    <mergeCell ref="LTK158:LTM158"/>
    <mergeCell ref="LTN158:LTP158"/>
    <mergeCell ref="LTQ158:LTS158"/>
    <mergeCell ref="LTZ158:LUB158"/>
    <mergeCell ref="LUC158:LUE158"/>
    <mergeCell ref="LRX158:LRZ158"/>
    <mergeCell ref="LSG158:LSI158"/>
    <mergeCell ref="LSJ158:LSL158"/>
    <mergeCell ref="LSM158:LSO158"/>
    <mergeCell ref="LSV158:LSX158"/>
    <mergeCell ref="LSY158:LTA158"/>
    <mergeCell ref="LQT158:LQV158"/>
    <mergeCell ref="LRC158:LRE158"/>
    <mergeCell ref="LRF158:LRH158"/>
    <mergeCell ref="LRI158:LRK158"/>
    <mergeCell ref="LRR158:LRT158"/>
    <mergeCell ref="LRU158:LRW158"/>
    <mergeCell ref="LPP158:LPR158"/>
    <mergeCell ref="LPY158:LQA158"/>
    <mergeCell ref="LQB158:LQD158"/>
    <mergeCell ref="LQE158:LQG158"/>
    <mergeCell ref="LQN158:LQP158"/>
    <mergeCell ref="LQQ158:LQS158"/>
    <mergeCell ref="LOL158:LON158"/>
    <mergeCell ref="LOU158:LOW158"/>
    <mergeCell ref="LOX158:LOZ158"/>
    <mergeCell ref="LPA158:LPC158"/>
    <mergeCell ref="LPJ158:LPL158"/>
    <mergeCell ref="LPM158:LPO158"/>
    <mergeCell ref="LNH158:LNJ158"/>
    <mergeCell ref="LNQ158:LNS158"/>
    <mergeCell ref="LNT158:LNV158"/>
    <mergeCell ref="LNW158:LNY158"/>
    <mergeCell ref="LOF158:LOH158"/>
    <mergeCell ref="LOI158:LOK158"/>
    <mergeCell ref="LMD158:LMF158"/>
    <mergeCell ref="LMM158:LMO158"/>
    <mergeCell ref="LMP158:LMR158"/>
    <mergeCell ref="LMS158:LMU158"/>
    <mergeCell ref="LNB158:LND158"/>
    <mergeCell ref="LNE158:LNG158"/>
    <mergeCell ref="LKZ158:LLB158"/>
    <mergeCell ref="LLI158:LLK158"/>
    <mergeCell ref="LLL158:LLN158"/>
    <mergeCell ref="LLO158:LLQ158"/>
    <mergeCell ref="LLX158:LLZ158"/>
    <mergeCell ref="LMA158:LMC158"/>
    <mergeCell ref="LJV158:LJX158"/>
    <mergeCell ref="LKE158:LKG158"/>
    <mergeCell ref="LKH158:LKJ158"/>
    <mergeCell ref="LKK158:LKM158"/>
    <mergeCell ref="LKT158:LKV158"/>
    <mergeCell ref="LKW158:LKY158"/>
    <mergeCell ref="LIR158:LIT158"/>
    <mergeCell ref="LJA158:LJC158"/>
    <mergeCell ref="LJD158:LJF158"/>
    <mergeCell ref="LJG158:LJI158"/>
    <mergeCell ref="LJP158:LJR158"/>
    <mergeCell ref="LJS158:LJU158"/>
    <mergeCell ref="LHN158:LHP158"/>
    <mergeCell ref="LHW158:LHY158"/>
    <mergeCell ref="LHZ158:LIB158"/>
    <mergeCell ref="LIC158:LIE158"/>
    <mergeCell ref="LIL158:LIN158"/>
    <mergeCell ref="LIO158:LIQ158"/>
    <mergeCell ref="LGJ158:LGL158"/>
    <mergeCell ref="LGS158:LGU158"/>
    <mergeCell ref="LGV158:LGX158"/>
    <mergeCell ref="LGY158:LHA158"/>
    <mergeCell ref="LHH158:LHJ158"/>
    <mergeCell ref="LHK158:LHM158"/>
    <mergeCell ref="LFF158:LFH158"/>
    <mergeCell ref="LFO158:LFQ158"/>
    <mergeCell ref="LFR158:LFT158"/>
    <mergeCell ref="LFU158:LFW158"/>
    <mergeCell ref="LGD158:LGF158"/>
    <mergeCell ref="LGG158:LGI158"/>
    <mergeCell ref="LEB158:LED158"/>
    <mergeCell ref="LEK158:LEM158"/>
    <mergeCell ref="LEN158:LEP158"/>
    <mergeCell ref="LEQ158:LES158"/>
    <mergeCell ref="LEZ158:LFB158"/>
    <mergeCell ref="LFC158:LFE158"/>
    <mergeCell ref="LCX158:LCZ158"/>
    <mergeCell ref="LDG158:LDI158"/>
    <mergeCell ref="LDJ158:LDL158"/>
    <mergeCell ref="LDM158:LDO158"/>
    <mergeCell ref="LDV158:LDX158"/>
    <mergeCell ref="LDY158:LEA158"/>
    <mergeCell ref="LBT158:LBV158"/>
    <mergeCell ref="LCC158:LCE158"/>
    <mergeCell ref="LCF158:LCH158"/>
    <mergeCell ref="LCI158:LCK158"/>
    <mergeCell ref="LCR158:LCT158"/>
    <mergeCell ref="LCU158:LCW158"/>
    <mergeCell ref="LAP158:LAR158"/>
    <mergeCell ref="LAY158:LBA158"/>
    <mergeCell ref="LBB158:LBD158"/>
    <mergeCell ref="LBE158:LBG158"/>
    <mergeCell ref="LBN158:LBP158"/>
    <mergeCell ref="LBQ158:LBS158"/>
    <mergeCell ref="KZL158:KZN158"/>
    <mergeCell ref="KZU158:KZW158"/>
    <mergeCell ref="KZX158:KZZ158"/>
    <mergeCell ref="LAA158:LAC158"/>
    <mergeCell ref="LAJ158:LAL158"/>
    <mergeCell ref="LAM158:LAO158"/>
    <mergeCell ref="KYH158:KYJ158"/>
    <mergeCell ref="KYQ158:KYS158"/>
    <mergeCell ref="KYT158:KYV158"/>
    <mergeCell ref="KYW158:KYY158"/>
    <mergeCell ref="KZF158:KZH158"/>
    <mergeCell ref="KZI158:KZK158"/>
    <mergeCell ref="KXD158:KXF158"/>
    <mergeCell ref="KXM158:KXO158"/>
    <mergeCell ref="KXP158:KXR158"/>
    <mergeCell ref="KXS158:KXU158"/>
    <mergeCell ref="KYB158:KYD158"/>
    <mergeCell ref="KYE158:KYG158"/>
    <mergeCell ref="KVZ158:KWB158"/>
    <mergeCell ref="KWI158:KWK158"/>
    <mergeCell ref="KWL158:KWN158"/>
    <mergeCell ref="KWO158:KWQ158"/>
    <mergeCell ref="KWX158:KWZ158"/>
    <mergeCell ref="KXA158:KXC158"/>
    <mergeCell ref="KUV158:KUX158"/>
    <mergeCell ref="KVE158:KVG158"/>
    <mergeCell ref="KVH158:KVJ158"/>
    <mergeCell ref="KVK158:KVM158"/>
    <mergeCell ref="KVT158:KVV158"/>
    <mergeCell ref="KVW158:KVY158"/>
    <mergeCell ref="KTR158:KTT158"/>
    <mergeCell ref="KUA158:KUC158"/>
    <mergeCell ref="KUD158:KUF158"/>
    <mergeCell ref="KUG158:KUI158"/>
    <mergeCell ref="KUP158:KUR158"/>
    <mergeCell ref="KUS158:KUU158"/>
    <mergeCell ref="KSN158:KSP158"/>
    <mergeCell ref="KSW158:KSY158"/>
    <mergeCell ref="KSZ158:KTB158"/>
    <mergeCell ref="KTC158:KTE158"/>
    <mergeCell ref="KTL158:KTN158"/>
    <mergeCell ref="KTO158:KTQ158"/>
    <mergeCell ref="KRJ158:KRL158"/>
    <mergeCell ref="KRS158:KRU158"/>
    <mergeCell ref="KRV158:KRX158"/>
    <mergeCell ref="KRY158:KSA158"/>
    <mergeCell ref="KSH158:KSJ158"/>
    <mergeCell ref="KSK158:KSM158"/>
    <mergeCell ref="KQF158:KQH158"/>
    <mergeCell ref="KQO158:KQQ158"/>
    <mergeCell ref="KQR158:KQT158"/>
    <mergeCell ref="KQU158:KQW158"/>
    <mergeCell ref="KRD158:KRF158"/>
    <mergeCell ref="KRG158:KRI158"/>
    <mergeCell ref="KPB158:KPD158"/>
    <mergeCell ref="KPK158:KPM158"/>
    <mergeCell ref="KPN158:KPP158"/>
    <mergeCell ref="KPQ158:KPS158"/>
    <mergeCell ref="KPZ158:KQB158"/>
    <mergeCell ref="KQC158:KQE158"/>
    <mergeCell ref="KNX158:KNZ158"/>
    <mergeCell ref="KOG158:KOI158"/>
    <mergeCell ref="KOJ158:KOL158"/>
    <mergeCell ref="KOM158:KOO158"/>
    <mergeCell ref="KOV158:KOX158"/>
    <mergeCell ref="KOY158:KPA158"/>
    <mergeCell ref="KMT158:KMV158"/>
    <mergeCell ref="KNC158:KNE158"/>
    <mergeCell ref="KNF158:KNH158"/>
    <mergeCell ref="KNI158:KNK158"/>
    <mergeCell ref="KNR158:KNT158"/>
    <mergeCell ref="KNU158:KNW158"/>
    <mergeCell ref="KLP158:KLR158"/>
    <mergeCell ref="KLY158:KMA158"/>
    <mergeCell ref="KMB158:KMD158"/>
    <mergeCell ref="KME158:KMG158"/>
    <mergeCell ref="KMN158:KMP158"/>
    <mergeCell ref="KMQ158:KMS158"/>
    <mergeCell ref="KKL158:KKN158"/>
    <mergeCell ref="KKU158:KKW158"/>
    <mergeCell ref="KKX158:KKZ158"/>
    <mergeCell ref="KLA158:KLC158"/>
    <mergeCell ref="KLJ158:KLL158"/>
    <mergeCell ref="KLM158:KLO158"/>
    <mergeCell ref="KJH158:KJJ158"/>
    <mergeCell ref="KJQ158:KJS158"/>
    <mergeCell ref="KJT158:KJV158"/>
    <mergeCell ref="KJW158:KJY158"/>
    <mergeCell ref="KKF158:KKH158"/>
    <mergeCell ref="KKI158:KKK158"/>
    <mergeCell ref="KID158:KIF158"/>
    <mergeCell ref="KIM158:KIO158"/>
    <mergeCell ref="KIP158:KIR158"/>
    <mergeCell ref="KIS158:KIU158"/>
    <mergeCell ref="KJB158:KJD158"/>
    <mergeCell ref="KJE158:KJG158"/>
    <mergeCell ref="KGZ158:KHB158"/>
    <mergeCell ref="KHI158:KHK158"/>
    <mergeCell ref="KHL158:KHN158"/>
    <mergeCell ref="KHO158:KHQ158"/>
    <mergeCell ref="KHX158:KHZ158"/>
    <mergeCell ref="KIA158:KIC158"/>
    <mergeCell ref="KFV158:KFX158"/>
    <mergeCell ref="KGE158:KGG158"/>
    <mergeCell ref="KGH158:KGJ158"/>
    <mergeCell ref="KGK158:KGM158"/>
    <mergeCell ref="KGT158:KGV158"/>
    <mergeCell ref="KGW158:KGY158"/>
    <mergeCell ref="KER158:KET158"/>
    <mergeCell ref="KFA158:KFC158"/>
    <mergeCell ref="KFD158:KFF158"/>
    <mergeCell ref="KFG158:KFI158"/>
    <mergeCell ref="KFP158:KFR158"/>
    <mergeCell ref="KFS158:KFU158"/>
    <mergeCell ref="KDN158:KDP158"/>
    <mergeCell ref="KDW158:KDY158"/>
    <mergeCell ref="KDZ158:KEB158"/>
    <mergeCell ref="KEC158:KEE158"/>
    <mergeCell ref="KEL158:KEN158"/>
    <mergeCell ref="KEO158:KEQ158"/>
    <mergeCell ref="KCJ158:KCL158"/>
    <mergeCell ref="KCS158:KCU158"/>
    <mergeCell ref="KCV158:KCX158"/>
    <mergeCell ref="KCY158:KDA158"/>
    <mergeCell ref="KDH158:KDJ158"/>
    <mergeCell ref="KDK158:KDM158"/>
    <mergeCell ref="KBF158:KBH158"/>
    <mergeCell ref="KBO158:KBQ158"/>
    <mergeCell ref="KBR158:KBT158"/>
    <mergeCell ref="KBU158:KBW158"/>
    <mergeCell ref="KCD158:KCF158"/>
    <mergeCell ref="KCG158:KCI158"/>
    <mergeCell ref="KAB158:KAD158"/>
    <mergeCell ref="KAK158:KAM158"/>
    <mergeCell ref="KAN158:KAP158"/>
    <mergeCell ref="KAQ158:KAS158"/>
    <mergeCell ref="KAZ158:KBB158"/>
    <mergeCell ref="KBC158:KBE158"/>
    <mergeCell ref="JYX158:JYZ158"/>
    <mergeCell ref="JZG158:JZI158"/>
    <mergeCell ref="JZJ158:JZL158"/>
    <mergeCell ref="JZM158:JZO158"/>
    <mergeCell ref="JZV158:JZX158"/>
    <mergeCell ref="JZY158:KAA158"/>
    <mergeCell ref="JXT158:JXV158"/>
    <mergeCell ref="JYC158:JYE158"/>
    <mergeCell ref="JYF158:JYH158"/>
    <mergeCell ref="JYI158:JYK158"/>
    <mergeCell ref="JYR158:JYT158"/>
    <mergeCell ref="JYU158:JYW158"/>
    <mergeCell ref="JWP158:JWR158"/>
    <mergeCell ref="JWY158:JXA158"/>
    <mergeCell ref="JXB158:JXD158"/>
    <mergeCell ref="JXE158:JXG158"/>
    <mergeCell ref="JXN158:JXP158"/>
    <mergeCell ref="JXQ158:JXS158"/>
    <mergeCell ref="JVL158:JVN158"/>
    <mergeCell ref="JVU158:JVW158"/>
    <mergeCell ref="JVX158:JVZ158"/>
    <mergeCell ref="JWA158:JWC158"/>
    <mergeCell ref="JWJ158:JWL158"/>
    <mergeCell ref="JWM158:JWO158"/>
    <mergeCell ref="JUH158:JUJ158"/>
    <mergeCell ref="JUQ158:JUS158"/>
    <mergeCell ref="JUT158:JUV158"/>
    <mergeCell ref="JUW158:JUY158"/>
    <mergeCell ref="JVF158:JVH158"/>
    <mergeCell ref="JVI158:JVK158"/>
    <mergeCell ref="JTD158:JTF158"/>
    <mergeCell ref="JTM158:JTO158"/>
    <mergeCell ref="JTP158:JTR158"/>
    <mergeCell ref="JTS158:JTU158"/>
    <mergeCell ref="JUB158:JUD158"/>
    <mergeCell ref="JUE158:JUG158"/>
    <mergeCell ref="JRZ158:JSB158"/>
    <mergeCell ref="JSI158:JSK158"/>
    <mergeCell ref="JSL158:JSN158"/>
    <mergeCell ref="JSO158:JSQ158"/>
    <mergeCell ref="JSX158:JSZ158"/>
    <mergeCell ref="JTA158:JTC158"/>
    <mergeCell ref="JQV158:JQX158"/>
    <mergeCell ref="JRE158:JRG158"/>
    <mergeCell ref="JRH158:JRJ158"/>
    <mergeCell ref="JRK158:JRM158"/>
    <mergeCell ref="JRT158:JRV158"/>
    <mergeCell ref="JRW158:JRY158"/>
    <mergeCell ref="JPR158:JPT158"/>
    <mergeCell ref="JQA158:JQC158"/>
    <mergeCell ref="JQD158:JQF158"/>
    <mergeCell ref="JQG158:JQI158"/>
    <mergeCell ref="JQP158:JQR158"/>
    <mergeCell ref="JQS158:JQU158"/>
    <mergeCell ref="JON158:JOP158"/>
    <mergeCell ref="JOW158:JOY158"/>
    <mergeCell ref="JOZ158:JPB158"/>
    <mergeCell ref="JPC158:JPE158"/>
    <mergeCell ref="JPL158:JPN158"/>
    <mergeCell ref="JPO158:JPQ158"/>
    <mergeCell ref="JNJ158:JNL158"/>
    <mergeCell ref="JNS158:JNU158"/>
    <mergeCell ref="JNV158:JNX158"/>
    <mergeCell ref="JNY158:JOA158"/>
    <mergeCell ref="JOH158:JOJ158"/>
    <mergeCell ref="JOK158:JOM158"/>
    <mergeCell ref="JMF158:JMH158"/>
    <mergeCell ref="JMO158:JMQ158"/>
    <mergeCell ref="JMR158:JMT158"/>
    <mergeCell ref="JMU158:JMW158"/>
    <mergeCell ref="JND158:JNF158"/>
    <mergeCell ref="JNG158:JNI158"/>
    <mergeCell ref="JLB158:JLD158"/>
    <mergeCell ref="JLK158:JLM158"/>
    <mergeCell ref="JLN158:JLP158"/>
    <mergeCell ref="JLQ158:JLS158"/>
    <mergeCell ref="JLZ158:JMB158"/>
    <mergeCell ref="JMC158:JME158"/>
    <mergeCell ref="JJX158:JJZ158"/>
    <mergeCell ref="JKG158:JKI158"/>
    <mergeCell ref="JKJ158:JKL158"/>
    <mergeCell ref="JKM158:JKO158"/>
    <mergeCell ref="JKV158:JKX158"/>
    <mergeCell ref="JKY158:JLA158"/>
    <mergeCell ref="JIT158:JIV158"/>
    <mergeCell ref="JJC158:JJE158"/>
    <mergeCell ref="JJF158:JJH158"/>
    <mergeCell ref="JJI158:JJK158"/>
    <mergeCell ref="JJR158:JJT158"/>
    <mergeCell ref="JJU158:JJW158"/>
    <mergeCell ref="JHP158:JHR158"/>
    <mergeCell ref="JHY158:JIA158"/>
    <mergeCell ref="JIB158:JID158"/>
    <mergeCell ref="JIE158:JIG158"/>
    <mergeCell ref="JIN158:JIP158"/>
    <mergeCell ref="JIQ158:JIS158"/>
    <mergeCell ref="JGL158:JGN158"/>
    <mergeCell ref="JGU158:JGW158"/>
    <mergeCell ref="JGX158:JGZ158"/>
    <mergeCell ref="JHA158:JHC158"/>
    <mergeCell ref="JHJ158:JHL158"/>
    <mergeCell ref="JHM158:JHO158"/>
    <mergeCell ref="JFH158:JFJ158"/>
    <mergeCell ref="JFQ158:JFS158"/>
    <mergeCell ref="JFT158:JFV158"/>
    <mergeCell ref="JFW158:JFY158"/>
    <mergeCell ref="JGF158:JGH158"/>
    <mergeCell ref="JGI158:JGK158"/>
    <mergeCell ref="JED158:JEF158"/>
    <mergeCell ref="JEM158:JEO158"/>
    <mergeCell ref="JEP158:JER158"/>
    <mergeCell ref="JES158:JEU158"/>
    <mergeCell ref="JFB158:JFD158"/>
    <mergeCell ref="JFE158:JFG158"/>
    <mergeCell ref="JCZ158:JDB158"/>
    <mergeCell ref="JDI158:JDK158"/>
    <mergeCell ref="JDL158:JDN158"/>
    <mergeCell ref="JDO158:JDQ158"/>
    <mergeCell ref="JDX158:JDZ158"/>
    <mergeCell ref="JEA158:JEC158"/>
    <mergeCell ref="JBV158:JBX158"/>
    <mergeCell ref="JCE158:JCG158"/>
    <mergeCell ref="JCH158:JCJ158"/>
    <mergeCell ref="JCK158:JCM158"/>
    <mergeCell ref="JCT158:JCV158"/>
    <mergeCell ref="JCW158:JCY158"/>
    <mergeCell ref="JAR158:JAT158"/>
    <mergeCell ref="JBA158:JBC158"/>
    <mergeCell ref="JBD158:JBF158"/>
    <mergeCell ref="JBG158:JBI158"/>
    <mergeCell ref="JBP158:JBR158"/>
    <mergeCell ref="JBS158:JBU158"/>
    <mergeCell ref="IZN158:IZP158"/>
    <mergeCell ref="IZW158:IZY158"/>
    <mergeCell ref="IZZ158:JAB158"/>
    <mergeCell ref="JAC158:JAE158"/>
    <mergeCell ref="JAL158:JAN158"/>
    <mergeCell ref="JAO158:JAQ158"/>
    <mergeCell ref="IYJ158:IYL158"/>
    <mergeCell ref="IYS158:IYU158"/>
    <mergeCell ref="IYV158:IYX158"/>
    <mergeCell ref="IYY158:IZA158"/>
    <mergeCell ref="IZH158:IZJ158"/>
    <mergeCell ref="IZK158:IZM158"/>
    <mergeCell ref="IXF158:IXH158"/>
    <mergeCell ref="IXO158:IXQ158"/>
    <mergeCell ref="IXR158:IXT158"/>
    <mergeCell ref="IXU158:IXW158"/>
    <mergeCell ref="IYD158:IYF158"/>
    <mergeCell ref="IYG158:IYI158"/>
    <mergeCell ref="IWB158:IWD158"/>
    <mergeCell ref="IWK158:IWM158"/>
    <mergeCell ref="IWN158:IWP158"/>
    <mergeCell ref="IWQ158:IWS158"/>
    <mergeCell ref="IWZ158:IXB158"/>
    <mergeCell ref="IXC158:IXE158"/>
    <mergeCell ref="IUX158:IUZ158"/>
    <mergeCell ref="IVG158:IVI158"/>
    <mergeCell ref="IVJ158:IVL158"/>
    <mergeCell ref="IVM158:IVO158"/>
    <mergeCell ref="IVV158:IVX158"/>
    <mergeCell ref="IVY158:IWA158"/>
    <mergeCell ref="ITT158:ITV158"/>
    <mergeCell ref="IUC158:IUE158"/>
    <mergeCell ref="IUF158:IUH158"/>
    <mergeCell ref="IUI158:IUK158"/>
    <mergeCell ref="IUR158:IUT158"/>
    <mergeCell ref="IUU158:IUW158"/>
    <mergeCell ref="ISP158:ISR158"/>
    <mergeCell ref="ISY158:ITA158"/>
    <mergeCell ref="ITB158:ITD158"/>
    <mergeCell ref="ITE158:ITG158"/>
    <mergeCell ref="ITN158:ITP158"/>
    <mergeCell ref="ITQ158:ITS158"/>
    <mergeCell ref="IRL158:IRN158"/>
    <mergeCell ref="IRU158:IRW158"/>
    <mergeCell ref="IRX158:IRZ158"/>
    <mergeCell ref="ISA158:ISC158"/>
    <mergeCell ref="ISJ158:ISL158"/>
    <mergeCell ref="ISM158:ISO158"/>
    <mergeCell ref="IQH158:IQJ158"/>
    <mergeCell ref="IQQ158:IQS158"/>
    <mergeCell ref="IQT158:IQV158"/>
    <mergeCell ref="IQW158:IQY158"/>
    <mergeCell ref="IRF158:IRH158"/>
    <mergeCell ref="IRI158:IRK158"/>
    <mergeCell ref="IPD158:IPF158"/>
    <mergeCell ref="IPM158:IPO158"/>
    <mergeCell ref="IPP158:IPR158"/>
    <mergeCell ref="IPS158:IPU158"/>
    <mergeCell ref="IQB158:IQD158"/>
    <mergeCell ref="IQE158:IQG158"/>
    <mergeCell ref="INZ158:IOB158"/>
    <mergeCell ref="IOI158:IOK158"/>
    <mergeCell ref="IOL158:ION158"/>
    <mergeCell ref="IOO158:IOQ158"/>
    <mergeCell ref="IOX158:IOZ158"/>
    <mergeCell ref="IPA158:IPC158"/>
    <mergeCell ref="IMV158:IMX158"/>
    <mergeCell ref="INE158:ING158"/>
    <mergeCell ref="INH158:INJ158"/>
    <mergeCell ref="INK158:INM158"/>
    <mergeCell ref="INT158:INV158"/>
    <mergeCell ref="INW158:INY158"/>
    <mergeCell ref="ILR158:ILT158"/>
    <mergeCell ref="IMA158:IMC158"/>
    <mergeCell ref="IMD158:IMF158"/>
    <mergeCell ref="IMG158:IMI158"/>
    <mergeCell ref="IMP158:IMR158"/>
    <mergeCell ref="IMS158:IMU158"/>
    <mergeCell ref="IKN158:IKP158"/>
    <mergeCell ref="IKW158:IKY158"/>
    <mergeCell ref="IKZ158:ILB158"/>
    <mergeCell ref="ILC158:ILE158"/>
    <mergeCell ref="ILL158:ILN158"/>
    <mergeCell ref="ILO158:ILQ158"/>
    <mergeCell ref="IJJ158:IJL158"/>
    <mergeCell ref="IJS158:IJU158"/>
    <mergeCell ref="IJV158:IJX158"/>
    <mergeCell ref="IJY158:IKA158"/>
    <mergeCell ref="IKH158:IKJ158"/>
    <mergeCell ref="IKK158:IKM158"/>
    <mergeCell ref="IIF158:IIH158"/>
    <mergeCell ref="IIO158:IIQ158"/>
    <mergeCell ref="IIR158:IIT158"/>
    <mergeCell ref="IIU158:IIW158"/>
    <mergeCell ref="IJD158:IJF158"/>
    <mergeCell ref="IJG158:IJI158"/>
    <mergeCell ref="IHB158:IHD158"/>
    <mergeCell ref="IHK158:IHM158"/>
    <mergeCell ref="IHN158:IHP158"/>
    <mergeCell ref="IHQ158:IHS158"/>
    <mergeCell ref="IHZ158:IIB158"/>
    <mergeCell ref="IIC158:IIE158"/>
    <mergeCell ref="IFX158:IFZ158"/>
    <mergeCell ref="IGG158:IGI158"/>
    <mergeCell ref="IGJ158:IGL158"/>
    <mergeCell ref="IGM158:IGO158"/>
    <mergeCell ref="IGV158:IGX158"/>
    <mergeCell ref="IGY158:IHA158"/>
    <mergeCell ref="IET158:IEV158"/>
    <mergeCell ref="IFC158:IFE158"/>
    <mergeCell ref="IFF158:IFH158"/>
    <mergeCell ref="IFI158:IFK158"/>
    <mergeCell ref="IFR158:IFT158"/>
    <mergeCell ref="IFU158:IFW158"/>
    <mergeCell ref="IDP158:IDR158"/>
    <mergeCell ref="IDY158:IEA158"/>
    <mergeCell ref="IEB158:IED158"/>
    <mergeCell ref="IEE158:IEG158"/>
    <mergeCell ref="IEN158:IEP158"/>
    <mergeCell ref="IEQ158:IES158"/>
    <mergeCell ref="ICL158:ICN158"/>
    <mergeCell ref="ICU158:ICW158"/>
    <mergeCell ref="ICX158:ICZ158"/>
    <mergeCell ref="IDA158:IDC158"/>
    <mergeCell ref="IDJ158:IDL158"/>
    <mergeCell ref="IDM158:IDO158"/>
    <mergeCell ref="IBH158:IBJ158"/>
    <mergeCell ref="IBQ158:IBS158"/>
    <mergeCell ref="IBT158:IBV158"/>
    <mergeCell ref="IBW158:IBY158"/>
    <mergeCell ref="ICF158:ICH158"/>
    <mergeCell ref="ICI158:ICK158"/>
    <mergeCell ref="IAD158:IAF158"/>
    <mergeCell ref="IAM158:IAO158"/>
    <mergeCell ref="IAP158:IAR158"/>
    <mergeCell ref="IAS158:IAU158"/>
    <mergeCell ref="IBB158:IBD158"/>
    <mergeCell ref="IBE158:IBG158"/>
    <mergeCell ref="HYZ158:HZB158"/>
    <mergeCell ref="HZI158:HZK158"/>
    <mergeCell ref="HZL158:HZN158"/>
    <mergeCell ref="HZO158:HZQ158"/>
    <mergeCell ref="HZX158:HZZ158"/>
    <mergeCell ref="IAA158:IAC158"/>
    <mergeCell ref="HXV158:HXX158"/>
    <mergeCell ref="HYE158:HYG158"/>
    <mergeCell ref="HYH158:HYJ158"/>
    <mergeCell ref="HYK158:HYM158"/>
    <mergeCell ref="HYT158:HYV158"/>
    <mergeCell ref="HYW158:HYY158"/>
    <mergeCell ref="HWR158:HWT158"/>
    <mergeCell ref="HXA158:HXC158"/>
    <mergeCell ref="HXD158:HXF158"/>
    <mergeCell ref="HXG158:HXI158"/>
    <mergeCell ref="HXP158:HXR158"/>
    <mergeCell ref="HXS158:HXU158"/>
    <mergeCell ref="HVN158:HVP158"/>
    <mergeCell ref="HVW158:HVY158"/>
    <mergeCell ref="HVZ158:HWB158"/>
    <mergeCell ref="HWC158:HWE158"/>
    <mergeCell ref="HWL158:HWN158"/>
    <mergeCell ref="HWO158:HWQ158"/>
    <mergeCell ref="HUJ158:HUL158"/>
    <mergeCell ref="HUS158:HUU158"/>
    <mergeCell ref="HUV158:HUX158"/>
    <mergeCell ref="HUY158:HVA158"/>
    <mergeCell ref="HVH158:HVJ158"/>
    <mergeCell ref="HVK158:HVM158"/>
    <mergeCell ref="HTF158:HTH158"/>
    <mergeCell ref="HTO158:HTQ158"/>
    <mergeCell ref="HTR158:HTT158"/>
    <mergeCell ref="HTU158:HTW158"/>
    <mergeCell ref="HUD158:HUF158"/>
    <mergeCell ref="HUG158:HUI158"/>
    <mergeCell ref="HSB158:HSD158"/>
    <mergeCell ref="HSK158:HSM158"/>
    <mergeCell ref="HSN158:HSP158"/>
    <mergeCell ref="HSQ158:HSS158"/>
    <mergeCell ref="HSZ158:HTB158"/>
    <mergeCell ref="HTC158:HTE158"/>
    <mergeCell ref="HQX158:HQZ158"/>
    <mergeCell ref="HRG158:HRI158"/>
    <mergeCell ref="HRJ158:HRL158"/>
    <mergeCell ref="HRM158:HRO158"/>
    <mergeCell ref="HRV158:HRX158"/>
    <mergeCell ref="HRY158:HSA158"/>
    <mergeCell ref="HPT158:HPV158"/>
    <mergeCell ref="HQC158:HQE158"/>
    <mergeCell ref="HQF158:HQH158"/>
    <mergeCell ref="HQI158:HQK158"/>
    <mergeCell ref="HQR158:HQT158"/>
    <mergeCell ref="HQU158:HQW158"/>
    <mergeCell ref="HOP158:HOR158"/>
    <mergeCell ref="HOY158:HPA158"/>
    <mergeCell ref="HPB158:HPD158"/>
    <mergeCell ref="HPE158:HPG158"/>
    <mergeCell ref="HPN158:HPP158"/>
    <mergeCell ref="HPQ158:HPS158"/>
    <mergeCell ref="HNL158:HNN158"/>
    <mergeCell ref="HNU158:HNW158"/>
    <mergeCell ref="HNX158:HNZ158"/>
    <mergeCell ref="HOA158:HOC158"/>
    <mergeCell ref="HOJ158:HOL158"/>
    <mergeCell ref="HOM158:HOO158"/>
    <mergeCell ref="HMH158:HMJ158"/>
    <mergeCell ref="HMQ158:HMS158"/>
    <mergeCell ref="HMT158:HMV158"/>
    <mergeCell ref="HMW158:HMY158"/>
    <mergeCell ref="HNF158:HNH158"/>
    <mergeCell ref="HNI158:HNK158"/>
    <mergeCell ref="HLD158:HLF158"/>
    <mergeCell ref="HLM158:HLO158"/>
    <mergeCell ref="HLP158:HLR158"/>
    <mergeCell ref="HLS158:HLU158"/>
    <mergeCell ref="HMB158:HMD158"/>
    <mergeCell ref="HME158:HMG158"/>
    <mergeCell ref="HJZ158:HKB158"/>
    <mergeCell ref="HKI158:HKK158"/>
    <mergeCell ref="HKL158:HKN158"/>
    <mergeCell ref="HKO158:HKQ158"/>
    <mergeCell ref="HKX158:HKZ158"/>
    <mergeCell ref="HLA158:HLC158"/>
    <mergeCell ref="HIV158:HIX158"/>
    <mergeCell ref="HJE158:HJG158"/>
    <mergeCell ref="HJH158:HJJ158"/>
    <mergeCell ref="HJK158:HJM158"/>
    <mergeCell ref="HJT158:HJV158"/>
    <mergeCell ref="HJW158:HJY158"/>
    <mergeCell ref="HHR158:HHT158"/>
    <mergeCell ref="HIA158:HIC158"/>
    <mergeCell ref="HID158:HIF158"/>
    <mergeCell ref="HIG158:HII158"/>
    <mergeCell ref="HIP158:HIR158"/>
    <mergeCell ref="HIS158:HIU158"/>
    <mergeCell ref="HGN158:HGP158"/>
    <mergeCell ref="HGW158:HGY158"/>
    <mergeCell ref="HGZ158:HHB158"/>
    <mergeCell ref="HHC158:HHE158"/>
    <mergeCell ref="HHL158:HHN158"/>
    <mergeCell ref="HHO158:HHQ158"/>
    <mergeCell ref="HFJ158:HFL158"/>
    <mergeCell ref="HFS158:HFU158"/>
    <mergeCell ref="HFV158:HFX158"/>
    <mergeCell ref="HFY158:HGA158"/>
    <mergeCell ref="HGH158:HGJ158"/>
    <mergeCell ref="HGK158:HGM158"/>
    <mergeCell ref="HEF158:HEH158"/>
    <mergeCell ref="HEO158:HEQ158"/>
    <mergeCell ref="HER158:HET158"/>
    <mergeCell ref="HEU158:HEW158"/>
    <mergeCell ref="HFD158:HFF158"/>
    <mergeCell ref="HFG158:HFI158"/>
    <mergeCell ref="HDB158:HDD158"/>
    <mergeCell ref="HDK158:HDM158"/>
    <mergeCell ref="HDN158:HDP158"/>
    <mergeCell ref="HDQ158:HDS158"/>
    <mergeCell ref="HDZ158:HEB158"/>
    <mergeCell ref="HEC158:HEE158"/>
    <mergeCell ref="HBX158:HBZ158"/>
    <mergeCell ref="HCG158:HCI158"/>
    <mergeCell ref="HCJ158:HCL158"/>
    <mergeCell ref="HCM158:HCO158"/>
    <mergeCell ref="HCV158:HCX158"/>
    <mergeCell ref="HCY158:HDA158"/>
    <mergeCell ref="HAT158:HAV158"/>
    <mergeCell ref="HBC158:HBE158"/>
    <mergeCell ref="HBF158:HBH158"/>
    <mergeCell ref="HBI158:HBK158"/>
    <mergeCell ref="HBR158:HBT158"/>
    <mergeCell ref="HBU158:HBW158"/>
    <mergeCell ref="GZP158:GZR158"/>
    <mergeCell ref="GZY158:HAA158"/>
    <mergeCell ref="HAB158:HAD158"/>
    <mergeCell ref="HAE158:HAG158"/>
    <mergeCell ref="HAN158:HAP158"/>
    <mergeCell ref="HAQ158:HAS158"/>
    <mergeCell ref="GYL158:GYN158"/>
    <mergeCell ref="GYU158:GYW158"/>
    <mergeCell ref="GYX158:GYZ158"/>
    <mergeCell ref="GZA158:GZC158"/>
    <mergeCell ref="GZJ158:GZL158"/>
    <mergeCell ref="GZM158:GZO158"/>
    <mergeCell ref="GXH158:GXJ158"/>
    <mergeCell ref="GXQ158:GXS158"/>
    <mergeCell ref="GXT158:GXV158"/>
    <mergeCell ref="GXW158:GXY158"/>
    <mergeCell ref="GYF158:GYH158"/>
    <mergeCell ref="GYI158:GYK158"/>
    <mergeCell ref="GWD158:GWF158"/>
    <mergeCell ref="GWM158:GWO158"/>
    <mergeCell ref="GWP158:GWR158"/>
    <mergeCell ref="GWS158:GWU158"/>
    <mergeCell ref="GXB158:GXD158"/>
    <mergeCell ref="GXE158:GXG158"/>
    <mergeCell ref="GUZ158:GVB158"/>
    <mergeCell ref="GVI158:GVK158"/>
    <mergeCell ref="GVL158:GVN158"/>
    <mergeCell ref="GVO158:GVQ158"/>
    <mergeCell ref="GVX158:GVZ158"/>
    <mergeCell ref="GWA158:GWC158"/>
    <mergeCell ref="GTV158:GTX158"/>
    <mergeCell ref="GUE158:GUG158"/>
    <mergeCell ref="GUH158:GUJ158"/>
    <mergeCell ref="GUK158:GUM158"/>
    <mergeCell ref="GUT158:GUV158"/>
    <mergeCell ref="GUW158:GUY158"/>
    <mergeCell ref="GSR158:GST158"/>
    <mergeCell ref="GTA158:GTC158"/>
    <mergeCell ref="GTD158:GTF158"/>
    <mergeCell ref="GTG158:GTI158"/>
    <mergeCell ref="GTP158:GTR158"/>
    <mergeCell ref="GTS158:GTU158"/>
    <mergeCell ref="GRN158:GRP158"/>
    <mergeCell ref="GRW158:GRY158"/>
    <mergeCell ref="GRZ158:GSB158"/>
    <mergeCell ref="GSC158:GSE158"/>
    <mergeCell ref="GSL158:GSN158"/>
    <mergeCell ref="GSO158:GSQ158"/>
    <mergeCell ref="GQJ158:GQL158"/>
    <mergeCell ref="GQS158:GQU158"/>
    <mergeCell ref="GQV158:GQX158"/>
    <mergeCell ref="GQY158:GRA158"/>
    <mergeCell ref="GRH158:GRJ158"/>
    <mergeCell ref="GRK158:GRM158"/>
    <mergeCell ref="GPF158:GPH158"/>
    <mergeCell ref="GPO158:GPQ158"/>
    <mergeCell ref="GPR158:GPT158"/>
    <mergeCell ref="GPU158:GPW158"/>
    <mergeCell ref="GQD158:GQF158"/>
    <mergeCell ref="GQG158:GQI158"/>
    <mergeCell ref="GOB158:GOD158"/>
    <mergeCell ref="GOK158:GOM158"/>
    <mergeCell ref="GON158:GOP158"/>
    <mergeCell ref="GOQ158:GOS158"/>
    <mergeCell ref="GOZ158:GPB158"/>
    <mergeCell ref="GPC158:GPE158"/>
    <mergeCell ref="GMX158:GMZ158"/>
    <mergeCell ref="GNG158:GNI158"/>
    <mergeCell ref="GNJ158:GNL158"/>
    <mergeCell ref="GNM158:GNO158"/>
    <mergeCell ref="GNV158:GNX158"/>
    <mergeCell ref="GNY158:GOA158"/>
    <mergeCell ref="GLT158:GLV158"/>
    <mergeCell ref="GMC158:GME158"/>
    <mergeCell ref="GMF158:GMH158"/>
    <mergeCell ref="GMI158:GMK158"/>
    <mergeCell ref="GMR158:GMT158"/>
    <mergeCell ref="GMU158:GMW158"/>
    <mergeCell ref="GKP158:GKR158"/>
    <mergeCell ref="GKY158:GLA158"/>
    <mergeCell ref="GLB158:GLD158"/>
    <mergeCell ref="GLE158:GLG158"/>
    <mergeCell ref="GLN158:GLP158"/>
    <mergeCell ref="GLQ158:GLS158"/>
    <mergeCell ref="GJL158:GJN158"/>
    <mergeCell ref="GJU158:GJW158"/>
    <mergeCell ref="GJX158:GJZ158"/>
    <mergeCell ref="GKA158:GKC158"/>
    <mergeCell ref="GKJ158:GKL158"/>
    <mergeCell ref="GKM158:GKO158"/>
    <mergeCell ref="GIH158:GIJ158"/>
    <mergeCell ref="GIQ158:GIS158"/>
    <mergeCell ref="GIT158:GIV158"/>
    <mergeCell ref="GIW158:GIY158"/>
    <mergeCell ref="GJF158:GJH158"/>
    <mergeCell ref="GJI158:GJK158"/>
    <mergeCell ref="GHD158:GHF158"/>
    <mergeCell ref="GHM158:GHO158"/>
    <mergeCell ref="GHP158:GHR158"/>
    <mergeCell ref="GHS158:GHU158"/>
    <mergeCell ref="GIB158:GID158"/>
    <mergeCell ref="GIE158:GIG158"/>
    <mergeCell ref="GFZ158:GGB158"/>
    <mergeCell ref="GGI158:GGK158"/>
    <mergeCell ref="GGL158:GGN158"/>
    <mergeCell ref="GGO158:GGQ158"/>
    <mergeCell ref="GGX158:GGZ158"/>
    <mergeCell ref="GHA158:GHC158"/>
    <mergeCell ref="GEV158:GEX158"/>
    <mergeCell ref="GFE158:GFG158"/>
    <mergeCell ref="GFH158:GFJ158"/>
    <mergeCell ref="GFK158:GFM158"/>
    <mergeCell ref="GFT158:GFV158"/>
    <mergeCell ref="GFW158:GFY158"/>
    <mergeCell ref="GDR158:GDT158"/>
    <mergeCell ref="GEA158:GEC158"/>
    <mergeCell ref="GED158:GEF158"/>
    <mergeCell ref="GEG158:GEI158"/>
    <mergeCell ref="GEP158:GER158"/>
    <mergeCell ref="GES158:GEU158"/>
    <mergeCell ref="GCN158:GCP158"/>
    <mergeCell ref="GCW158:GCY158"/>
    <mergeCell ref="GCZ158:GDB158"/>
    <mergeCell ref="GDC158:GDE158"/>
    <mergeCell ref="GDL158:GDN158"/>
    <mergeCell ref="GDO158:GDQ158"/>
    <mergeCell ref="GBJ158:GBL158"/>
    <mergeCell ref="GBS158:GBU158"/>
    <mergeCell ref="GBV158:GBX158"/>
    <mergeCell ref="GBY158:GCA158"/>
    <mergeCell ref="GCH158:GCJ158"/>
    <mergeCell ref="GCK158:GCM158"/>
    <mergeCell ref="GAF158:GAH158"/>
    <mergeCell ref="GAO158:GAQ158"/>
    <mergeCell ref="GAR158:GAT158"/>
    <mergeCell ref="GAU158:GAW158"/>
    <mergeCell ref="GBD158:GBF158"/>
    <mergeCell ref="GBG158:GBI158"/>
    <mergeCell ref="FZB158:FZD158"/>
    <mergeCell ref="FZK158:FZM158"/>
    <mergeCell ref="FZN158:FZP158"/>
    <mergeCell ref="FZQ158:FZS158"/>
    <mergeCell ref="FZZ158:GAB158"/>
    <mergeCell ref="GAC158:GAE158"/>
    <mergeCell ref="FXX158:FXZ158"/>
    <mergeCell ref="FYG158:FYI158"/>
    <mergeCell ref="FYJ158:FYL158"/>
    <mergeCell ref="FYM158:FYO158"/>
    <mergeCell ref="FYV158:FYX158"/>
    <mergeCell ref="FYY158:FZA158"/>
    <mergeCell ref="FWT158:FWV158"/>
    <mergeCell ref="FXC158:FXE158"/>
    <mergeCell ref="FXF158:FXH158"/>
    <mergeCell ref="FXI158:FXK158"/>
    <mergeCell ref="FXR158:FXT158"/>
    <mergeCell ref="FXU158:FXW158"/>
    <mergeCell ref="FVP158:FVR158"/>
    <mergeCell ref="FVY158:FWA158"/>
    <mergeCell ref="FWB158:FWD158"/>
    <mergeCell ref="FWE158:FWG158"/>
    <mergeCell ref="FWN158:FWP158"/>
    <mergeCell ref="FWQ158:FWS158"/>
    <mergeCell ref="FUL158:FUN158"/>
    <mergeCell ref="FUU158:FUW158"/>
    <mergeCell ref="FUX158:FUZ158"/>
    <mergeCell ref="FVA158:FVC158"/>
    <mergeCell ref="FVJ158:FVL158"/>
    <mergeCell ref="FVM158:FVO158"/>
    <mergeCell ref="FTH158:FTJ158"/>
    <mergeCell ref="FTQ158:FTS158"/>
    <mergeCell ref="FTT158:FTV158"/>
    <mergeCell ref="FTW158:FTY158"/>
    <mergeCell ref="FUF158:FUH158"/>
    <mergeCell ref="FUI158:FUK158"/>
    <mergeCell ref="FSD158:FSF158"/>
    <mergeCell ref="FSM158:FSO158"/>
    <mergeCell ref="FSP158:FSR158"/>
    <mergeCell ref="FSS158:FSU158"/>
    <mergeCell ref="FTB158:FTD158"/>
    <mergeCell ref="FTE158:FTG158"/>
    <mergeCell ref="FQZ158:FRB158"/>
    <mergeCell ref="FRI158:FRK158"/>
    <mergeCell ref="FRL158:FRN158"/>
    <mergeCell ref="FRO158:FRQ158"/>
    <mergeCell ref="FRX158:FRZ158"/>
    <mergeCell ref="FSA158:FSC158"/>
    <mergeCell ref="FPV158:FPX158"/>
    <mergeCell ref="FQE158:FQG158"/>
    <mergeCell ref="FQH158:FQJ158"/>
    <mergeCell ref="FQK158:FQM158"/>
    <mergeCell ref="FQT158:FQV158"/>
    <mergeCell ref="FQW158:FQY158"/>
    <mergeCell ref="FOR158:FOT158"/>
    <mergeCell ref="FPA158:FPC158"/>
    <mergeCell ref="FPD158:FPF158"/>
    <mergeCell ref="FPG158:FPI158"/>
    <mergeCell ref="FPP158:FPR158"/>
    <mergeCell ref="FPS158:FPU158"/>
    <mergeCell ref="FNN158:FNP158"/>
    <mergeCell ref="FNW158:FNY158"/>
    <mergeCell ref="FNZ158:FOB158"/>
    <mergeCell ref="FOC158:FOE158"/>
    <mergeCell ref="FOL158:FON158"/>
    <mergeCell ref="FOO158:FOQ158"/>
    <mergeCell ref="FMJ158:FML158"/>
    <mergeCell ref="FMS158:FMU158"/>
    <mergeCell ref="FMV158:FMX158"/>
    <mergeCell ref="FMY158:FNA158"/>
    <mergeCell ref="FNH158:FNJ158"/>
    <mergeCell ref="FNK158:FNM158"/>
    <mergeCell ref="FLF158:FLH158"/>
    <mergeCell ref="FLO158:FLQ158"/>
    <mergeCell ref="FLR158:FLT158"/>
    <mergeCell ref="FLU158:FLW158"/>
    <mergeCell ref="FMD158:FMF158"/>
    <mergeCell ref="FMG158:FMI158"/>
    <mergeCell ref="FKB158:FKD158"/>
    <mergeCell ref="FKK158:FKM158"/>
    <mergeCell ref="FKN158:FKP158"/>
    <mergeCell ref="FKQ158:FKS158"/>
    <mergeCell ref="FKZ158:FLB158"/>
    <mergeCell ref="FLC158:FLE158"/>
    <mergeCell ref="FIX158:FIZ158"/>
    <mergeCell ref="FJG158:FJI158"/>
    <mergeCell ref="FJJ158:FJL158"/>
    <mergeCell ref="FJM158:FJO158"/>
    <mergeCell ref="FJV158:FJX158"/>
    <mergeCell ref="FJY158:FKA158"/>
    <mergeCell ref="FHT158:FHV158"/>
    <mergeCell ref="FIC158:FIE158"/>
    <mergeCell ref="FIF158:FIH158"/>
    <mergeCell ref="FII158:FIK158"/>
    <mergeCell ref="FIR158:FIT158"/>
    <mergeCell ref="FIU158:FIW158"/>
    <mergeCell ref="FGP158:FGR158"/>
    <mergeCell ref="FGY158:FHA158"/>
    <mergeCell ref="FHB158:FHD158"/>
    <mergeCell ref="FHE158:FHG158"/>
    <mergeCell ref="FHN158:FHP158"/>
    <mergeCell ref="FHQ158:FHS158"/>
    <mergeCell ref="FFL158:FFN158"/>
    <mergeCell ref="FFU158:FFW158"/>
    <mergeCell ref="FFX158:FFZ158"/>
    <mergeCell ref="FGA158:FGC158"/>
    <mergeCell ref="FGJ158:FGL158"/>
    <mergeCell ref="FGM158:FGO158"/>
    <mergeCell ref="FEH158:FEJ158"/>
    <mergeCell ref="FEQ158:FES158"/>
    <mergeCell ref="FET158:FEV158"/>
    <mergeCell ref="FEW158:FEY158"/>
    <mergeCell ref="FFF158:FFH158"/>
    <mergeCell ref="FFI158:FFK158"/>
    <mergeCell ref="FDD158:FDF158"/>
    <mergeCell ref="FDM158:FDO158"/>
    <mergeCell ref="FDP158:FDR158"/>
    <mergeCell ref="FDS158:FDU158"/>
    <mergeCell ref="FEB158:FED158"/>
    <mergeCell ref="FEE158:FEG158"/>
    <mergeCell ref="FBZ158:FCB158"/>
    <mergeCell ref="FCI158:FCK158"/>
    <mergeCell ref="FCL158:FCN158"/>
    <mergeCell ref="FCO158:FCQ158"/>
    <mergeCell ref="FCX158:FCZ158"/>
    <mergeCell ref="FDA158:FDC158"/>
    <mergeCell ref="FAV158:FAX158"/>
    <mergeCell ref="FBE158:FBG158"/>
    <mergeCell ref="FBH158:FBJ158"/>
    <mergeCell ref="FBK158:FBM158"/>
    <mergeCell ref="FBT158:FBV158"/>
    <mergeCell ref="FBW158:FBY158"/>
    <mergeCell ref="EZR158:EZT158"/>
    <mergeCell ref="FAA158:FAC158"/>
    <mergeCell ref="FAD158:FAF158"/>
    <mergeCell ref="FAG158:FAI158"/>
    <mergeCell ref="FAP158:FAR158"/>
    <mergeCell ref="FAS158:FAU158"/>
    <mergeCell ref="EYN158:EYP158"/>
    <mergeCell ref="EYW158:EYY158"/>
    <mergeCell ref="EYZ158:EZB158"/>
    <mergeCell ref="EZC158:EZE158"/>
    <mergeCell ref="EZL158:EZN158"/>
    <mergeCell ref="EZO158:EZQ158"/>
    <mergeCell ref="EXJ158:EXL158"/>
    <mergeCell ref="EXS158:EXU158"/>
    <mergeCell ref="EXV158:EXX158"/>
    <mergeCell ref="EXY158:EYA158"/>
    <mergeCell ref="EYH158:EYJ158"/>
    <mergeCell ref="EYK158:EYM158"/>
    <mergeCell ref="EWF158:EWH158"/>
    <mergeCell ref="EWO158:EWQ158"/>
    <mergeCell ref="EWR158:EWT158"/>
    <mergeCell ref="EWU158:EWW158"/>
    <mergeCell ref="EXD158:EXF158"/>
    <mergeCell ref="EXG158:EXI158"/>
    <mergeCell ref="EVB158:EVD158"/>
    <mergeCell ref="EVK158:EVM158"/>
    <mergeCell ref="EVN158:EVP158"/>
    <mergeCell ref="EVQ158:EVS158"/>
    <mergeCell ref="EVZ158:EWB158"/>
    <mergeCell ref="EWC158:EWE158"/>
    <mergeCell ref="ETX158:ETZ158"/>
    <mergeCell ref="EUG158:EUI158"/>
    <mergeCell ref="EUJ158:EUL158"/>
    <mergeCell ref="EUM158:EUO158"/>
    <mergeCell ref="EUV158:EUX158"/>
    <mergeCell ref="EUY158:EVA158"/>
    <mergeCell ref="EST158:ESV158"/>
    <mergeCell ref="ETC158:ETE158"/>
    <mergeCell ref="ETF158:ETH158"/>
    <mergeCell ref="ETI158:ETK158"/>
    <mergeCell ref="ETR158:ETT158"/>
    <mergeCell ref="ETU158:ETW158"/>
    <mergeCell ref="ERP158:ERR158"/>
    <mergeCell ref="ERY158:ESA158"/>
    <mergeCell ref="ESB158:ESD158"/>
    <mergeCell ref="ESE158:ESG158"/>
    <mergeCell ref="ESN158:ESP158"/>
    <mergeCell ref="ESQ158:ESS158"/>
    <mergeCell ref="EQL158:EQN158"/>
    <mergeCell ref="EQU158:EQW158"/>
    <mergeCell ref="EQX158:EQZ158"/>
    <mergeCell ref="ERA158:ERC158"/>
    <mergeCell ref="ERJ158:ERL158"/>
    <mergeCell ref="ERM158:ERO158"/>
    <mergeCell ref="EPH158:EPJ158"/>
    <mergeCell ref="EPQ158:EPS158"/>
    <mergeCell ref="EPT158:EPV158"/>
    <mergeCell ref="EPW158:EPY158"/>
    <mergeCell ref="EQF158:EQH158"/>
    <mergeCell ref="EQI158:EQK158"/>
    <mergeCell ref="EOD158:EOF158"/>
    <mergeCell ref="EOM158:EOO158"/>
    <mergeCell ref="EOP158:EOR158"/>
    <mergeCell ref="EOS158:EOU158"/>
    <mergeCell ref="EPB158:EPD158"/>
    <mergeCell ref="EPE158:EPG158"/>
    <mergeCell ref="EMZ158:ENB158"/>
    <mergeCell ref="ENI158:ENK158"/>
    <mergeCell ref="ENL158:ENN158"/>
    <mergeCell ref="ENO158:ENQ158"/>
    <mergeCell ref="ENX158:ENZ158"/>
    <mergeCell ref="EOA158:EOC158"/>
    <mergeCell ref="ELV158:ELX158"/>
    <mergeCell ref="EME158:EMG158"/>
    <mergeCell ref="EMH158:EMJ158"/>
    <mergeCell ref="EMK158:EMM158"/>
    <mergeCell ref="EMT158:EMV158"/>
    <mergeCell ref="EMW158:EMY158"/>
    <mergeCell ref="EKR158:EKT158"/>
    <mergeCell ref="ELA158:ELC158"/>
    <mergeCell ref="ELD158:ELF158"/>
    <mergeCell ref="ELG158:ELI158"/>
    <mergeCell ref="ELP158:ELR158"/>
    <mergeCell ref="ELS158:ELU158"/>
    <mergeCell ref="EJN158:EJP158"/>
    <mergeCell ref="EJW158:EJY158"/>
    <mergeCell ref="EJZ158:EKB158"/>
    <mergeCell ref="EKC158:EKE158"/>
    <mergeCell ref="EKL158:EKN158"/>
    <mergeCell ref="EKO158:EKQ158"/>
    <mergeCell ref="EIJ158:EIL158"/>
    <mergeCell ref="EIS158:EIU158"/>
    <mergeCell ref="EIV158:EIX158"/>
    <mergeCell ref="EIY158:EJA158"/>
    <mergeCell ref="EJH158:EJJ158"/>
    <mergeCell ref="EJK158:EJM158"/>
    <mergeCell ref="EHF158:EHH158"/>
    <mergeCell ref="EHO158:EHQ158"/>
    <mergeCell ref="EHR158:EHT158"/>
    <mergeCell ref="EHU158:EHW158"/>
    <mergeCell ref="EID158:EIF158"/>
    <mergeCell ref="EIG158:EII158"/>
    <mergeCell ref="EGB158:EGD158"/>
    <mergeCell ref="EGK158:EGM158"/>
    <mergeCell ref="EGN158:EGP158"/>
    <mergeCell ref="EGQ158:EGS158"/>
    <mergeCell ref="EGZ158:EHB158"/>
    <mergeCell ref="EHC158:EHE158"/>
    <mergeCell ref="EEX158:EEZ158"/>
    <mergeCell ref="EFG158:EFI158"/>
    <mergeCell ref="EFJ158:EFL158"/>
    <mergeCell ref="EFM158:EFO158"/>
    <mergeCell ref="EFV158:EFX158"/>
    <mergeCell ref="EFY158:EGA158"/>
    <mergeCell ref="EDT158:EDV158"/>
    <mergeCell ref="EEC158:EEE158"/>
    <mergeCell ref="EEF158:EEH158"/>
    <mergeCell ref="EEI158:EEK158"/>
    <mergeCell ref="EER158:EET158"/>
    <mergeCell ref="EEU158:EEW158"/>
    <mergeCell ref="ECP158:ECR158"/>
    <mergeCell ref="ECY158:EDA158"/>
    <mergeCell ref="EDB158:EDD158"/>
    <mergeCell ref="EDE158:EDG158"/>
    <mergeCell ref="EDN158:EDP158"/>
    <mergeCell ref="EDQ158:EDS158"/>
    <mergeCell ref="EBL158:EBN158"/>
    <mergeCell ref="EBU158:EBW158"/>
    <mergeCell ref="EBX158:EBZ158"/>
    <mergeCell ref="ECA158:ECC158"/>
    <mergeCell ref="ECJ158:ECL158"/>
    <mergeCell ref="ECM158:ECO158"/>
    <mergeCell ref="EAH158:EAJ158"/>
    <mergeCell ref="EAQ158:EAS158"/>
    <mergeCell ref="EAT158:EAV158"/>
    <mergeCell ref="EAW158:EAY158"/>
    <mergeCell ref="EBF158:EBH158"/>
    <mergeCell ref="EBI158:EBK158"/>
    <mergeCell ref="DZD158:DZF158"/>
    <mergeCell ref="DZM158:DZO158"/>
    <mergeCell ref="DZP158:DZR158"/>
    <mergeCell ref="DZS158:DZU158"/>
    <mergeCell ref="EAB158:EAD158"/>
    <mergeCell ref="EAE158:EAG158"/>
    <mergeCell ref="DXZ158:DYB158"/>
    <mergeCell ref="DYI158:DYK158"/>
    <mergeCell ref="DYL158:DYN158"/>
    <mergeCell ref="DYO158:DYQ158"/>
    <mergeCell ref="DYX158:DYZ158"/>
    <mergeCell ref="DZA158:DZC158"/>
    <mergeCell ref="DWV158:DWX158"/>
    <mergeCell ref="DXE158:DXG158"/>
    <mergeCell ref="DXH158:DXJ158"/>
    <mergeCell ref="DXK158:DXM158"/>
    <mergeCell ref="DXT158:DXV158"/>
    <mergeCell ref="DXW158:DXY158"/>
    <mergeCell ref="DVR158:DVT158"/>
    <mergeCell ref="DWA158:DWC158"/>
    <mergeCell ref="DWD158:DWF158"/>
    <mergeCell ref="DWG158:DWI158"/>
    <mergeCell ref="DWP158:DWR158"/>
    <mergeCell ref="DWS158:DWU158"/>
    <mergeCell ref="DUN158:DUP158"/>
    <mergeCell ref="DUW158:DUY158"/>
    <mergeCell ref="DUZ158:DVB158"/>
    <mergeCell ref="DVC158:DVE158"/>
    <mergeCell ref="DVL158:DVN158"/>
    <mergeCell ref="DVO158:DVQ158"/>
    <mergeCell ref="DTJ158:DTL158"/>
    <mergeCell ref="DTS158:DTU158"/>
    <mergeCell ref="DTV158:DTX158"/>
    <mergeCell ref="DTY158:DUA158"/>
    <mergeCell ref="DUH158:DUJ158"/>
    <mergeCell ref="DUK158:DUM158"/>
    <mergeCell ref="DSF158:DSH158"/>
    <mergeCell ref="DSO158:DSQ158"/>
    <mergeCell ref="DSR158:DST158"/>
    <mergeCell ref="DSU158:DSW158"/>
    <mergeCell ref="DTD158:DTF158"/>
    <mergeCell ref="DTG158:DTI158"/>
    <mergeCell ref="DRB158:DRD158"/>
    <mergeCell ref="DRK158:DRM158"/>
    <mergeCell ref="DRN158:DRP158"/>
    <mergeCell ref="DRQ158:DRS158"/>
    <mergeCell ref="DRZ158:DSB158"/>
    <mergeCell ref="DSC158:DSE158"/>
    <mergeCell ref="DPX158:DPZ158"/>
    <mergeCell ref="DQG158:DQI158"/>
    <mergeCell ref="DQJ158:DQL158"/>
    <mergeCell ref="DQM158:DQO158"/>
    <mergeCell ref="DQV158:DQX158"/>
    <mergeCell ref="DQY158:DRA158"/>
    <mergeCell ref="DOT158:DOV158"/>
    <mergeCell ref="DPC158:DPE158"/>
    <mergeCell ref="DPF158:DPH158"/>
    <mergeCell ref="DPI158:DPK158"/>
    <mergeCell ref="DPR158:DPT158"/>
    <mergeCell ref="DPU158:DPW158"/>
    <mergeCell ref="DNP158:DNR158"/>
    <mergeCell ref="DNY158:DOA158"/>
    <mergeCell ref="DOB158:DOD158"/>
    <mergeCell ref="DOE158:DOG158"/>
    <mergeCell ref="DON158:DOP158"/>
    <mergeCell ref="DOQ158:DOS158"/>
    <mergeCell ref="DML158:DMN158"/>
    <mergeCell ref="DMU158:DMW158"/>
    <mergeCell ref="DMX158:DMZ158"/>
    <mergeCell ref="DNA158:DNC158"/>
    <mergeCell ref="DNJ158:DNL158"/>
    <mergeCell ref="DNM158:DNO158"/>
    <mergeCell ref="DLH158:DLJ158"/>
    <mergeCell ref="DLQ158:DLS158"/>
    <mergeCell ref="DLT158:DLV158"/>
    <mergeCell ref="DLW158:DLY158"/>
    <mergeCell ref="DMF158:DMH158"/>
    <mergeCell ref="DMI158:DMK158"/>
    <mergeCell ref="DKD158:DKF158"/>
    <mergeCell ref="DKM158:DKO158"/>
    <mergeCell ref="DKP158:DKR158"/>
    <mergeCell ref="DKS158:DKU158"/>
    <mergeCell ref="DLB158:DLD158"/>
    <mergeCell ref="DLE158:DLG158"/>
    <mergeCell ref="DIZ158:DJB158"/>
    <mergeCell ref="DJI158:DJK158"/>
    <mergeCell ref="DJL158:DJN158"/>
    <mergeCell ref="DJO158:DJQ158"/>
    <mergeCell ref="DJX158:DJZ158"/>
    <mergeCell ref="DKA158:DKC158"/>
    <mergeCell ref="DHV158:DHX158"/>
    <mergeCell ref="DIE158:DIG158"/>
    <mergeCell ref="DIH158:DIJ158"/>
    <mergeCell ref="DIK158:DIM158"/>
    <mergeCell ref="DIT158:DIV158"/>
    <mergeCell ref="DIW158:DIY158"/>
    <mergeCell ref="DGR158:DGT158"/>
    <mergeCell ref="DHA158:DHC158"/>
    <mergeCell ref="DHD158:DHF158"/>
    <mergeCell ref="DHG158:DHI158"/>
    <mergeCell ref="DHP158:DHR158"/>
    <mergeCell ref="DHS158:DHU158"/>
    <mergeCell ref="DFN158:DFP158"/>
    <mergeCell ref="DFW158:DFY158"/>
    <mergeCell ref="DFZ158:DGB158"/>
    <mergeCell ref="DGC158:DGE158"/>
    <mergeCell ref="DGL158:DGN158"/>
    <mergeCell ref="DGO158:DGQ158"/>
    <mergeCell ref="DEJ158:DEL158"/>
    <mergeCell ref="DES158:DEU158"/>
    <mergeCell ref="DEV158:DEX158"/>
    <mergeCell ref="DEY158:DFA158"/>
    <mergeCell ref="DFH158:DFJ158"/>
    <mergeCell ref="DFK158:DFM158"/>
    <mergeCell ref="DDF158:DDH158"/>
    <mergeCell ref="DDO158:DDQ158"/>
    <mergeCell ref="DDR158:DDT158"/>
    <mergeCell ref="DDU158:DDW158"/>
    <mergeCell ref="DED158:DEF158"/>
    <mergeCell ref="DEG158:DEI158"/>
    <mergeCell ref="DCB158:DCD158"/>
    <mergeCell ref="DCK158:DCM158"/>
    <mergeCell ref="DCN158:DCP158"/>
    <mergeCell ref="DCQ158:DCS158"/>
    <mergeCell ref="DCZ158:DDB158"/>
    <mergeCell ref="DDC158:DDE158"/>
    <mergeCell ref="DAX158:DAZ158"/>
    <mergeCell ref="DBG158:DBI158"/>
    <mergeCell ref="DBJ158:DBL158"/>
    <mergeCell ref="DBM158:DBO158"/>
    <mergeCell ref="DBV158:DBX158"/>
    <mergeCell ref="DBY158:DCA158"/>
    <mergeCell ref="CZT158:CZV158"/>
    <mergeCell ref="DAC158:DAE158"/>
    <mergeCell ref="DAF158:DAH158"/>
    <mergeCell ref="DAI158:DAK158"/>
    <mergeCell ref="DAR158:DAT158"/>
    <mergeCell ref="DAU158:DAW158"/>
    <mergeCell ref="CYP158:CYR158"/>
    <mergeCell ref="CYY158:CZA158"/>
    <mergeCell ref="CZB158:CZD158"/>
    <mergeCell ref="CZE158:CZG158"/>
    <mergeCell ref="CZN158:CZP158"/>
    <mergeCell ref="CZQ158:CZS158"/>
    <mergeCell ref="CXL158:CXN158"/>
    <mergeCell ref="CXU158:CXW158"/>
    <mergeCell ref="CXX158:CXZ158"/>
    <mergeCell ref="CYA158:CYC158"/>
    <mergeCell ref="CYJ158:CYL158"/>
    <mergeCell ref="CYM158:CYO158"/>
    <mergeCell ref="CWH158:CWJ158"/>
    <mergeCell ref="CWQ158:CWS158"/>
    <mergeCell ref="CWT158:CWV158"/>
    <mergeCell ref="CWW158:CWY158"/>
    <mergeCell ref="CXF158:CXH158"/>
    <mergeCell ref="CXI158:CXK158"/>
    <mergeCell ref="CVD158:CVF158"/>
    <mergeCell ref="CVM158:CVO158"/>
    <mergeCell ref="CVP158:CVR158"/>
    <mergeCell ref="CVS158:CVU158"/>
    <mergeCell ref="CWB158:CWD158"/>
    <mergeCell ref="CWE158:CWG158"/>
    <mergeCell ref="CTZ158:CUB158"/>
    <mergeCell ref="CUI158:CUK158"/>
    <mergeCell ref="CUL158:CUN158"/>
    <mergeCell ref="CUO158:CUQ158"/>
    <mergeCell ref="CUX158:CUZ158"/>
    <mergeCell ref="CVA158:CVC158"/>
    <mergeCell ref="CSV158:CSX158"/>
    <mergeCell ref="CTE158:CTG158"/>
    <mergeCell ref="CTH158:CTJ158"/>
    <mergeCell ref="CTK158:CTM158"/>
    <mergeCell ref="CTT158:CTV158"/>
    <mergeCell ref="CTW158:CTY158"/>
    <mergeCell ref="CRR158:CRT158"/>
    <mergeCell ref="CSA158:CSC158"/>
    <mergeCell ref="CSD158:CSF158"/>
    <mergeCell ref="CSG158:CSI158"/>
    <mergeCell ref="CSP158:CSR158"/>
    <mergeCell ref="CSS158:CSU158"/>
    <mergeCell ref="CQN158:CQP158"/>
    <mergeCell ref="CQW158:CQY158"/>
    <mergeCell ref="CQZ158:CRB158"/>
    <mergeCell ref="CRC158:CRE158"/>
    <mergeCell ref="CRL158:CRN158"/>
    <mergeCell ref="CRO158:CRQ158"/>
    <mergeCell ref="CPJ158:CPL158"/>
    <mergeCell ref="CPS158:CPU158"/>
    <mergeCell ref="CPV158:CPX158"/>
    <mergeCell ref="CPY158:CQA158"/>
    <mergeCell ref="CQH158:CQJ158"/>
    <mergeCell ref="CQK158:CQM158"/>
    <mergeCell ref="COF158:COH158"/>
    <mergeCell ref="COO158:COQ158"/>
    <mergeCell ref="COR158:COT158"/>
    <mergeCell ref="COU158:COW158"/>
    <mergeCell ref="CPD158:CPF158"/>
    <mergeCell ref="CPG158:CPI158"/>
    <mergeCell ref="CNB158:CND158"/>
    <mergeCell ref="CNK158:CNM158"/>
    <mergeCell ref="CNN158:CNP158"/>
    <mergeCell ref="CNQ158:CNS158"/>
    <mergeCell ref="CNZ158:COB158"/>
    <mergeCell ref="COC158:COE158"/>
    <mergeCell ref="CLX158:CLZ158"/>
    <mergeCell ref="CMG158:CMI158"/>
    <mergeCell ref="CMJ158:CML158"/>
    <mergeCell ref="CMM158:CMO158"/>
    <mergeCell ref="CMV158:CMX158"/>
    <mergeCell ref="CMY158:CNA158"/>
    <mergeCell ref="CKT158:CKV158"/>
    <mergeCell ref="CLC158:CLE158"/>
    <mergeCell ref="CLF158:CLH158"/>
    <mergeCell ref="CLI158:CLK158"/>
    <mergeCell ref="CLR158:CLT158"/>
    <mergeCell ref="CLU158:CLW158"/>
    <mergeCell ref="CJP158:CJR158"/>
    <mergeCell ref="CJY158:CKA158"/>
    <mergeCell ref="CKB158:CKD158"/>
    <mergeCell ref="CKE158:CKG158"/>
    <mergeCell ref="CKN158:CKP158"/>
    <mergeCell ref="CKQ158:CKS158"/>
    <mergeCell ref="CIL158:CIN158"/>
    <mergeCell ref="CIU158:CIW158"/>
    <mergeCell ref="CIX158:CIZ158"/>
    <mergeCell ref="CJA158:CJC158"/>
    <mergeCell ref="CJJ158:CJL158"/>
    <mergeCell ref="CJM158:CJO158"/>
    <mergeCell ref="CHH158:CHJ158"/>
    <mergeCell ref="CHQ158:CHS158"/>
    <mergeCell ref="CHT158:CHV158"/>
    <mergeCell ref="CHW158:CHY158"/>
    <mergeCell ref="CIF158:CIH158"/>
    <mergeCell ref="CII158:CIK158"/>
    <mergeCell ref="CGD158:CGF158"/>
    <mergeCell ref="CGM158:CGO158"/>
    <mergeCell ref="CGP158:CGR158"/>
    <mergeCell ref="CGS158:CGU158"/>
    <mergeCell ref="CHB158:CHD158"/>
    <mergeCell ref="CHE158:CHG158"/>
    <mergeCell ref="CEZ158:CFB158"/>
    <mergeCell ref="CFI158:CFK158"/>
    <mergeCell ref="CFL158:CFN158"/>
    <mergeCell ref="CFO158:CFQ158"/>
    <mergeCell ref="CFX158:CFZ158"/>
    <mergeCell ref="CGA158:CGC158"/>
    <mergeCell ref="CDV158:CDX158"/>
    <mergeCell ref="CEE158:CEG158"/>
    <mergeCell ref="CEH158:CEJ158"/>
    <mergeCell ref="CEK158:CEM158"/>
    <mergeCell ref="CET158:CEV158"/>
    <mergeCell ref="CEW158:CEY158"/>
    <mergeCell ref="CCR158:CCT158"/>
    <mergeCell ref="CDA158:CDC158"/>
    <mergeCell ref="CDD158:CDF158"/>
    <mergeCell ref="CDG158:CDI158"/>
    <mergeCell ref="CDP158:CDR158"/>
    <mergeCell ref="CDS158:CDU158"/>
    <mergeCell ref="CBN158:CBP158"/>
    <mergeCell ref="CBW158:CBY158"/>
    <mergeCell ref="CBZ158:CCB158"/>
    <mergeCell ref="CCC158:CCE158"/>
    <mergeCell ref="CCL158:CCN158"/>
    <mergeCell ref="CCO158:CCQ158"/>
    <mergeCell ref="CAJ158:CAL158"/>
    <mergeCell ref="CAS158:CAU158"/>
    <mergeCell ref="CAV158:CAX158"/>
    <mergeCell ref="CAY158:CBA158"/>
    <mergeCell ref="CBH158:CBJ158"/>
    <mergeCell ref="CBK158:CBM158"/>
    <mergeCell ref="BZF158:BZH158"/>
    <mergeCell ref="BZO158:BZQ158"/>
    <mergeCell ref="BZR158:BZT158"/>
    <mergeCell ref="BZU158:BZW158"/>
    <mergeCell ref="CAD158:CAF158"/>
    <mergeCell ref="CAG158:CAI158"/>
    <mergeCell ref="BYB158:BYD158"/>
    <mergeCell ref="BYK158:BYM158"/>
    <mergeCell ref="BYN158:BYP158"/>
    <mergeCell ref="BYQ158:BYS158"/>
    <mergeCell ref="BYZ158:BZB158"/>
    <mergeCell ref="BZC158:BZE158"/>
    <mergeCell ref="BWX158:BWZ158"/>
    <mergeCell ref="BXG158:BXI158"/>
    <mergeCell ref="BXJ158:BXL158"/>
    <mergeCell ref="BXM158:BXO158"/>
    <mergeCell ref="BXV158:BXX158"/>
    <mergeCell ref="BXY158:BYA158"/>
    <mergeCell ref="BVT158:BVV158"/>
    <mergeCell ref="BWC158:BWE158"/>
    <mergeCell ref="BWF158:BWH158"/>
    <mergeCell ref="BWI158:BWK158"/>
    <mergeCell ref="BWR158:BWT158"/>
    <mergeCell ref="BWU158:BWW158"/>
    <mergeCell ref="BUP158:BUR158"/>
    <mergeCell ref="BUY158:BVA158"/>
    <mergeCell ref="BVB158:BVD158"/>
    <mergeCell ref="BVE158:BVG158"/>
    <mergeCell ref="BVN158:BVP158"/>
    <mergeCell ref="BVQ158:BVS158"/>
    <mergeCell ref="BTL158:BTN158"/>
    <mergeCell ref="BTU158:BTW158"/>
    <mergeCell ref="BTX158:BTZ158"/>
    <mergeCell ref="BUA158:BUC158"/>
    <mergeCell ref="BUJ158:BUL158"/>
    <mergeCell ref="BUM158:BUO158"/>
    <mergeCell ref="BSH158:BSJ158"/>
    <mergeCell ref="BSQ158:BSS158"/>
    <mergeCell ref="BST158:BSV158"/>
    <mergeCell ref="BSW158:BSY158"/>
    <mergeCell ref="BTF158:BTH158"/>
    <mergeCell ref="BTI158:BTK158"/>
    <mergeCell ref="BRD158:BRF158"/>
    <mergeCell ref="BRM158:BRO158"/>
    <mergeCell ref="BRP158:BRR158"/>
    <mergeCell ref="BRS158:BRU158"/>
    <mergeCell ref="BSB158:BSD158"/>
    <mergeCell ref="BSE158:BSG158"/>
    <mergeCell ref="BPZ158:BQB158"/>
    <mergeCell ref="BQI158:BQK158"/>
    <mergeCell ref="BQL158:BQN158"/>
    <mergeCell ref="BQO158:BQQ158"/>
    <mergeCell ref="BQX158:BQZ158"/>
    <mergeCell ref="BRA158:BRC158"/>
    <mergeCell ref="BOV158:BOX158"/>
    <mergeCell ref="BPE158:BPG158"/>
    <mergeCell ref="BPH158:BPJ158"/>
    <mergeCell ref="BPK158:BPM158"/>
    <mergeCell ref="BPT158:BPV158"/>
    <mergeCell ref="BPW158:BPY158"/>
    <mergeCell ref="BNR158:BNT158"/>
    <mergeCell ref="BOA158:BOC158"/>
    <mergeCell ref="BOD158:BOF158"/>
    <mergeCell ref="BOG158:BOI158"/>
    <mergeCell ref="BOP158:BOR158"/>
    <mergeCell ref="BOS158:BOU158"/>
    <mergeCell ref="BMN158:BMP158"/>
    <mergeCell ref="BMW158:BMY158"/>
    <mergeCell ref="BMZ158:BNB158"/>
    <mergeCell ref="BNC158:BNE158"/>
    <mergeCell ref="BNL158:BNN158"/>
    <mergeCell ref="BNO158:BNQ158"/>
    <mergeCell ref="BLJ158:BLL158"/>
    <mergeCell ref="BLS158:BLU158"/>
    <mergeCell ref="BLV158:BLX158"/>
    <mergeCell ref="BLY158:BMA158"/>
    <mergeCell ref="BMH158:BMJ158"/>
    <mergeCell ref="BMK158:BMM158"/>
    <mergeCell ref="BKF158:BKH158"/>
    <mergeCell ref="BKO158:BKQ158"/>
    <mergeCell ref="BKR158:BKT158"/>
    <mergeCell ref="BKU158:BKW158"/>
    <mergeCell ref="BLD158:BLF158"/>
    <mergeCell ref="BLG158:BLI158"/>
    <mergeCell ref="BJB158:BJD158"/>
    <mergeCell ref="BJK158:BJM158"/>
    <mergeCell ref="BJN158:BJP158"/>
    <mergeCell ref="BJQ158:BJS158"/>
    <mergeCell ref="BJZ158:BKB158"/>
    <mergeCell ref="BKC158:BKE158"/>
    <mergeCell ref="BHX158:BHZ158"/>
    <mergeCell ref="BIG158:BII158"/>
    <mergeCell ref="BIJ158:BIL158"/>
    <mergeCell ref="BIM158:BIO158"/>
    <mergeCell ref="BIV158:BIX158"/>
    <mergeCell ref="BIY158:BJA158"/>
    <mergeCell ref="BGT158:BGV158"/>
    <mergeCell ref="BHC158:BHE158"/>
    <mergeCell ref="BHF158:BHH158"/>
    <mergeCell ref="BHI158:BHK158"/>
    <mergeCell ref="BHR158:BHT158"/>
    <mergeCell ref="BHU158:BHW158"/>
    <mergeCell ref="BFP158:BFR158"/>
    <mergeCell ref="BFY158:BGA158"/>
    <mergeCell ref="BGB158:BGD158"/>
    <mergeCell ref="BGE158:BGG158"/>
    <mergeCell ref="BGN158:BGP158"/>
    <mergeCell ref="BGQ158:BGS158"/>
    <mergeCell ref="BEL158:BEN158"/>
    <mergeCell ref="BEU158:BEW158"/>
    <mergeCell ref="BEX158:BEZ158"/>
    <mergeCell ref="BFA158:BFC158"/>
    <mergeCell ref="BFJ158:BFL158"/>
    <mergeCell ref="BFM158:BFO158"/>
    <mergeCell ref="BDH158:BDJ158"/>
    <mergeCell ref="BDQ158:BDS158"/>
    <mergeCell ref="BDT158:BDV158"/>
    <mergeCell ref="BDW158:BDY158"/>
    <mergeCell ref="BEF158:BEH158"/>
    <mergeCell ref="BEI158:BEK158"/>
    <mergeCell ref="BCD158:BCF158"/>
    <mergeCell ref="BCM158:BCO158"/>
    <mergeCell ref="BCP158:BCR158"/>
    <mergeCell ref="BCS158:BCU158"/>
    <mergeCell ref="BDB158:BDD158"/>
    <mergeCell ref="BDE158:BDG158"/>
    <mergeCell ref="BAZ158:BBB158"/>
    <mergeCell ref="BBI158:BBK158"/>
    <mergeCell ref="BBL158:BBN158"/>
    <mergeCell ref="BBO158:BBQ158"/>
    <mergeCell ref="BBX158:BBZ158"/>
    <mergeCell ref="BCA158:BCC158"/>
    <mergeCell ref="AZV158:AZX158"/>
    <mergeCell ref="BAE158:BAG158"/>
    <mergeCell ref="BAH158:BAJ158"/>
    <mergeCell ref="BAK158:BAM158"/>
    <mergeCell ref="BAT158:BAV158"/>
    <mergeCell ref="BAW158:BAY158"/>
    <mergeCell ref="AYR158:AYT158"/>
    <mergeCell ref="AZA158:AZC158"/>
    <mergeCell ref="AZD158:AZF158"/>
    <mergeCell ref="AZG158:AZI158"/>
    <mergeCell ref="AZP158:AZR158"/>
    <mergeCell ref="AZS158:AZU158"/>
    <mergeCell ref="AXN158:AXP158"/>
    <mergeCell ref="AXW158:AXY158"/>
    <mergeCell ref="AXZ158:AYB158"/>
    <mergeCell ref="AYC158:AYE158"/>
    <mergeCell ref="AYL158:AYN158"/>
    <mergeCell ref="AYO158:AYQ158"/>
    <mergeCell ref="AWJ158:AWL158"/>
    <mergeCell ref="AWS158:AWU158"/>
    <mergeCell ref="AWV158:AWX158"/>
    <mergeCell ref="AWY158:AXA158"/>
    <mergeCell ref="AXH158:AXJ158"/>
    <mergeCell ref="AXK158:AXM158"/>
    <mergeCell ref="AVF158:AVH158"/>
    <mergeCell ref="AVO158:AVQ158"/>
    <mergeCell ref="AVR158:AVT158"/>
    <mergeCell ref="AVU158:AVW158"/>
    <mergeCell ref="AWD158:AWF158"/>
    <mergeCell ref="AWG158:AWI158"/>
    <mergeCell ref="AUB158:AUD158"/>
    <mergeCell ref="AUK158:AUM158"/>
    <mergeCell ref="AUN158:AUP158"/>
    <mergeCell ref="AUQ158:AUS158"/>
    <mergeCell ref="AUZ158:AVB158"/>
    <mergeCell ref="AVC158:AVE158"/>
    <mergeCell ref="ASX158:ASZ158"/>
    <mergeCell ref="ATG158:ATI158"/>
    <mergeCell ref="ATJ158:ATL158"/>
    <mergeCell ref="ATM158:ATO158"/>
    <mergeCell ref="ATV158:ATX158"/>
    <mergeCell ref="ATY158:AUA158"/>
    <mergeCell ref="ART158:ARV158"/>
    <mergeCell ref="ASC158:ASE158"/>
    <mergeCell ref="ASF158:ASH158"/>
    <mergeCell ref="ASI158:ASK158"/>
    <mergeCell ref="ASR158:AST158"/>
    <mergeCell ref="ASU158:ASW158"/>
    <mergeCell ref="AQP158:AQR158"/>
    <mergeCell ref="AQY158:ARA158"/>
    <mergeCell ref="ARB158:ARD158"/>
    <mergeCell ref="ARE158:ARG158"/>
    <mergeCell ref="ARN158:ARP158"/>
    <mergeCell ref="ARQ158:ARS158"/>
    <mergeCell ref="APL158:APN158"/>
    <mergeCell ref="APU158:APW158"/>
    <mergeCell ref="APX158:APZ158"/>
    <mergeCell ref="AQA158:AQC158"/>
    <mergeCell ref="AQJ158:AQL158"/>
    <mergeCell ref="AQM158:AQO158"/>
    <mergeCell ref="AOH158:AOJ158"/>
    <mergeCell ref="AOQ158:AOS158"/>
    <mergeCell ref="AOT158:AOV158"/>
    <mergeCell ref="AOW158:AOY158"/>
    <mergeCell ref="APF158:APH158"/>
    <mergeCell ref="API158:APK158"/>
    <mergeCell ref="AND158:ANF158"/>
    <mergeCell ref="ANM158:ANO158"/>
    <mergeCell ref="ANP158:ANR158"/>
    <mergeCell ref="ANS158:ANU158"/>
    <mergeCell ref="AOB158:AOD158"/>
    <mergeCell ref="AOE158:AOG158"/>
    <mergeCell ref="ALZ158:AMB158"/>
    <mergeCell ref="AMI158:AMK158"/>
    <mergeCell ref="AML158:AMN158"/>
    <mergeCell ref="AMO158:AMQ158"/>
    <mergeCell ref="AMX158:AMZ158"/>
    <mergeCell ref="ANA158:ANC158"/>
    <mergeCell ref="AKV158:AKX158"/>
    <mergeCell ref="ALE158:ALG158"/>
    <mergeCell ref="ALH158:ALJ158"/>
    <mergeCell ref="ALK158:ALM158"/>
    <mergeCell ref="ALT158:ALV158"/>
    <mergeCell ref="ALW158:ALY158"/>
    <mergeCell ref="AJR158:AJT158"/>
    <mergeCell ref="AKA158:AKC158"/>
    <mergeCell ref="AKD158:AKF158"/>
    <mergeCell ref="AKG158:AKI158"/>
    <mergeCell ref="AKP158:AKR158"/>
    <mergeCell ref="AKS158:AKU158"/>
    <mergeCell ref="AIN158:AIP158"/>
    <mergeCell ref="AIW158:AIY158"/>
    <mergeCell ref="AIZ158:AJB158"/>
    <mergeCell ref="AJC158:AJE158"/>
    <mergeCell ref="AJL158:AJN158"/>
    <mergeCell ref="AJO158:AJQ158"/>
    <mergeCell ref="AHJ158:AHL158"/>
    <mergeCell ref="AHS158:AHU158"/>
    <mergeCell ref="AHV158:AHX158"/>
    <mergeCell ref="AHY158:AIA158"/>
    <mergeCell ref="AIH158:AIJ158"/>
    <mergeCell ref="AIK158:AIM158"/>
    <mergeCell ref="AGF158:AGH158"/>
    <mergeCell ref="AGO158:AGQ158"/>
    <mergeCell ref="AGR158:AGT158"/>
    <mergeCell ref="AGU158:AGW158"/>
    <mergeCell ref="AHD158:AHF158"/>
    <mergeCell ref="AHG158:AHI158"/>
    <mergeCell ref="AFB158:AFD158"/>
    <mergeCell ref="AFK158:AFM158"/>
    <mergeCell ref="AFN158:AFP158"/>
    <mergeCell ref="AFQ158:AFS158"/>
    <mergeCell ref="AFZ158:AGB158"/>
    <mergeCell ref="AGC158:AGE158"/>
    <mergeCell ref="ADX158:ADZ158"/>
    <mergeCell ref="AEG158:AEI158"/>
    <mergeCell ref="AEJ158:AEL158"/>
    <mergeCell ref="AEM158:AEO158"/>
    <mergeCell ref="AEV158:AEX158"/>
    <mergeCell ref="AEY158:AFA158"/>
    <mergeCell ref="ACT158:ACV158"/>
    <mergeCell ref="ADC158:ADE158"/>
    <mergeCell ref="ADF158:ADH158"/>
    <mergeCell ref="ADI158:ADK158"/>
    <mergeCell ref="ADR158:ADT158"/>
    <mergeCell ref="ADU158:ADW158"/>
    <mergeCell ref="ABP158:ABR158"/>
    <mergeCell ref="ABY158:ACA158"/>
    <mergeCell ref="ACB158:ACD158"/>
    <mergeCell ref="ACE158:ACG158"/>
    <mergeCell ref="ACN158:ACP158"/>
    <mergeCell ref="ACQ158:ACS158"/>
    <mergeCell ref="AAL158:AAN158"/>
    <mergeCell ref="AAU158:AAW158"/>
    <mergeCell ref="AAX158:AAZ158"/>
    <mergeCell ref="ABA158:ABC158"/>
    <mergeCell ref="ABJ158:ABL158"/>
    <mergeCell ref="ABM158:ABO158"/>
    <mergeCell ref="ZH158:ZJ158"/>
    <mergeCell ref="ZQ158:ZS158"/>
    <mergeCell ref="ZT158:ZV158"/>
    <mergeCell ref="ZW158:ZY158"/>
    <mergeCell ref="AAF158:AAH158"/>
    <mergeCell ref="AAI158:AAK158"/>
    <mergeCell ref="YD158:YF158"/>
    <mergeCell ref="YM158:YO158"/>
    <mergeCell ref="YP158:YR158"/>
    <mergeCell ref="YS158:YU158"/>
    <mergeCell ref="ZB158:ZD158"/>
    <mergeCell ref="ZE158:ZG158"/>
    <mergeCell ref="WZ158:XB158"/>
    <mergeCell ref="XI158:XK158"/>
    <mergeCell ref="XL158:XN158"/>
    <mergeCell ref="XO158:XQ158"/>
    <mergeCell ref="XX158:XZ158"/>
    <mergeCell ref="YA158:YC158"/>
    <mergeCell ref="VV158:VX158"/>
    <mergeCell ref="WE158:WG158"/>
    <mergeCell ref="WH158:WJ158"/>
    <mergeCell ref="WK158:WM158"/>
    <mergeCell ref="WT158:WV158"/>
    <mergeCell ref="WW158:WY158"/>
    <mergeCell ref="UR158:UT158"/>
    <mergeCell ref="VA158:VC158"/>
    <mergeCell ref="VD158:VF158"/>
    <mergeCell ref="VG158:VI158"/>
    <mergeCell ref="VP158:VR158"/>
    <mergeCell ref="VS158:VU158"/>
    <mergeCell ref="TN158:TP158"/>
    <mergeCell ref="TW158:TY158"/>
    <mergeCell ref="TZ158:UB158"/>
    <mergeCell ref="UC158:UE158"/>
    <mergeCell ref="UL158:UN158"/>
    <mergeCell ref="UO158:UQ158"/>
    <mergeCell ref="SJ158:SL158"/>
    <mergeCell ref="SS158:SU158"/>
    <mergeCell ref="SV158:SX158"/>
    <mergeCell ref="SY158:TA158"/>
    <mergeCell ref="TH158:TJ158"/>
    <mergeCell ref="TK158:TM158"/>
    <mergeCell ref="RF158:RH158"/>
    <mergeCell ref="RO158:RQ158"/>
    <mergeCell ref="RR158:RT158"/>
    <mergeCell ref="RU158:RW158"/>
    <mergeCell ref="SD158:SF158"/>
    <mergeCell ref="SG158:SI158"/>
    <mergeCell ref="QB158:QD158"/>
    <mergeCell ref="QK158:QM158"/>
    <mergeCell ref="QN158:QP158"/>
    <mergeCell ref="QQ158:QS158"/>
    <mergeCell ref="QZ158:RB158"/>
    <mergeCell ref="RC158:RE158"/>
    <mergeCell ref="OX158:OZ158"/>
    <mergeCell ref="PG158:PI158"/>
    <mergeCell ref="PJ158:PL158"/>
    <mergeCell ref="PM158:PO158"/>
    <mergeCell ref="PV158:PX158"/>
    <mergeCell ref="PY158:QA158"/>
    <mergeCell ref="NT158:NV158"/>
    <mergeCell ref="OC158:OE158"/>
    <mergeCell ref="OF158:OH158"/>
    <mergeCell ref="OI158:OK158"/>
    <mergeCell ref="OR158:OT158"/>
    <mergeCell ref="OU158:OW158"/>
    <mergeCell ref="MJR157:MJT157"/>
    <mergeCell ref="MJU157:MJW157"/>
    <mergeCell ref="MKD157:MKF157"/>
    <mergeCell ref="C158:E158"/>
    <mergeCell ref="F158:H158"/>
    <mergeCell ref="I158:K158"/>
    <mergeCell ref="NB158:ND158"/>
    <mergeCell ref="NE158:NG158"/>
    <mergeCell ref="NN158:NP158"/>
    <mergeCell ref="NQ158:NS158"/>
    <mergeCell ref="MIN157:MIP157"/>
    <mergeCell ref="MIQ157:MIS157"/>
    <mergeCell ref="MIZ157:MJB157"/>
    <mergeCell ref="MJC157:MJE157"/>
    <mergeCell ref="MJF157:MJH157"/>
    <mergeCell ref="MJO157:MJQ157"/>
    <mergeCell ref="MHJ157:MHL157"/>
    <mergeCell ref="MHM157:MHO157"/>
    <mergeCell ref="MHV157:MHX157"/>
    <mergeCell ref="MHY157:MIA157"/>
    <mergeCell ref="MIB157:MID157"/>
    <mergeCell ref="MIK157:MIM157"/>
    <mergeCell ref="MGF157:MGH157"/>
    <mergeCell ref="MGI157:MGK157"/>
    <mergeCell ref="MGR157:MGT157"/>
    <mergeCell ref="MGU157:MGW157"/>
    <mergeCell ref="MGX157:MGZ157"/>
    <mergeCell ref="MHG157:MHI157"/>
    <mergeCell ref="MFB157:MFD157"/>
    <mergeCell ref="MFE157:MFG157"/>
    <mergeCell ref="MFN157:MFP157"/>
    <mergeCell ref="MFQ157:MFS157"/>
    <mergeCell ref="MFT157:MFV157"/>
    <mergeCell ref="MGC157:MGE157"/>
    <mergeCell ref="MDX157:MDZ157"/>
    <mergeCell ref="MEA157:MEC157"/>
    <mergeCell ref="MEJ157:MEL157"/>
    <mergeCell ref="MEM157:MEO157"/>
    <mergeCell ref="MEP157:MER157"/>
    <mergeCell ref="MEY157:MFA157"/>
    <mergeCell ref="MCT157:MCV157"/>
    <mergeCell ref="MCW157:MCY157"/>
    <mergeCell ref="MDF157:MDH157"/>
    <mergeCell ref="MDI157:MDK157"/>
    <mergeCell ref="MDL157:MDN157"/>
    <mergeCell ref="MDU157:MDW157"/>
    <mergeCell ref="MBP157:MBR157"/>
    <mergeCell ref="MBS157:MBU157"/>
    <mergeCell ref="MCB157:MCD157"/>
    <mergeCell ref="MCE157:MCG157"/>
    <mergeCell ref="MCH157:MCJ157"/>
    <mergeCell ref="MCQ157:MCS157"/>
    <mergeCell ref="MAL157:MAN157"/>
    <mergeCell ref="MAO157:MAQ157"/>
    <mergeCell ref="MAX157:MAZ157"/>
    <mergeCell ref="MBA157:MBC157"/>
    <mergeCell ref="MBD157:MBF157"/>
    <mergeCell ref="MBM157:MBO157"/>
    <mergeCell ref="LZH157:LZJ157"/>
    <mergeCell ref="LZK157:LZM157"/>
    <mergeCell ref="LZT157:LZV157"/>
    <mergeCell ref="LZW157:LZY157"/>
    <mergeCell ref="LZZ157:MAB157"/>
    <mergeCell ref="MAI157:MAK157"/>
    <mergeCell ref="LYD157:LYF157"/>
    <mergeCell ref="LYG157:LYI157"/>
    <mergeCell ref="LYP157:LYR157"/>
    <mergeCell ref="LYS157:LYU157"/>
    <mergeCell ref="LYV157:LYX157"/>
    <mergeCell ref="LZE157:LZG157"/>
    <mergeCell ref="LWZ157:LXB157"/>
    <mergeCell ref="LXC157:LXE157"/>
    <mergeCell ref="LXL157:LXN157"/>
    <mergeCell ref="LXO157:LXQ157"/>
    <mergeCell ref="LXR157:LXT157"/>
    <mergeCell ref="LYA157:LYC157"/>
    <mergeCell ref="LVV157:LVX157"/>
    <mergeCell ref="LVY157:LWA157"/>
    <mergeCell ref="LWH157:LWJ157"/>
    <mergeCell ref="LWK157:LWM157"/>
    <mergeCell ref="LWN157:LWP157"/>
    <mergeCell ref="LWW157:LWY157"/>
    <mergeCell ref="LUR157:LUT157"/>
    <mergeCell ref="LUU157:LUW157"/>
    <mergeCell ref="LVD157:LVF157"/>
    <mergeCell ref="LVG157:LVI157"/>
    <mergeCell ref="LVJ157:LVL157"/>
    <mergeCell ref="LVS157:LVU157"/>
    <mergeCell ref="LTN157:LTP157"/>
    <mergeCell ref="LTQ157:LTS157"/>
    <mergeCell ref="LTZ157:LUB157"/>
    <mergeCell ref="LUC157:LUE157"/>
    <mergeCell ref="LUF157:LUH157"/>
    <mergeCell ref="LUO157:LUQ157"/>
    <mergeCell ref="LSJ157:LSL157"/>
    <mergeCell ref="LSM157:LSO157"/>
    <mergeCell ref="LSV157:LSX157"/>
    <mergeCell ref="LSY157:LTA157"/>
    <mergeCell ref="LTB157:LTD157"/>
    <mergeCell ref="LTK157:LTM157"/>
    <mergeCell ref="LRF157:LRH157"/>
    <mergeCell ref="LRI157:LRK157"/>
    <mergeCell ref="LRR157:LRT157"/>
    <mergeCell ref="LRU157:LRW157"/>
    <mergeCell ref="LRX157:LRZ157"/>
    <mergeCell ref="LSG157:LSI157"/>
    <mergeCell ref="LQB157:LQD157"/>
    <mergeCell ref="LQE157:LQG157"/>
    <mergeCell ref="LQN157:LQP157"/>
    <mergeCell ref="LQQ157:LQS157"/>
    <mergeCell ref="LQT157:LQV157"/>
    <mergeCell ref="LRC157:LRE157"/>
    <mergeCell ref="LOX157:LOZ157"/>
    <mergeCell ref="LPA157:LPC157"/>
    <mergeCell ref="LPJ157:LPL157"/>
    <mergeCell ref="LPM157:LPO157"/>
    <mergeCell ref="LPP157:LPR157"/>
    <mergeCell ref="LPY157:LQA157"/>
    <mergeCell ref="LNT157:LNV157"/>
    <mergeCell ref="LNW157:LNY157"/>
    <mergeCell ref="LOF157:LOH157"/>
    <mergeCell ref="LOI157:LOK157"/>
    <mergeCell ref="LOL157:LON157"/>
    <mergeCell ref="LOU157:LOW157"/>
    <mergeCell ref="LMP157:LMR157"/>
    <mergeCell ref="LMS157:LMU157"/>
    <mergeCell ref="LNB157:LND157"/>
    <mergeCell ref="LNE157:LNG157"/>
    <mergeCell ref="LNH157:LNJ157"/>
    <mergeCell ref="LNQ157:LNS157"/>
    <mergeCell ref="LLL157:LLN157"/>
    <mergeCell ref="LLO157:LLQ157"/>
    <mergeCell ref="LLX157:LLZ157"/>
    <mergeCell ref="LMA157:LMC157"/>
    <mergeCell ref="LMD157:LMF157"/>
    <mergeCell ref="LMM157:LMO157"/>
    <mergeCell ref="LKH157:LKJ157"/>
    <mergeCell ref="LKK157:LKM157"/>
    <mergeCell ref="LKT157:LKV157"/>
    <mergeCell ref="LKW157:LKY157"/>
    <mergeCell ref="LKZ157:LLB157"/>
    <mergeCell ref="LLI157:LLK157"/>
    <mergeCell ref="LJD157:LJF157"/>
    <mergeCell ref="LJG157:LJI157"/>
    <mergeCell ref="LJP157:LJR157"/>
    <mergeCell ref="LJS157:LJU157"/>
    <mergeCell ref="LJV157:LJX157"/>
    <mergeCell ref="LKE157:LKG157"/>
    <mergeCell ref="LHZ157:LIB157"/>
    <mergeCell ref="LIC157:LIE157"/>
    <mergeCell ref="LIL157:LIN157"/>
    <mergeCell ref="LIO157:LIQ157"/>
    <mergeCell ref="LIR157:LIT157"/>
    <mergeCell ref="LJA157:LJC157"/>
    <mergeCell ref="LGV157:LGX157"/>
    <mergeCell ref="LGY157:LHA157"/>
    <mergeCell ref="LHH157:LHJ157"/>
    <mergeCell ref="LHK157:LHM157"/>
    <mergeCell ref="LHN157:LHP157"/>
    <mergeCell ref="LHW157:LHY157"/>
    <mergeCell ref="LFR157:LFT157"/>
    <mergeCell ref="LFU157:LFW157"/>
    <mergeCell ref="LGD157:LGF157"/>
    <mergeCell ref="LGG157:LGI157"/>
    <mergeCell ref="LGJ157:LGL157"/>
    <mergeCell ref="LGS157:LGU157"/>
    <mergeCell ref="LEN157:LEP157"/>
    <mergeCell ref="LEQ157:LES157"/>
    <mergeCell ref="LEZ157:LFB157"/>
    <mergeCell ref="LFC157:LFE157"/>
    <mergeCell ref="LFF157:LFH157"/>
    <mergeCell ref="LFO157:LFQ157"/>
    <mergeCell ref="LDJ157:LDL157"/>
    <mergeCell ref="LDM157:LDO157"/>
    <mergeCell ref="LDV157:LDX157"/>
    <mergeCell ref="LDY157:LEA157"/>
    <mergeCell ref="LEB157:LED157"/>
    <mergeCell ref="LEK157:LEM157"/>
    <mergeCell ref="LCF157:LCH157"/>
    <mergeCell ref="LCI157:LCK157"/>
    <mergeCell ref="LCR157:LCT157"/>
    <mergeCell ref="LCU157:LCW157"/>
    <mergeCell ref="LCX157:LCZ157"/>
    <mergeCell ref="LDG157:LDI157"/>
    <mergeCell ref="LBB157:LBD157"/>
    <mergeCell ref="LBE157:LBG157"/>
    <mergeCell ref="LBN157:LBP157"/>
    <mergeCell ref="LBQ157:LBS157"/>
    <mergeCell ref="LBT157:LBV157"/>
    <mergeCell ref="LCC157:LCE157"/>
    <mergeCell ref="KZX157:KZZ157"/>
    <mergeCell ref="LAA157:LAC157"/>
    <mergeCell ref="LAJ157:LAL157"/>
    <mergeCell ref="LAM157:LAO157"/>
    <mergeCell ref="LAP157:LAR157"/>
    <mergeCell ref="LAY157:LBA157"/>
    <mergeCell ref="KYT157:KYV157"/>
    <mergeCell ref="KYW157:KYY157"/>
    <mergeCell ref="KZF157:KZH157"/>
    <mergeCell ref="KZI157:KZK157"/>
    <mergeCell ref="KZL157:KZN157"/>
    <mergeCell ref="KZU157:KZW157"/>
    <mergeCell ref="KXP157:KXR157"/>
    <mergeCell ref="KXS157:KXU157"/>
    <mergeCell ref="KYB157:KYD157"/>
    <mergeCell ref="KYE157:KYG157"/>
    <mergeCell ref="KYH157:KYJ157"/>
    <mergeCell ref="KYQ157:KYS157"/>
    <mergeCell ref="KWL157:KWN157"/>
    <mergeCell ref="KWO157:KWQ157"/>
    <mergeCell ref="KWX157:KWZ157"/>
    <mergeCell ref="KXA157:KXC157"/>
    <mergeCell ref="KXD157:KXF157"/>
    <mergeCell ref="KXM157:KXO157"/>
    <mergeCell ref="KVH157:KVJ157"/>
    <mergeCell ref="KVK157:KVM157"/>
    <mergeCell ref="KVT157:KVV157"/>
    <mergeCell ref="KVW157:KVY157"/>
    <mergeCell ref="KVZ157:KWB157"/>
    <mergeCell ref="KWI157:KWK157"/>
    <mergeCell ref="KUD157:KUF157"/>
    <mergeCell ref="KUG157:KUI157"/>
    <mergeCell ref="KUP157:KUR157"/>
    <mergeCell ref="KUS157:KUU157"/>
    <mergeCell ref="KUV157:KUX157"/>
    <mergeCell ref="KVE157:KVG157"/>
    <mergeCell ref="KSZ157:KTB157"/>
    <mergeCell ref="KTC157:KTE157"/>
    <mergeCell ref="KTL157:KTN157"/>
    <mergeCell ref="KTO157:KTQ157"/>
    <mergeCell ref="KTR157:KTT157"/>
    <mergeCell ref="KUA157:KUC157"/>
    <mergeCell ref="KRV157:KRX157"/>
    <mergeCell ref="KRY157:KSA157"/>
    <mergeCell ref="KSH157:KSJ157"/>
    <mergeCell ref="KSK157:KSM157"/>
    <mergeCell ref="KSN157:KSP157"/>
    <mergeCell ref="KSW157:KSY157"/>
    <mergeCell ref="KQR157:KQT157"/>
    <mergeCell ref="KQU157:KQW157"/>
    <mergeCell ref="KRD157:KRF157"/>
    <mergeCell ref="KRG157:KRI157"/>
    <mergeCell ref="KRJ157:KRL157"/>
    <mergeCell ref="KRS157:KRU157"/>
    <mergeCell ref="KPN157:KPP157"/>
    <mergeCell ref="KPQ157:KPS157"/>
    <mergeCell ref="KPZ157:KQB157"/>
    <mergeCell ref="KQC157:KQE157"/>
    <mergeCell ref="KQF157:KQH157"/>
    <mergeCell ref="KQO157:KQQ157"/>
    <mergeCell ref="KOJ157:KOL157"/>
    <mergeCell ref="KOM157:KOO157"/>
    <mergeCell ref="KOV157:KOX157"/>
    <mergeCell ref="KOY157:KPA157"/>
    <mergeCell ref="KPB157:KPD157"/>
    <mergeCell ref="KPK157:KPM157"/>
    <mergeCell ref="KNF157:KNH157"/>
    <mergeCell ref="KNI157:KNK157"/>
    <mergeCell ref="KNR157:KNT157"/>
    <mergeCell ref="KNU157:KNW157"/>
    <mergeCell ref="KNX157:KNZ157"/>
    <mergeCell ref="KOG157:KOI157"/>
    <mergeCell ref="KMB157:KMD157"/>
    <mergeCell ref="KME157:KMG157"/>
    <mergeCell ref="KMN157:KMP157"/>
    <mergeCell ref="KMQ157:KMS157"/>
    <mergeCell ref="KMT157:KMV157"/>
    <mergeCell ref="KNC157:KNE157"/>
    <mergeCell ref="KKX157:KKZ157"/>
    <mergeCell ref="KLA157:KLC157"/>
    <mergeCell ref="KLJ157:KLL157"/>
    <mergeCell ref="KLM157:KLO157"/>
    <mergeCell ref="KLP157:KLR157"/>
    <mergeCell ref="KLY157:KMA157"/>
    <mergeCell ref="KJT157:KJV157"/>
    <mergeCell ref="KJW157:KJY157"/>
    <mergeCell ref="KKF157:KKH157"/>
    <mergeCell ref="KKI157:KKK157"/>
    <mergeCell ref="KKL157:KKN157"/>
    <mergeCell ref="KKU157:KKW157"/>
    <mergeCell ref="KIP157:KIR157"/>
    <mergeCell ref="KIS157:KIU157"/>
    <mergeCell ref="KJB157:KJD157"/>
    <mergeCell ref="KJE157:KJG157"/>
    <mergeCell ref="KJH157:KJJ157"/>
    <mergeCell ref="KJQ157:KJS157"/>
    <mergeCell ref="KHL157:KHN157"/>
    <mergeCell ref="KHO157:KHQ157"/>
    <mergeCell ref="KHX157:KHZ157"/>
    <mergeCell ref="KIA157:KIC157"/>
    <mergeCell ref="KID157:KIF157"/>
    <mergeCell ref="KIM157:KIO157"/>
    <mergeCell ref="KGH157:KGJ157"/>
    <mergeCell ref="KGK157:KGM157"/>
    <mergeCell ref="KGT157:KGV157"/>
    <mergeCell ref="KGW157:KGY157"/>
    <mergeCell ref="KGZ157:KHB157"/>
    <mergeCell ref="KHI157:KHK157"/>
    <mergeCell ref="KFD157:KFF157"/>
    <mergeCell ref="KFG157:KFI157"/>
    <mergeCell ref="KFP157:KFR157"/>
    <mergeCell ref="KFS157:KFU157"/>
    <mergeCell ref="KFV157:KFX157"/>
    <mergeCell ref="KGE157:KGG157"/>
    <mergeCell ref="KDZ157:KEB157"/>
    <mergeCell ref="KEC157:KEE157"/>
    <mergeCell ref="KEL157:KEN157"/>
    <mergeCell ref="KEO157:KEQ157"/>
    <mergeCell ref="KER157:KET157"/>
    <mergeCell ref="KFA157:KFC157"/>
    <mergeCell ref="KCV157:KCX157"/>
    <mergeCell ref="KCY157:KDA157"/>
    <mergeCell ref="KDH157:KDJ157"/>
    <mergeCell ref="KDK157:KDM157"/>
    <mergeCell ref="KDN157:KDP157"/>
    <mergeCell ref="KDW157:KDY157"/>
    <mergeCell ref="KBR157:KBT157"/>
    <mergeCell ref="KBU157:KBW157"/>
    <mergeCell ref="KCD157:KCF157"/>
    <mergeCell ref="KCG157:KCI157"/>
    <mergeCell ref="KCJ157:KCL157"/>
    <mergeCell ref="KCS157:KCU157"/>
    <mergeCell ref="KAN157:KAP157"/>
    <mergeCell ref="KAQ157:KAS157"/>
    <mergeCell ref="KAZ157:KBB157"/>
    <mergeCell ref="KBC157:KBE157"/>
    <mergeCell ref="KBF157:KBH157"/>
    <mergeCell ref="KBO157:KBQ157"/>
    <mergeCell ref="JZJ157:JZL157"/>
    <mergeCell ref="JZM157:JZO157"/>
    <mergeCell ref="JZV157:JZX157"/>
    <mergeCell ref="JZY157:KAA157"/>
    <mergeCell ref="KAB157:KAD157"/>
    <mergeCell ref="KAK157:KAM157"/>
    <mergeCell ref="JYF157:JYH157"/>
    <mergeCell ref="JYI157:JYK157"/>
    <mergeCell ref="JYR157:JYT157"/>
    <mergeCell ref="JYU157:JYW157"/>
    <mergeCell ref="JYX157:JYZ157"/>
    <mergeCell ref="JZG157:JZI157"/>
    <mergeCell ref="JXB157:JXD157"/>
    <mergeCell ref="JXE157:JXG157"/>
    <mergeCell ref="JXN157:JXP157"/>
    <mergeCell ref="JXQ157:JXS157"/>
    <mergeCell ref="JXT157:JXV157"/>
    <mergeCell ref="JYC157:JYE157"/>
    <mergeCell ref="JVX157:JVZ157"/>
    <mergeCell ref="JWA157:JWC157"/>
    <mergeCell ref="JWJ157:JWL157"/>
    <mergeCell ref="JWM157:JWO157"/>
    <mergeCell ref="JWP157:JWR157"/>
    <mergeCell ref="JWY157:JXA157"/>
    <mergeCell ref="JUT157:JUV157"/>
    <mergeCell ref="JUW157:JUY157"/>
    <mergeCell ref="JVF157:JVH157"/>
    <mergeCell ref="JVI157:JVK157"/>
    <mergeCell ref="JVL157:JVN157"/>
    <mergeCell ref="JVU157:JVW157"/>
    <mergeCell ref="JTP157:JTR157"/>
    <mergeCell ref="JTS157:JTU157"/>
    <mergeCell ref="JUB157:JUD157"/>
    <mergeCell ref="JUE157:JUG157"/>
    <mergeCell ref="JUH157:JUJ157"/>
    <mergeCell ref="JUQ157:JUS157"/>
    <mergeCell ref="JSL157:JSN157"/>
    <mergeCell ref="JSO157:JSQ157"/>
    <mergeCell ref="JSX157:JSZ157"/>
    <mergeCell ref="JTA157:JTC157"/>
    <mergeCell ref="JTD157:JTF157"/>
    <mergeCell ref="JTM157:JTO157"/>
    <mergeCell ref="JRH157:JRJ157"/>
    <mergeCell ref="JRK157:JRM157"/>
    <mergeCell ref="JRT157:JRV157"/>
    <mergeCell ref="JRW157:JRY157"/>
    <mergeCell ref="JRZ157:JSB157"/>
    <mergeCell ref="JSI157:JSK157"/>
    <mergeCell ref="JQD157:JQF157"/>
    <mergeCell ref="JQG157:JQI157"/>
    <mergeCell ref="JQP157:JQR157"/>
    <mergeCell ref="JQS157:JQU157"/>
    <mergeCell ref="JQV157:JQX157"/>
    <mergeCell ref="JRE157:JRG157"/>
    <mergeCell ref="JOZ157:JPB157"/>
    <mergeCell ref="JPC157:JPE157"/>
    <mergeCell ref="JPL157:JPN157"/>
    <mergeCell ref="JPO157:JPQ157"/>
    <mergeCell ref="JPR157:JPT157"/>
    <mergeCell ref="JQA157:JQC157"/>
    <mergeCell ref="JNV157:JNX157"/>
    <mergeCell ref="JNY157:JOA157"/>
    <mergeCell ref="JOH157:JOJ157"/>
    <mergeCell ref="JOK157:JOM157"/>
    <mergeCell ref="JON157:JOP157"/>
    <mergeCell ref="JOW157:JOY157"/>
    <mergeCell ref="JMR157:JMT157"/>
    <mergeCell ref="JMU157:JMW157"/>
    <mergeCell ref="JND157:JNF157"/>
    <mergeCell ref="JNG157:JNI157"/>
    <mergeCell ref="JNJ157:JNL157"/>
    <mergeCell ref="JNS157:JNU157"/>
    <mergeCell ref="JLN157:JLP157"/>
    <mergeCell ref="JLQ157:JLS157"/>
    <mergeCell ref="JLZ157:JMB157"/>
    <mergeCell ref="JMC157:JME157"/>
    <mergeCell ref="JMF157:JMH157"/>
    <mergeCell ref="JMO157:JMQ157"/>
    <mergeCell ref="JKJ157:JKL157"/>
    <mergeCell ref="JKM157:JKO157"/>
    <mergeCell ref="JKV157:JKX157"/>
    <mergeCell ref="JKY157:JLA157"/>
    <mergeCell ref="JLB157:JLD157"/>
    <mergeCell ref="JLK157:JLM157"/>
    <mergeCell ref="JJF157:JJH157"/>
    <mergeCell ref="JJI157:JJK157"/>
    <mergeCell ref="JJR157:JJT157"/>
    <mergeCell ref="JJU157:JJW157"/>
    <mergeCell ref="JJX157:JJZ157"/>
    <mergeCell ref="JKG157:JKI157"/>
    <mergeCell ref="JIB157:JID157"/>
    <mergeCell ref="JIE157:JIG157"/>
    <mergeCell ref="JIN157:JIP157"/>
    <mergeCell ref="JIQ157:JIS157"/>
    <mergeCell ref="JIT157:JIV157"/>
    <mergeCell ref="JJC157:JJE157"/>
    <mergeCell ref="JGX157:JGZ157"/>
    <mergeCell ref="JHA157:JHC157"/>
    <mergeCell ref="JHJ157:JHL157"/>
    <mergeCell ref="JHM157:JHO157"/>
    <mergeCell ref="JHP157:JHR157"/>
    <mergeCell ref="JHY157:JIA157"/>
    <mergeCell ref="JFT157:JFV157"/>
    <mergeCell ref="JFW157:JFY157"/>
    <mergeCell ref="JGF157:JGH157"/>
    <mergeCell ref="JGI157:JGK157"/>
    <mergeCell ref="JGL157:JGN157"/>
    <mergeCell ref="JGU157:JGW157"/>
    <mergeCell ref="JEP157:JER157"/>
    <mergeCell ref="JES157:JEU157"/>
    <mergeCell ref="JFB157:JFD157"/>
    <mergeCell ref="JFE157:JFG157"/>
    <mergeCell ref="JFH157:JFJ157"/>
    <mergeCell ref="JFQ157:JFS157"/>
    <mergeCell ref="JDL157:JDN157"/>
    <mergeCell ref="JDO157:JDQ157"/>
    <mergeCell ref="JDX157:JDZ157"/>
    <mergeCell ref="JEA157:JEC157"/>
    <mergeCell ref="JED157:JEF157"/>
    <mergeCell ref="JEM157:JEO157"/>
    <mergeCell ref="JCH157:JCJ157"/>
    <mergeCell ref="JCK157:JCM157"/>
    <mergeCell ref="JCT157:JCV157"/>
    <mergeCell ref="JCW157:JCY157"/>
    <mergeCell ref="JCZ157:JDB157"/>
    <mergeCell ref="JDI157:JDK157"/>
    <mergeCell ref="JBD157:JBF157"/>
    <mergeCell ref="JBG157:JBI157"/>
    <mergeCell ref="JBP157:JBR157"/>
    <mergeCell ref="JBS157:JBU157"/>
    <mergeCell ref="JBV157:JBX157"/>
    <mergeCell ref="JCE157:JCG157"/>
    <mergeCell ref="IZZ157:JAB157"/>
    <mergeCell ref="JAC157:JAE157"/>
    <mergeCell ref="JAL157:JAN157"/>
    <mergeCell ref="JAO157:JAQ157"/>
    <mergeCell ref="JAR157:JAT157"/>
    <mergeCell ref="JBA157:JBC157"/>
    <mergeCell ref="IYV157:IYX157"/>
    <mergeCell ref="IYY157:IZA157"/>
    <mergeCell ref="IZH157:IZJ157"/>
    <mergeCell ref="IZK157:IZM157"/>
    <mergeCell ref="IZN157:IZP157"/>
    <mergeCell ref="IZW157:IZY157"/>
    <mergeCell ref="IXR157:IXT157"/>
    <mergeCell ref="IXU157:IXW157"/>
    <mergeCell ref="IYD157:IYF157"/>
    <mergeCell ref="IYG157:IYI157"/>
    <mergeCell ref="IYJ157:IYL157"/>
    <mergeCell ref="IYS157:IYU157"/>
    <mergeCell ref="IWN157:IWP157"/>
    <mergeCell ref="IWQ157:IWS157"/>
    <mergeCell ref="IWZ157:IXB157"/>
    <mergeCell ref="IXC157:IXE157"/>
    <mergeCell ref="IXF157:IXH157"/>
    <mergeCell ref="IXO157:IXQ157"/>
    <mergeCell ref="IVJ157:IVL157"/>
    <mergeCell ref="IVM157:IVO157"/>
    <mergeCell ref="IVV157:IVX157"/>
    <mergeCell ref="IVY157:IWA157"/>
    <mergeCell ref="IWB157:IWD157"/>
    <mergeCell ref="IWK157:IWM157"/>
    <mergeCell ref="IUF157:IUH157"/>
    <mergeCell ref="IUI157:IUK157"/>
    <mergeCell ref="IUR157:IUT157"/>
    <mergeCell ref="IUU157:IUW157"/>
    <mergeCell ref="IUX157:IUZ157"/>
    <mergeCell ref="IVG157:IVI157"/>
    <mergeCell ref="ITB157:ITD157"/>
    <mergeCell ref="ITE157:ITG157"/>
    <mergeCell ref="ITN157:ITP157"/>
    <mergeCell ref="ITQ157:ITS157"/>
    <mergeCell ref="ITT157:ITV157"/>
    <mergeCell ref="IUC157:IUE157"/>
    <mergeCell ref="IRX157:IRZ157"/>
    <mergeCell ref="ISA157:ISC157"/>
    <mergeCell ref="ISJ157:ISL157"/>
    <mergeCell ref="ISM157:ISO157"/>
    <mergeCell ref="ISP157:ISR157"/>
    <mergeCell ref="ISY157:ITA157"/>
    <mergeCell ref="IQT157:IQV157"/>
    <mergeCell ref="IQW157:IQY157"/>
    <mergeCell ref="IRF157:IRH157"/>
    <mergeCell ref="IRI157:IRK157"/>
    <mergeCell ref="IRL157:IRN157"/>
    <mergeCell ref="IRU157:IRW157"/>
    <mergeCell ref="IPP157:IPR157"/>
    <mergeCell ref="IPS157:IPU157"/>
    <mergeCell ref="IQB157:IQD157"/>
    <mergeCell ref="IQE157:IQG157"/>
    <mergeCell ref="IQH157:IQJ157"/>
    <mergeCell ref="IQQ157:IQS157"/>
    <mergeCell ref="IOL157:ION157"/>
    <mergeCell ref="IOO157:IOQ157"/>
    <mergeCell ref="IOX157:IOZ157"/>
    <mergeCell ref="IPA157:IPC157"/>
    <mergeCell ref="IPD157:IPF157"/>
    <mergeCell ref="IPM157:IPO157"/>
    <mergeCell ref="INH157:INJ157"/>
    <mergeCell ref="INK157:INM157"/>
    <mergeCell ref="INT157:INV157"/>
    <mergeCell ref="INW157:INY157"/>
    <mergeCell ref="INZ157:IOB157"/>
    <mergeCell ref="IOI157:IOK157"/>
    <mergeCell ref="IMD157:IMF157"/>
    <mergeCell ref="IMG157:IMI157"/>
    <mergeCell ref="IMP157:IMR157"/>
    <mergeCell ref="IMS157:IMU157"/>
    <mergeCell ref="IMV157:IMX157"/>
    <mergeCell ref="INE157:ING157"/>
    <mergeCell ref="IKZ157:ILB157"/>
    <mergeCell ref="ILC157:ILE157"/>
    <mergeCell ref="ILL157:ILN157"/>
    <mergeCell ref="ILO157:ILQ157"/>
    <mergeCell ref="ILR157:ILT157"/>
    <mergeCell ref="IMA157:IMC157"/>
    <mergeCell ref="IJV157:IJX157"/>
    <mergeCell ref="IJY157:IKA157"/>
    <mergeCell ref="IKH157:IKJ157"/>
    <mergeCell ref="IKK157:IKM157"/>
    <mergeCell ref="IKN157:IKP157"/>
    <mergeCell ref="IKW157:IKY157"/>
    <mergeCell ref="IIR157:IIT157"/>
    <mergeCell ref="IIU157:IIW157"/>
    <mergeCell ref="IJD157:IJF157"/>
    <mergeCell ref="IJG157:IJI157"/>
    <mergeCell ref="IJJ157:IJL157"/>
    <mergeCell ref="IJS157:IJU157"/>
    <mergeCell ref="IHN157:IHP157"/>
    <mergeCell ref="IHQ157:IHS157"/>
    <mergeCell ref="IHZ157:IIB157"/>
    <mergeCell ref="IIC157:IIE157"/>
    <mergeCell ref="IIF157:IIH157"/>
    <mergeCell ref="IIO157:IIQ157"/>
    <mergeCell ref="IGJ157:IGL157"/>
    <mergeCell ref="IGM157:IGO157"/>
    <mergeCell ref="IGV157:IGX157"/>
    <mergeCell ref="IGY157:IHA157"/>
    <mergeCell ref="IHB157:IHD157"/>
    <mergeCell ref="IHK157:IHM157"/>
    <mergeCell ref="IFF157:IFH157"/>
    <mergeCell ref="IFI157:IFK157"/>
    <mergeCell ref="IFR157:IFT157"/>
    <mergeCell ref="IFU157:IFW157"/>
    <mergeCell ref="IFX157:IFZ157"/>
    <mergeCell ref="IGG157:IGI157"/>
    <mergeCell ref="IEB157:IED157"/>
    <mergeCell ref="IEE157:IEG157"/>
    <mergeCell ref="IEN157:IEP157"/>
    <mergeCell ref="IEQ157:IES157"/>
    <mergeCell ref="IET157:IEV157"/>
    <mergeCell ref="IFC157:IFE157"/>
    <mergeCell ref="ICX157:ICZ157"/>
    <mergeCell ref="IDA157:IDC157"/>
    <mergeCell ref="IDJ157:IDL157"/>
    <mergeCell ref="IDM157:IDO157"/>
    <mergeCell ref="IDP157:IDR157"/>
    <mergeCell ref="IDY157:IEA157"/>
    <mergeCell ref="IBT157:IBV157"/>
    <mergeCell ref="IBW157:IBY157"/>
    <mergeCell ref="ICF157:ICH157"/>
    <mergeCell ref="ICI157:ICK157"/>
    <mergeCell ref="ICL157:ICN157"/>
    <mergeCell ref="ICU157:ICW157"/>
    <mergeCell ref="IAP157:IAR157"/>
    <mergeCell ref="IAS157:IAU157"/>
    <mergeCell ref="IBB157:IBD157"/>
    <mergeCell ref="IBE157:IBG157"/>
    <mergeCell ref="IBH157:IBJ157"/>
    <mergeCell ref="IBQ157:IBS157"/>
    <mergeCell ref="HZL157:HZN157"/>
    <mergeCell ref="HZO157:HZQ157"/>
    <mergeCell ref="HZX157:HZZ157"/>
    <mergeCell ref="IAA157:IAC157"/>
    <mergeCell ref="IAD157:IAF157"/>
    <mergeCell ref="IAM157:IAO157"/>
    <mergeCell ref="HYH157:HYJ157"/>
    <mergeCell ref="HYK157:HYM157"/>
    <mergeCell ref="HYT157:HYV157"/>
    <mergeCell ref="HYW157:HYY157"/>
    <mergeCell ref="HYZ157:HZB157"/>
    <mergeCell ref="HZI157:HZK157"/>
    <mergeCell ref="HXD157:HXF157"/>
    <mergeCell ref="HXG157:HXI157"/>
    <mergeCell ref="HXP157:HXR157"/>
    <mergeCell ref="HXS157:HXU157"/>
    <mergeCell ref="HXV157:HXX157"/>
    <mergeCell ref="HYE157:HYG157"/>
    <mergeCell ref="HVZ157:HWB157"/>
    <mergeCell ref="HWC157:HWE157"/>
    <mergeCell ref="HWL157:HWN157"/>
    <mergeCell ref="HWO157:HWQ157"/>
    <mergeCell ref="HWR157:HWT157"/>
    <mergeCell ref="HXA157:HXC157"/>
    <mergeCell ref="HUV157:HUX157"/>
    <mergeCell ref="HUY157:HVA157"/>
    <mergeCell ref="HVH157:HVJ157"/>
    <mergeCell ref="HVK157:HVM157"/>
    <mergeCell ref="HVN157:HVP157"/>
    <mergeCell ref="HVW157:HVY157"/>
    <mergeCell ref="HTR157:HTT157"/>
    <mergeCell ref="HTU157:HTW157"/>
    <mergeCell ref="HUD157:HUF157"/>
    <mergeCell ref="HUG157:HUI157"/>
    <mergeCell ref="HUJ157:HUL157"/>
    <mergeCell ref="HUS157:HUU157"/>
    <mergeCell ref="HSN157:HSP157"/>
    <mergeCell ref="HSQ157:HSS157"/>
    <mergeCell ref="HSZ157:HTB157"/>
    <mergeCell ref="HTC157:HTE157"/>
    <mergeCell ref="HTF157:HTH157"/>
    <mergeCell ref="HTO157:HTQ157"/>
    <mergeCell ref="HRJ157:HRL157"/>
    <mergeCell ref="HRM157:HRO157"/>
    <mergeCell ref="HRV157:HRX157"/>
    <mergeCell ref="HRY157:HSA157"/>
    <mergeCell ref="HSB157:HSD157"/>
    <mergeCell ref="HSK157:HSM157"/>
    <mergeCell ref="HQF157:HQH157"/>
    <mergeCell ref="HQI157:HQK157"/>
    <mergeCell ref="HQR157:HQT157"/>
    <mergeCell ref="HQU157:HQW157"/>
    <mergeCell ref="HQX157:HQZ157"/>
    <mergeCell ref="HRG157:HRI157"/>
    <mergeCell ref="HPB157:HPD157"/>
    <mergeCell ref="HPE157:HPG157"/>
    <mergeCell ref="HPN157:HPP157"/>
    <mergeCell ref="HPQ157:HPS157"/>
    <mergeCell ref="HPT157:HPV157"/>
    <mergeCell ref="HQC157:HQE157"/>
    <mergeCell ref="HNX157:HNZ157"/>
    <mergeCell ref="HOA157:HOC157"/>
    <mergeCell ref="HOJ157:HOL157"/>
    <mergeCell ref="HOM157:HOO157"/>
    <mergeCell ref="HOP157:HOR157"/>
    <mergeCell ref="HOY157:HPA157"/>
    <mergeCell ref="HMT157:HMV157"/>
    <mergeCell ref="HMW157:HMY157"/>
    <mergeCell ref="HNF157:HNH157"/>
    <mergeCell ref="HNI157:HNK157"/>
    <mergeCell ref="HNL157:HNN157"/>
    <mergeCell ref="HNU157:HNW157"/>
    <mergeCell ref="HLP157:HLR157"/>
    <mergeCell ref="HLS157:HLU157"/>
    <mergeCell ref="HMB157:HMD157"/>
    <mergeCell ref="HME157:HMG157"/>
    <mergeCell ref="HMH157:HMJ157"/>
    <mergeCell ref="HMQ157:HMS157"/>
    <mergeCell ref="HKL157:HKN157"/>
    <mergeCell ref="HKO157:HKQ157"/>
    <mergeCell ref="HKX157:HKZ157"/>
    <mergeCell ref="HLA157:HLC157"/>
    <mergeCell ref="HLD157:HLF157"/>
    <mergeCell ref="HLM157:HLO157"/>
    <mergeCell ref="HJH157:HJJ157"/>
    <mergeCell ref="HJK157:HJM157"/>
    <mergeCell ref="HJT157:HJV157"/>
    <mergeCell ref="HJW157:HJY157"/>
    <mergeCell ref="HJZ157:HKB157"/>
    <mergeCell ref="HKI157:HKK157"/>
    <mergeCell ref="HID157:HIF157"/>
    <mergeCell ref="HIG157:HII157"/>
    <mergeCell ref="HIP157:HIR157"/>
    <mergeCell ref="HIS157:HIU157"/>
    <mergeCell ref="HIV157:HIX157"/>
    <mergeCell ref="HJE157:HJG157"/>
    <mergeCell ref="HGZ157:HHB157"/>
    <mergeCell ref="HHC157:HHE157"/>
    <mergeCell ref="HHL157:HHN157"/>
    <mergeCell ref="HHO157:HHQ157"/>
    <mergeCell ref="HHR157:HHT157"/>
    <mergeCell ref="HIA157:HIC157"/>
    <mergeCell ref="HFV157:HFX157"/>
    <mergeCell ref="HFY157:HGA157"/>
    <mergeCell ref="HGH157:HGJ157"/>
    <mergeCell ref="HGK157:HGM157"/>
    <mergeCell ref="HGN157:HGP157"/>
    <mergeCell ref="HGW157:HGY157"/>
    <mergeCell ref="HER157:HET157"/>
    <mergeCell ref="HEU157:HEW157"/>
    <mergeCell ref="HFD157:HFF157"/>
    <mergeCell ref="HFG157:HFI157"/>
    <mergeCell ref="HFJ157:HFL157"/>
    <mergeCell ref="HFS157:HFU157"/>
    <mergeCell ref="HDN157:HDP157"/>
    <mergeCell ref="HDQ157:HDS157"/>
    <mergeCell ref="HDZ157:HEB157"/>
    <mergeCell ref="HEC157:HEE157"/>
    <mergeCell ref="HEF157:HEH157"/>
    <mergeCell ref="HEO157:HEQ157"/>
    <mergeCell ref="HCJ157:HCL157"/>
    <mergeCell ref="HCM157:HCO157"/>
    <mergeCell ref="HCV157:HCX157"/>
    <mergeCell ref="HCY157:HDA157"/>
    <mergeCell ref="HDB157:HDD157"/>
    <mergeCell ref="HDK157:HDM157"/>
    <mergeCell ref="HBF157:HBH157"/>
    <mergeCell ref="HBI157:HBK157"/>
    <mergeCell ref="HBR157:HBT157"/>
    <mergeCell ref="HBU157:HBW157"/>
    <mergeCell ref="HBX157:HBZ157"/>
    <mergeCell ref="HCG157:HCI157"/>
    <mergeCell ref="HAB157:HAD157"/>
    <mergeCell ref="HAE157:HAG157"/>
    <mergeCell ref="HAN157:HAP157"/>
    <mergeCell ref="HAQ157:HAS157"/>
    <mergeCell ref="HAT157:HAV157"/>
    <mergeCell ref="HBC157:HBE157"/>
    <mergeCell ref="GYX157:GYZ157"/>
    <mergeCell ref="GZA157:GZC157"/>
    <mergeCell ref="GZJ157:GZL157"/>
    <mergeCell ref="GZM157:GZO157"/>
    <mergeCell ref="GZP157:GZR157"/>
    <mergeCell ref="GZY157:HAA157"/>
    <mergeCell ref="GXT157:GXV157"/>
    <mergeCell ref="GXW157:GXY157"/>
    <mergeCell ref="GYF157:GYH157"/>
    <mergeCell ref="GYI157:GYK157"/>
    <mergeCell ref="GYL157:GYN157"/>
    <mergeCell ref="GYU157:GYW157"/>
    <mergeCell ref="GWP157:GWR157"/>
    <mergeCell ref="GWS157:GWU157"/>
    <mergeCell ref="GXB157:GXD157"/>
    <mergeCell ref="GXE157:GXG157"/>
    <mergeCell ref="GXH157:GXJ157"/>
    <mergeCell ref="GXQ157:GXS157"/>
    <mergeCell ref="GVL157:GVN157"/>
    <mergeCell ref="GVO157:GVQ157"/>
    <mergeCell ref="GVX157:GVZ157"/>
    <mergeCell ref="GWA157:GWC157"/>
    <mergeCell ref="GWD157:GWF157"/>
    <mergeCell ref="GWM157:GWO157"/>
    <mergeCell ref="GUH157:GUJ157"/>
    <mergeCell ref="GUK157:GUM157"/>
    <mergeCell ref="GUT157:GUV157"/>
    <mergeCell ref="GUW157:GUY157"/>
    <mergeCell ref="GUZ157:GVB157"/>
    <mergeCell ref="GVI157:GVK157"/>
    <mergeCell ref="GTD157:GTF157"/>
    <mergeCell ref="GTG157:GTI157"/>
    <mergeCell ref="GTP157:GTR157"/>
    <mergeCell ref="GTS157:GTU157"/>
    <mergeCell ref="GTV157:GTX157"/>
    <mergeCell ref="GUE157:GUG157"/>
    <mergeCell ref="GRZ157:GSB157"/>
    <mergeCell ref="GSC157:GSE157"/>
    <mergeCell ref="GSL157:GSN157"/>
    <mergeCell ref="GSO157:GSQ157"/>
    <mergeCell ref="GSR157:GST157"/>
    <mergeCell ref="GTA157:GTC157"/>
    <mergeCell ref="GQV157:GQX157"/>
    <mergeCell ref="GQY157:GRA157"/>
    <mergeCell ref="GRH157:GRJ157"/>
    <mergeCell ref="GRK157:GRM157"/>
    <mergeCell ref="GRN157:GRP157"/>
    <mergeCell ref="GRW157:GRY157"/>
    <mergeCell ref="GPR157:GPT157"/>
    <mergeCell ref="GPU157:GPW157"/>
    <mergeCell ref="GQD157:GQF157"/>
    <mergeCell ref="GQG157:GQI157"/>
    <mergeCell ref="GQJ157:GQL157"/>
    <mergeCell ref="GQS157:GQU157"/>
    <mergeCell ref="GON157:GOP157"/>
    <mergeCell ref="GOQ157:GOS157"/>
    <mergeCell ref="GOZ157:GPB157"/>
    <mergeCell ref="GPC157:GPE157"/>
    <mergeCell ref="GPF157:GPH157"/>
    <mergeCell ref="GPO157:GPQ157"/>
    <mergeCell ref="GNJ157:GNL157"/>
    <mergeCell ref="GNM157:GNO157"/>
    <mergeCell ref="GNV157:GNX157"/>
    <mergeCell ref="GNY157:GOA157"/>
    <mergeCell ref="GOB157:GOD157"/>
    <mergeCell ref="GOK157:GOM157"/>
    <mergeCell ref="GMF157:GMH157"/>
    <mergeCell ref="GMI157:GMK157"/>
    <mergeCell ref="GMR157:GMT157"/>
    <mergeCell ref="GMU157:GMW157"/>
    <mergeCell ref="GMX157:GMZ157"/>
    <mergeCell ref="GNG157:GNI157"/>
    <mergeCell ref="GLB157:GLD157"/>
    <mergeCell ref="GLE157:GLG157"/>
    <mergeCell ref="GLN157:GLP157"/>
    <mergeCell ref="GLQ157:GLS157"/>
    <mergeCell ref="GLT157:GLV157"/>
    <mergeCell ref="GMC157:GME157"/>
    <mergeCell ref="GJX157:GJZ157"/>
    <mergeCell ref="GKA157:GKC157"/>
    <mergeCell ref="GKJ157:GKL157"/>
    <mergeCell ref="GKM157:GKO157"/>
    <mergeCell ref="GKP157:GKR157"/>
    <mergeCell ref="GKY157:GLA157"/>
    <mergeCell ref="GIT157:GIV157"/>
    <mergeCell ref="GIW157:GIY157"/>
    <mergeCell ref="GJF157:GJH157"/>
    <mergeCell ref="GJI157:GJK157"/>
    <mergeCell ref="GJL157:GJN157"/>
    <mergeCell ref="GJU157:GJW157"/>
    <mergeCell ref="GHP157:GHR157"/>
    <mergeCell ref="GHS157:GHU157"/>
    <mergeCell ref="GIB157:GID157"/>
    <mergeCell ref="GIE157:GIG157"/>
    <mergeCell ref="GIH157:GIJ157"/>
    <mergeCell ref="GIQ157:GIS157"/>
    <mergeCell ref="GGL157:GGN157"/>
    <mergeCell ref="GGO157:GGQ157"/>
    <mergeCell ref="GGX157:GGZ157"/>
    <mergeCell ref="GHA157:GHC157"/>
    <mergeCell ref="GHD157:GHF157"/>
    <mergeCell ref="GHM157:GHO157"/>
    <mergeCell ref="GFH157:GFJ157"/>
    <mergeCell ref="GFK157:GFM157"/>
    <mergeCell ref="GFT157:GFV157"/>
    <mergeCell ref="GFW157:GFY157"/>
    <mergeCell ref="GFZ157:GGB157"/>
    <mergeCell ref="GGI157:GGK157"/>
    <mergeCell ref="GED157:GEF157"/>
    <mergeCell ref="GEG157:GEI157"/>
    <mergeCell ref="GEP157:GER157"/>
    <mergeCell ref="GES157:GEU157"/>
    <mergeCell ref="GEV157:GEX157"/>
    <mergeCell ref="GFE157:GFG157"/>
    <mergeCell ref="GCZ157:GDB157"/>
    <mergeCell ref="GDC157:GDE157"/>
    <mergeCell ref="GDL157:GDN157"/>
    <mergeCell ref="GDO157:GDQ157"/>
    <mergeCell ref="GDR157:GDT157"/>
    <mergeCell ref="GEA157:GEC157"/>
    <mergeCell ref="GBV157:GBX157"/>
    <mergeCell ref="GBY157:GCA157"/>
    <mergeCell ref="GCH157:GCJ157"/>
    <mergeCell ref="GCK157:GCM157"/>
    <mergeCell ref="GCN157:GCP157"/>
    <mergeCell ref="GCW157:GCY157"/>
    <mergeCell ref="GAR157:GAT157"/>
    <mergeCell ref="GAU157:GAW157"/>
    <mergeCell ref="GBD157:GBF157"/>
    <mergeCell ref="GBG157:GBI157"/>
    <mergeCell ref="GBJ157:GBL157"/>
    <mergeCell ref="GBS157:GBU157"/>
    <mergeCell ref="FZN157:FZP157"/>
    <mergeCell ref="FZQ157:FZS157"/>
    <mergeCell ref="FZZ157:GAB157"/>
    <mergeCell ref="GAC157:GAE157"/>
    <mergeCell ref="GAF157:GAH157"/>
    <mergeCell ref="GAO157:GAQ157"/>
    <mergeCell ref="FYJ157:FYL157"/>
    <mergeCell ref="FYM157:FYO157"/>
    <mergeCell ref="FYV157:FYX157"/>
    <mergeCell ref="FYY157:FZA157"/>
    <mergeCell ref="FZB157:FZD157"/>
    <mergeCell ref="FZK157:FZM157"/>
    <mergeCell ref="FXF157:FXH157"/>
    <mergeCell ref="FXI157:FXK157"/>
    <mergeCell ref="FXR157:FXT157"/>
    <mergeCell ref="FXU157:FXW157"/>
    <mergeCell ref="FXX157:FXZ157"/>
    <mergeCell ref="FYG157:FYI157"/>
    <mergeCell ref="FWB157:FWD157"/>
    <mergeCell ref="FWE157:FWG157"/>
    <mergeCell ref="FWN157:FWP157"/>
    <mergeCell ref="FWQ157:FWS157"/>
    <mergeCell ref="FWT157:FWV157"/>
    <mergeCell ref="FXC157:FXE157"/>
    <mergeCell ref="FUX157:FUZ157"/>
    <mergeCell ref="FVA157:FVC157"/>
    <mergeCell ref="FVJ157:FVL157"/>
    <mergeCell ref="FVM157:FVO157"/>
    <mergeCell ref="FVP157:FVR157"/>
    <mergeCell ref="FVY157:FWA157"/>
    <mergeCell ref="FTT157:FTV157"/>
    <mergeCell ref="FTW157:FTY157"/>
    <mergeCell ref="FUF157:FUH157"/>
    <mergeCell ref="FUI157:FUK157"/>
    <mergeCell ref="FUL157:FUN157"/>
    <mergeCell ref="FUU157:FUW157"/>
    <mergeCell ref="FSP157:FSR157"/>
    <mergeCell ref="FSS157:FSU157"/>
    <mergeCell ref="FTB157:FTD157"/>
    <mergeCell ref="FTE157:FTG157"/>
    <mergeCell ref="FTH157:FTJ157"/>
    <mergeCell ref="FTQ157:FTS157"/>
    <mergeCell ref="FRL157:FRN157"/>
    <mergeCell ref="FRO157:FRQ157"/>
    <mergeCell ref="FRX157:FRZ157"/>
    <mergeCell ref="FSA157:FSC157"/>
    <mergeCell ref="FSD157:FSF157"/>
    <mergeCell ref="FSM157:FSO157"/>
    <mergeCell ref="FQH157:FQJ157"/>
    <mergeCell ref="FQK157:FQM157"/>
    <mergeCell ref="FQT157:FQV157"/>
    <mergeCell ref="FQW157:FQY157"/>
    <mergeCell ref="FQZ157:FRB157"/>
    <mergeCell ref="FRI157:FRK157"/>
    <mergeCell ref="FPD157:FPF157"/>
    <mergeCell ref="FPG157:FPI157"/>
    <mergeCell ref="FPP157:FPR157"/>
    <mergeCell ref="FPS157:FPU157"/>
    <mergeCell ref="FPV157:FPX157"/>
    <mergeCell ref="FQE157:FQG157"/>
    <mergeCell ref="FNZ157:FOB157"/>
    <mergeCell ref="FOC157:FOE157"/>
    <mergeCell ref="FOL157:FON157"/>
    <mergeCell ref="FOO157:FOQ157"/>
    <mergeCell ref="FOR157:FOT157"/>
    <mergeCell ref="FPA157:FPC157"/>
    <mergeCell ref="FMV157:FMX157"/>
    <mergeCell ref="FMY157:FNA157"/>
    <mergeCell ref="FNH157:FNJ157"/>
    <mergeCell ref="FNK157:FNM157"/>
    <mergeCell ref="FNN157:FNP157"/>
    <mergeCell ref="FNW157:FNY157"/>
    <mergeCell ref="FLR157:FLT157"/>
    <mergeCell ref="FLU157:FLW157"/>
    <mergeCell ref="FMD157:FMF157"/>
    <mergeCell ref="FMG157:FMI157"/>
    <mergeCell ref="FMJ157:FML157"/>
    <mergeCell ref="FMS157:FMU157"/>
    <mergeCell ref="FKN157:FKP157"/>
    <mergeCell ref="FKQ157:FKS157"/>
    <mergeCell ref="FKZ157:FLB157"/>
    <mergeCell ref="FLC157:FLE157"/>
    <mergeCell ref="FLF157:FLH157"/>
    <mergeCell ref="FLO157:FLQ157"/>
    <mergeCell ref="FJJ157:FJL157"/>
    <mergeCell ref="FJM157:FJO157"/>
    <mergeCell ref="FJV157:FJX157"/>
    <mergeCell ref="FJY157:FKA157"/>
    <mergeCell ref="FKB157:FKD157"/>
    <mergeCell ref="FKK157:FKM157"/>
    <mergeCell ref="FIF157:FIH157"/>
    <mergeCell ref="FII157:FIK157"/>
    <mergeCell ref="FIR157:FIT157"/>
    <mergeCell ref="FIU157:FIW157"/>
    <mergeCell ref="FIX157:FIZ157"/>
    <mergeCell ref="FJG157:FJI157"/>
    <mergeCell ref="FHB157:FHD157"/>
    <mergeCell ref="FHE157:FHG157"/>
    <mergeCell ref="FHN157:FHP157"/>
    <mergeCell ref="FHQ157:FHS157"/>
    <mergeCell ref="FHT157:FHV157"/>
    <mergeCell ref="FIC157:FIE157"/>
    <mergeCell ref="FFX157:FFZ157"/>
    <mergeCell ref="FGA157:FGC157"/>
    <mergeCell ref="FGJ157:FGL157"/>
    <mergeCell ref="FGM157:FGO157"/>
    <mergeCell ref="FGP157:FGR157"/>
    <mergeCell ref="FGY157:FHA157"/>
    <mergeCell ref="FET157:FEV157"/>
    <mergeCell ref="FEW157:FEY157"/>
    <mergeCell ref="FFF157:FFH157"/>
    <mergeCell ref="FFI157:FFK157"/>
    <mergeCell ref="FFL157:FFN157"/>
    <mergeCell ref="FFU157:FFW157"/>
    <mergeCell ref="FDP157:FDR157"/>
    <mergeCell ref="FDS157:FDU157"/>
    <mergeCell ref="FEB157:FED157"/>
    <mergeCell ref="FEE157:FEG157"/>
    <mergeCell ref="FEH157:FEJ157"/>
    <mergeCell ref="FEQ157:FES157"/>
    <mergeCell ref="FCL157:FCN157"/>
    <mergeCell ref="FCO157:FCQ157"/>
    <mergeCell ref="FCX157:FCZ157"/>
    <mergeCell ref="FDA157:FDC157"/>
    <mergeCell ref="FDD157:FDF157"/>
    <mergeCell ref="FDM157:FDO157"/>
    <mergeCell ref="FBH157:FBJ157"/>
    <mergeCell ref="FBK157:FBM157"/>
    <mergeCell ref="FBT157:FBV157"/>
    <mergeCell ref="FBW157:FBY157"/>
    <mergeCell ref="FBZ157:FCB157"/>
    <mergeCell ref="FCI157:FCK157"/>
    <mergeCell ref="FAD157:FAF157"/>
    <mergeCell ref="FAG157:FAI157"/>
    <mergeCell ref="FAP157:FAR157"/>
    <mergeCell ref="FAS157:FAU157"/>
    <mergeCell ref="FAV157:FAX157"/>
    <mergeCell ref="FBE157:FBG157"/>
    <mergeCell ref="EYZ157:EZB157"/>
    <mergeCell ref="EZC157:EZE157"/>
    <mergeCell ref="EZL157:EZN157"/>
    <mergeCell ref="EZO157:EZQ157"/>
    <mergeCell ref="EZR157:EZT157"/>
    <mergeCell ref="FAA157:FAC157"/>
    <mergeCell ref="EXV157:EXX157"/>
    <mergeCell ref="EXY157:EYA157"/>
    <mergeCell ref="EYH157:EYJ157"/>
    <mergeCell ref="EYK157:EYM157"/>
    <mergeCell ref="EYN157:EYP157"/>
    <mergeCell ref="EYW157:EYY157"/>
    <mergeCell ref="EWR157:EWT157"/>
    <mergeCell ref="EWU157:EWW157"/>
    <mergeCell ref="EXD157:EXF157"/>
    <mergeCell ref="EXG157:EXI157"/>
    <mergeCell ref="EXJ157:EXL157"/>
    <mergeCell ref="EXS157:EXU157"/>
    <mergeCell ref="EVN157:EVP157"/>
    <mergeCell ref="EVQ157:EVS157"/>
    <mergeCell ref="EVZ157:EWB157"/>
    <mergeCell ref="EWC157:EWE157"/>
    <mergeCell ref="EWF157:EWH157"/>
    <mergeCell ref="EWO157:EWQ157"/>
    <mergeCell ref="EUJ157:EUL157"/>
    <mergeCell ref="EUM157:EUO157"/>
    <mergeCell ref="EUV157:EUX157"/>
    <mergeCell ref="EUY157:EVA157"/>
    <mergeCell ref="EVB157:EVD157"/>
    <mergeCell ref="EVK157:EVM157"/>
    <mergeCell ref="ETF157:ETH157"/>
    <mergeCell ref="ETI157:ETK157"/>
    <mergeCell ref="ETR157:ETT157"/>
    <mergeCell ref="ETU157:ETW157"/>
    <mergeCell ref="ETX157:ETZ157"/>
    <mergeCell ref="EUG157:EUI157"/>
    <mergeCell ref="ESB157:ESD157"/>
    <mergeCell ref="ESE157:ESG157"/>
    <mergeCell ref="ESN157:ESP157"/>
    <mergeCell ref="ESQ157:ESS157"/>
    <mergeCell ref="EST157:ESV157"/>
    <mergeCell ref="ETC157:ETE157"/>
    <mergeCell ref="EQX157:EQZ157"/>
    <mergeCell ref="ERA157:ERC157"/>
    <mergeCell ref="ERJ157:ERL157"/>
    <mergeCell ref="ERM157:ERO157"/>
    <mergeCell ref="ERP157:ERR157"/>
    <mergeCell ref="ERY157:ESA157"/>
    <mergeCell ref="EPT157:EPV157"/>
    <mergeCell ref="EPW157:EPY157"/>
    <mergeCell ref="EQF157:EQH157"/>
    <mergeCell ref="EQI157:EQK157"/>
    <mergeCell ref="EQL157:EQN157"/>
    <mergeCell ref="EQU157:EQW157"/>
    <mergeCell ref="EOP157:EOR157"/>
    <mergeCell ref="EOS157:EOU157"/>
    <mergeCell ref="EPB157:EPD157"/>
    <mergeCell ref="EPE157:EPG157"/>
    <mergeCell ref="EPH157:EPJ157"/>
    <mergeCell ref="EPQ157:EPS157"/>
    <mergeCell ref="ENL157:ENN157"/>
    <mergeCell ref="ENO157:ENQ157"/>
    <mergeCell ref="ENX157:ENZ157"/>
    <mergeCell ref="EOA157:EOC157"/>
    <mergeCell ref="EOD157:EOF157"/>
    <mergeCell ref="EOM157:EOO157"/>
    <mergeCell ref="EMH157:EMJ157"/>
    <mergeCell ref="EMK157:EMM157"/>
    <mergeCell ref="EMT157:EMV157"/>
    <mergeCell ref="EMW157:EMY157"/>
    <mergeCell ref="EMZ157:ENB157"/>
    <mergeCell ref="ENI157:ENK157"/>
    <mergeCell ref="ELD157:ELF157"/>
    <mergeCell ref="ELG157:ELI157"/>
    <mergeCell ref="ELP157:ELR157"/>
    <mergeCell ref="ELS157:ELU157"/>
    <mergeCell ref="ELV157:ELX157"/>
    <mergeCell ref="EME157:EMG157"/>
    <mergeCell ref="EJZ157:EKB157"/>
    <mergeCell ref="EKC157:EKE157"/>
    <mergeCell ref="EKL157:EKN157"/>
    <mergeCell ref="EKO157:EKQ157"/>
    <mergeCell ref="EKR157:EKT157"/>
    <mergeCell ref="ELA157:ELC157"/>
    <mergeCell ref="EIV157:EIX157"/>
    <mergeCell ref="EIY157:EJA157"/>
    <mergeCell ref="EJH157:EJJ157"/>
    <mergeCell ref="EJK157:EJM157"/>
    <mergeCell ref="EJN157:EJP157"/>
    <mergeCell ref="EJW157:EJY157"/>
    <mergeCell ref="EHR157:EHT157"/>
    <mergeCell ref="EHU157:EHW157"/>
    <mergeCell ref="EID157:EIF157"/>
    <mergeCell ref="EIG157:EII157"/>
    <mergeCell ref="EIJ157:EIL157"/>
    <mergeCell ref="EIS157:EIU157"/>
    <mergeCell ref="EGN157:EGP157"/>
    <mergeCell ref="EGQ157:EGS157"/>
    <mergeCell ref="EGZ157:EHB157"/>
    <mergeCell ref="EHC157:EHE157"/>
    <mergeCell ref="EHF157:EHH157"/>
    <mergeCell ref="EHO157:EHQ157"/>
    <mergeCell ref="EFJ157:EFL157"/>
    <mergeCell ref="EFM157:EFO157"/>
    <mergeCell ref="EFV157:EFX157"/>
    <mergeCell ref="EFY157:EGA157"/>
    <mergeCell ref="EGB157:EGD157"/>
    <mergeCell ref="EGK157:EGM157"/>
    <mergeCell ref="EEF157:EEH157"/>
    <mergeCell ref="EEI157:EEK157"/>
    <mergeCell ref="EER157:EET157"/>
    <mergeCell ref="EEU157:EEW157"/>
    <mergeCell ref="EEX157:EEZ157"/>
    <mergeCell ref="EFG157:EFI157"/>
    <mergeCell ref="EDB157:EDD157"/>
    <mergeCell ref="EDE157:EDG157"/>
    <mergeCell ref="EDN157:EDP157"/>
    <mergeCell ref="EDQ157:EDS157"/>
    <mergeCell ref="EDT157:EDV157"/>
    <mergeCell ref="EEC157:EEE157"/>
    <mergeCell ref="EBX157:EBZ157"/>
    <mergeCell ref="ECA157:ECC157"/>
    <mergeCell ref="ECJ157:ECL157"/>
    <mergeCell ref="ECM157:ECO157"/>
    <mergeCell ref="ECP157:ECR157"/>
    <mergeCell ref="ECY157:EDA157"/>
    <mergeCell ref="EAT157:EAV157"/>
    <mergeCell ref="EAW157:EAY157"/>
    <mergeCell ref="EBF157:EBH157"/>
    <mergeCell ref="EBI157:EBK157"/>
    <mergeCell ref="EBL157:EBN157"/>
    <mergeCell ref="EBU157:EBW157"/>
    <mergeCell ref="DZP157:DZR157"/>
    <mergeCell ref="DZS157:DZU157"/>
    <mergeCell ref="EAB157:EAD157"/>
    <mergeCell ref="EAE157:EAG157"/>
    <mergeCell ref="EAH157:EAJ157"/>
    <mergeCell ref="EAQ157:EAS157"/>
    <mergeCell ref="DYL157:DYN157"/>
    <mergeCell ref="DYO157:DYQ157"/>
    <mergeCell ref="DYX157:DYZ157"/>
    <mergeCell ref="DZA157:DZC157"/>
    <mergeCell ref="DZD157:DZF157"/>
    <mergeCell ref="DZM157:DZO157"/>
    <mergeCell ref="DXH157:DXJ157"/>
    <mergeCell ref="DXK157:DXM157"/>
    <mergeCell ref="DXT157:DXV157"/>
    <mergeCell ref="DXW157:DXY157"/>
    <mergeCell ref="DXZ157:DYB157"/>
    <mergeCell ref="DYI157:DYK157"/>
    <mergeCell ref="DWD157:DWF157"/>
    <mergeCell ref="DWG157:DWI157"/>
    <mergeCell ref="DWP157:DWR157"/>
    <mergeCell ref="DWS157:DWU157"/>
    <mergeCell ref="DWV157:DWX157"/>
    <mergeCell ref="DXE157:DXG157"/>
    <mergeCell ref="DUZ157:DVB157"/>
    <mergeCell ref="DVC157:DVE157"/>
    <mergeCell ref="DVL157:DVN157"/>
    <mergeCell ref="DVO157:DVQ157"/>
    <mergeCell ref="DVR157:DVT157"/>
    <mergeCell ref="DWA157:DWC157"/>
    <mergeCell ref="DTV157:DTX157"/>
    <mergeCell ref="DTY157:DUA157"/>
    <mergeCell ref="DUH157:DUJ157"/>
    <mergeCell ref="DUK157:DUM157"/>
    <mergeCell ref="DUN157:DUP157"/>
    <mergeCell ref="DUW157:DUY157"/>
    <mergeCell ref="DSR157:DST157"/>
    <mergeCell ref="DSU157:DSW157"/>
    <mergeCell ref="DTD157:DTF157"/>
    <mergeCell ref="DTG157:DTI157"/>
    <mergeCell ref="DTJ157:DTL157"/>
    <mergeCell ref="DTS157:DTU157"/>
    <mergeCell ref="DRN157:DRP157"/>
    <mergeCell ref="DRQ157:DRS157"/>
    <mergeCell ref="DRZ157:DSB157"/>
    <mergeCell ref="DSC157:DSE157"/>
    <mergeCell ref="DSF157:DSH157"/>
    <mergeCell ref="DSO157:DSQ157"/>
    <mergeCell ref="DQJ157:DQL157"/>
    <mergeCell ref="DQM157:DQO157"/>
    <mergeCell ref="DQV157:DQX157"/>
    <mergeCell ref="DQY157:DRA157"/>
    <mergeCell ref="DRB157:DRD157"/>
    <mergeCell ref="DRK157:DRM157"/>
    <mergeCell ref="DPF157:DPH157"/>
    <mergeCell ref="DPI157:DPK157"/>
    <mergeCell ref="DPR157:DPT157"/>
    <mergeCell ref="DPU157:DPW157"/>
    <mergeCell ref="DPX157:DPZ157"/>
    <mergeCell ref="DQG157:DQI157"/>
    <mergeCell ref="DOB157:DOD157"/>
    <mergeCell ref="DOE157:DOG157"/>
    <mergeCell ref="DON157:DOP157"/>
    <mergeCell ref="DOQ157:DOS157"/>
    <mergeCell ref="DOT157:DOV157"/>
    <mergeCell ref="DPC157:DPE157"/>
    <mergeCell ref="DMX157:DMZ157"/>
    <mergeCell ref="DNA157:DNC157"/>
    <mergeCell ref="DNJ157:DNL157"/>
    <mergeCell ref="DNM157:DNO157"/>
    <mergeCell ref="DNP157:DNR157"/>
    <mergeCell ref="DNY157:DOA157"/>
    <mergeCell ref="DLT157:DLV157"/>
    <mergeCell ref="DLW157:DLY157"/>
    <mergeCell ref="DMF157:DMH157"/>
    <mergeCell ref="DMI157:DMK157"/>
    <mergeCell ref="DML157:DMN157"/>
    <mergeCell ref="DMU157:DMW157"/>
    <mergeCell ref="DKP157:DKR157"/>
    <mergeCell ref="DKS157:DKU157"/>
    <mergeCell ref="DLB157:DLD157"/>
    <mergeCell ref="DLE157:DLG157"/>
    <mergeCell ref="DLH157:DLJ157"/>
    <mergeCell ref="DLQ157:DLS157"/>
    <mergeCell ref="DJL157:DJN157"/>
    <mergeCell ref="DJO157:DJQ157"/>
    <mergeCell ref="DJX157:DJZ157"/>
    <mergeCell ref="DKA157:DKC157"/>
    <mergeCell ref="DKD157:DKF157"/>
    <mergeCell ref="DKM157:DKO157"/>
    <mergeCell ref="DIH157:DIJ157"/>
    <mergeCell ref="DIK157:DIM157"/>
    <mergeCell ref="DIT157:DIV157"/>
    <mergeCell ref="DIW157:DIY157"/>
    <mergeCell ref="DIZ157:DJB157"/>
    <mergeCell ref="DJI157:DJK157"/>
    <mergeCell ref="DHD157:DHF157"/>
    <mergeCell ref="DHG157:DHI157"/>
    <mergeCell ref="DHP157:DHR157"/>
    <mergeCell ref="DHS157:DHU157"/>
    <mergeCell ref="DHV157:DHX157"/>
    <mergeCell ref="DIE157:DIG157"/>
    <mergeCell ref="DFZ157:DGB157"/>
    <mergeCell ref="DGC157:DGE157"/>
    <mergeCell ref="DGL157:DGN157"/>
    <mergeCell ref="DGO157:DGQ157"/>
    <mergeCell ref="DGR157:DGT157"/>
    <mergeCell ref="DHA157:DHC157"/>
    <mergeCell ref="DEV157:DEX157"/>
    <mergeCell ref="DEY157:DFA157"/>
    <mergeCell ref="DFH157:DFJ157"/>
    <mergeCell ref="DFK157:DFM157"/>
    <mergeCell ref="DFN157:DFP157"/>
    <mergeCell ref="DFW157:DFY157"/>
    <mergeCell ref="DDR157:DDT157"/>
    <mergeCell ref="DDU157:DDW157"/>
    <mergeCell ref="DED157:DEF157"/>
    <mergeCell ref="DEG157:DEI157"/>
    <mergeCell ref="DEJ157:DEL157"/>
    <mergeCell ref="DES157:DEU157"/>
    <mergeCell ref="DCN157:DCP157"/>
    <mergeCell ref="DCQ157:DCS157"/>
    <mergeCell ref="DCZ157:DDB157"/>
    <mergeCell ref="DDC157:DDE157"/>
    <mergeCell ref="DDF157:DDH157"/>
    <mergeCell ref="DDO157:DDQ157"/>
    <mergeCell ref="DBJ157:DBL157"/>
    <mergeCell ref="DBM157:DBO157"/>
    <mergeCell ref="DBV157:DBX157"/>
    <mergeCell ref="DBY157:DCA157"/>
    <mergeCell ref="DCB157:DCD157"/>
    <mergeCell ref="DCK157:DCM157"/>
    <mergeCell ref="DAF157:DAH157"/>
    <mergeCell ref="DAI157:DAK157"/>
    <mergeCell ref="DAR157:DAT157"/>
    <mergeCell ref="DAU157:DAW157"/>
    <mergeCell ref="DAX157:DAZ157"/>
    <mergeCell ref="DBG157:DBI157"/>
    <mergeCell ref="CZB157:CZD157"/>
    <mergeCell ref="CZE157:CZG157"/>
    <mergeCell ref="CZN157:CZP157"/>
    <mergeCell ref="CZQ157:CZS157"/>
    <mergeCell ref="CZT157:CZV157"/>
    <mergeCell ref="DAC157:DAE157"/>
    <mergeCell ref="CXX157:CXZ157"/>
    <mergeCell ref="CYA157:CYC157"/>
    <mergeCell ref="CYJ157:CYL157"/>
    <mergeCell ref="CYM157:CYO157"/>
    <mergeCell ref="CYP157:CYR157"/>
    <mergeCell ref="CYY157:CZA157"/>
    <mergeCell ref="CWT157:CWV157"/>
    <mergeCell ref="CWW157:CWY157"/>
    <mergeCell ref="CXF157:CXH157"/>
    <mergeCell ref="CXI157:CXK157"/>
    <mergeCell ref="CXL157:CXN157"/>
    <mergeCell ref="CXU157:CXW157"/>
    <mergeCell ref="CVP157:CVR157"/>
    <mergeCell ref="CVS157:CVU157"/>
    <mergeCell ref="CWB157:CWD157"/>
    <mergeCell ref="CWE157:CWG157"/>
    <mergeCell ref="CWH157:CWJ157"/>
    <mergeCell ref="CWQ157:CWS157"/>
    <mergeCell ref="CUL157:CUN157"/>
    <mergeCell ref="CUO157:CUQ157"/>
    <mergeCell ref="CUX157:CUZ157"/>
    <mergeCell ref="CVA157:CVC157"/>
    <mergeCell ref="CVD157:CVF157"/>
    <mergeCell ref="CVM157:CVO157"/>
    <mergeCell ref="CTH157:CTJ157"/>
    <mergeCell ref="CTK157:CTM157"/>
    <mergeCell ref="CTT157:CTV157"/>
    <mergeCell ref="CTW157:CTY157"/>
    <mergeCell ref="CTZ157:CUB157"/>
    <mergeCell ref="CUI157:CUK157"/>
    <mergeCell ref="CSD157:CSF157"/>
    <mergeCell ref="CSG157:CSI157"/>
    <mergeCell ref="CSP157:CSR157"/>
    <mergeCell ref="CSS157:CSU157"/>
    <mergeCell ref="CSV157:CSX157"/>
    <mergeCell ref="CTE157:CTG157"/>
    <mergeCell ref="CQZ157:CRB157"/>
    <mergeCell ref="CRC157:CRE157"/>
    <mergeCell ref="CRL157:CRN157"/>
    <mergeCell ref="CRO157:CRQ157"/>
    <mergeCell ref="CRR157:CRT157"/>
    <mergeCell ref="CSA157:CSC157"/>
    <mergeCell ref="CPV157:CPX157"/>
    <mergeCell ref="CPY157:CQA157"/>
    <mergeCell ref="CQH157:CQJ157"/>
    <mergeCell ref="CQK157:CQM157"/>
    <mergeCell ref="CQN157:CQP157"/>
    <mergeCell ref="CQW157:CQY157"/>
    <mergeCell ref="COR157:COT157"/>
    <mergeCell ref="COU157:COW157"/>
    <mergeCell ref="CPD157:CPF157"/>
    <mergeCell ref="CPG157:CPI157"/>
    <mergeCell ref="CPJ157:CPL157"/>
    <mergeCell ref="CPS157:CPU157"/>
    <mergeCell ref="CNN157:CNP157"/>
    <mergeCell ref="CNQ157:CNS157"/>
    <mergeCell ref="CNZ157:COB157"/>
    <mergeCell ref="COC157:COE157"/>
    <mergeCell ref="COF157:COH157"/>
    <mergeCell ref="COO157:COQ157"/>
    <mergeCell ref="CMJ157:CML157"/>
    <mergeCell ref="CMM157:CMO157"/>
    <mergeCell ref="CMV157:CMX157"/>
    <mergeCell ref="CMY157:CNA157"/>
    <mergeCell ref="CNB157:CND157"/>
    <mergeCell ref="CNK157:CNM157"/>
    <mergeCell ref="CLF157:CLH157"/>
    <mergeCell ref="CLI157:CLK157"/>
    <mergeCell ref="CLR157:CLT157"/>
    <mergeCell ref="CLU157:CLW157"/>
    <mergeCell ref="CLX157:CLZ157"/>
    <mergeCell ref="CMG157:CMI157"/>
    <mergeCell ref="CKB157:CKD157"/>
    <mergeCell ref="CKE157:CKG157"/>
    <mergeCell ref="CKN157:CKP157"/>
    <mergeCell ref="CKQ157:CKS157"/>
    <mergeCell ref="CKT157:CKV157"/>
    <mergeCell ref="CLC157:CLE157"/>
    <mergeCell ref="CIX157:CIZ157"/>
    <mergeCell ref="CJA157:CJC157"/>
    <mergeCell ref="CJJ157:CJL157"/>
    <mergeCell ref="CJM157:CJO157"/>
    <mergeCell ref="CJP157:CJR157"/>
    <mergeCell ref="CJY157:CKA157"/>
    <mergeCell ref="CHT157:CHV157"/>
    <mergeCell ref="CHW157:CHY157"/>
    <mergeCell ref="CIF157:CIH157"/>
    <mergeCell ref="CII157:CIK157"/>
    <mergeCell ref="CIL157:CIN157"/>
    <mergeCell ref="CIU157:CIW157"/>
    <mergeCell ref="CGP157:CGR157"/>
    <mergeCell ref="CGS157:CGU157"/>
    <mergeCell ref="CHB157:CHD157"/>
    <mergeCell ref="CHE157:CHG157"/>
    <mergeCell ref="CHH157:CHJ157"/>
    <mergeCell ref="CHQ157:CHS157"/>
    <mergeCell ref="CFL157:CFN157"/>
    <mergeCell ref="CFO157:CFQ157"/>
    <mergeCell ref="CFX157:CFZ157"/>
    <mergeCell ref="CGA157:CGC157"/>
    <mergeCell ref="CGD157:CGF157"/>
    <mergeCell ref="CGM157:CGO157"/>
    <mergeCell ref="CEH157:CEJ157"/>
    <mergeCell ref="CEK157:CEM157"/>
    <mergeCell ref="CET157:CEV157"/>
    <mergeCell ref="CEW157:CEY157"/>
    <mergeCell ref="CEZ157:CFB157"/>
    <mergeCell ref="CFI157:CFK157"/>
    <mergeCell ref="CDD157:CDF157"/>
    <mergeCell ref="CDG157:CDI157"/>
    <mergeCell ref="CDP157:CDR157"/>
    <mergeCell ref="CDS157:CDU157"/>
    <mergeCell ref="CDV157:CDX157"/>
    <mergeCell ref="CEE157:CEG157"/>
    <mergeCell ref="CBZ157:CCB157"/>
    <mergeCell ref="CCC157:CCE157"/>
    <mergeCell ref="CCL157:CCN157"/>
    <mergeCell ref="CCO157:CCQ157"/>
    <mergeCell ref="CCR157:CCT157"/>
    <mergeCell ref="CDA157:CDC157"/>
    <mergeCell ref="CAV157:CAX157"/>
    <mergeCell ref="CAY157:CBA157"/>
    <mergeCell ref="CBH157:CBJ157"/>
    <mergeCell ref="CBK157:CBM157"/>
    <mergeCell ref="CBN157:CBP157"/>
    <mergeCell ref="CBW157:CBY157"/>
    <mergeCell ref="BZR157:BZT157"/>
    <mergeCell ref="BZU157:BZW157"/>
    <mergeCell ref="CAD157:CAF157"/>
    <mergeCell ref="CAG157:CAI157"/>
    <mergeCell ref="CAJ157:CAL157"/>
    <mergeCell ref="CAS157:CAU157"/>
    <mergeCell ref="BYN157:BYP157"/>
    <mergeCell ref="BYQ157:BYS157"/>
    <mergeCell ref="BYZ157:BZB157"/>
    <mergeCell ref="BZC157:BZE157"/>
    <mergeCell ref="BZF157:BZH157"/>
    <mergeCell ref="BZO157:BZQ157"/>
    <mergeCell ref="BXJ157:BXL157"/>
    <mergeCell ref="BXM157:BXO157"/>
    <mergeCell ref="BXV157:BXX157"/>
    <mergeCell ref="BXY157:BYA157"/>
    <mergeCell ref="BYB157:BYD157"/>
    <mergeCell ref="BYK157:BYM157"/>
    <mergeCell ref="BWF157:BWH157"/>
    <mergeCell ref="BWI157:BWK157"/>
    <mergeCell ref="BWR157:BWT157"/>
    <mergeCell ref="BWU157:BWW157"/>
    <mergeCell ref="BWX157:BWZ157"/>
    <mergeCell ref="BXG157:BXI157"/>
    <mergeCell ref="BVB157:BVD157"/>
    <mergeCell ref="BVE157:BVG157"/>
    <mergeCell ref="BVN157:BVP157"/>
    <mergeCell ref="BVQ157:BVS157"/>
    <mergeCell ref="BVT157:BVV157"/>
    <mergeCell ref="BWC157:BWE157"/>
    <mergeCell ref="BTX157:BTZ157"/>
    <mergeCell ref="BUA157:BUC157"/>
    <mergeCell ref="BUJ157:BUL157"/>
    <mergeCell ref="BUM157:BUO157"/>
    <mergeCell ref="BUP157:BUR157"/>
    <mergeCell ref="BUY157:BVA157"/>
    <mergeCell ref="BST157:BSV157"/>
    <mergeCell ref="BSW157:BSY157"/>
    <mergeCell ref="BTF157:BTH157"/>
    <mergeCell ref="BTI157:BTK157"/>
    <mergeCell ref="BTL157:BTN157"/>
    <mergeCell ref="BTU157:BTW157"/>
    <mergeCell ref="BRP157:BRR157"/>
    <mergeCell ref="BRS157:BRU157"/>
    <mergeCell ref="BSB157:BSD157"/>
    <mergeCell ref="BSE157:BSG157"/>
    <mergeCell ref="BSH157:BSJ157"/>
    <mergeCell ref="BSQ157:BSS157"/>
    <mergeCell ref="BQL157:BQN157"/>
    <mergeCell ref="BQO157:BQQ157"/>
    <mergeCell ref="BQX157:BQZ157"/>
    <mergeCell ref="BRA157:BRC157"/>
    <mergeCell ref="BRD157:BRF157"/>
    <mergeCell ref="BRM157:BRO157"/>
    <mergeCell ref="BPH157:BPJ157"/>
    <mergeCell ref="BPK157:BPM157"/>
    <mergeCell ref="BPT157:BPV157"/>
    <mergeCell ref="BPW157:BPY157"/>
    <mergeCell ref="BPZ157:BQB157"/>
    <mergeCell ref="BQI157:BQK157"/>
    <mergeCell ref="BOD157:BOF157"/>
    <mergeCell ref="BOG157:BOI157"/>
    <mergeCell ref="BOP157:BOR157"/>
    <mergeCell ref="BOS157:BOU157"/>
    <mergeCell ref="BOV157:BOX157"/>
    <mergeCell ref="BPE157:BPG157"/>
    <mergeCell ref="BMZ157:BNB157"/>
    <mergeCell ref="BNC157:BNE157"/>
    <mergeCell ref="BNL157:BNN157"/>
    <mergeCell ref="BNO157:BNQ157"/>
    <mergeCell ref="BNR157:BNT157"/>
    <mergeCell ref="BOA157:BOC157"/>
    <mergeCell ref="BLV157:BLX157"/>
    <mergeCell ref="BLY157:BMA157"/>
    <mergeCell ref="BMH157:BMJ157"/>
    <mergeCell ref="BMK157:BMM157"/>
    <mergeCell ref="BMN157:BMP157"/>
    <mergeCell ref="BMW157:BMY157"/>
    <mergeCell ref="BKR157:BKT157"/>
    <mergeCell ref="BKU157:BKW157"/>
    <mergeCell ref="BLD157:BLF157"/>
    <mergeCell ref="BLG157:BLI157"/>
    <mergeCell ref="BLJ157:BLL157"/>
    <mergeCell ref="BLS157:BLU157"/>
    <mergeCell ref="BJN157:BJP157"/>
    <mergeCell ref="BJQ157:BJS157"/>
    <mergeCell ref="BJZ157:BKB157"/>
    <mergeCell ref="BKC157:BKE157"/>
    <mergeCell ref="BKF157:BKH157"/>
    <mergeCell ref="BKO157:BKQ157"/>
    <mergeCell ref="BIJ157:BIL157"/>
    <mergeCell ref="BIM157:BIO157"/>
    <mergeCell ref="BIV157:BIX157"/>
    <mergeCell ref="BIY157:BJA157"/>
    <mergeCell ref="BJB157:BJD157"/>
    <mergeCell ref="BJK157:BJM157"/>
    <mergeCell ref="BHF157:BHH157"/>
    <mergeCell ref="BHI157:BHK157"/>
    <mergeCell ref="BHR157:BHT157"/>
    <mergeCell ref="BHU157:BHW157"/>
    <mergeCell ref="BHX157:BHZ157"/>
    <mergeCell ref="BIG157:BII157"/>
    <mergeCell ref="BGB157:BGD157"/>
    <mergeCell ref="BGE157:BGG157"/>
    <mergeCell ref="BGN157:BGP157"/>
    <mergeCell ref="BGQ157:BGS157"/>
    <mergeCell ref="BGT157:BGV157"/>
    <mergeCell ref="BHC157:BHE157"/>
    <mergeCell ref="BEX157:BEZ157"/>
    <mergeCell ref="BFA157:BFC157"/>
    <mergeCell ref="BFJ157:BFL157"/>
    <mergeCell ref="BFM157:BFO157"/>
    <mergeCell ref="BFP157:BFR157"/>
    <mergeCell ref="BFY157:BGA157"/>
    <mergeCell ref="BDT157:BDV157"/>
    <mergeCell ref="BDW157:BDY157"/>
    <mergeCell ref="BEF157:BEH157"/>
    <mergeCell ref="BEI157:BEK157"/>
    <mergeCell ref="BEL157:BEN157"/>
    <mergeCell ref="BEU157:BEW157"/>
    <mergeCell ref="BCP157:BCR157"/>
    <mergeCell ref="BCS157:BCU157"/>
    <mergeCell ref="BDB157:BDD157"/>
    <mergeCell ref="BDE157:BDG157"/>
    <mergeCell ref="BDH157:BDJ157"/>
    <mergeCell ref="BDQ157:BDS157"/>
    <mergeCell ref="BBL157:BBN157"/>
    <mergeCell ref="BBO157:BBQ157"/>
    <mergeCell ref="BBX157:BBZ157"/>
    <mergeCell ref="BCA157:BCC157"/>
    <mergeCell ref="BCD157:BCF157"/>
    <mergeCell ref="BCM157:BCO157"/>
    <mergeCell ref="BAH157:BAJ157"/>
    <mergeCell ref="BAK157:BAM157"/>
    <mergeCell ref="BAT157:BAV157"/>
    <mergeCell ref="BAW157:BAY157"/>
    <mergeCell ref="BAZ157:BBB157"/>
    <mergeCell ref="BBI157:BBK157"/>
    <mergeCell ref="AZD157:AZF157"/>
    <mergeCell ref="AZG157:AZI157"/>
    <mergeCell ref="AZP157:AZR157"/>
    <mergeCell ref="AZS157:AZU157"/>
    <mergeCell ref="AZV157:AZX157"/>
    <mergeCell ref="BAE157:BAG157"/>
    <mergeCell ref="AXZ157:AYB157"/>
    <mergeCell ref="AYC157:AYE157"/>
    <mergeCell ref="AYL157:AYN157"/>
    <mergeCell ref="AYO157:AYQ157"/>
    <mergeCell ref="AYR157:AYT157"/>
    <mergeCell ref="AZA157:AZC157"/>
    <mergeCell ref="AWV157:AWX157"/>
    <mergeCell ref="AWY157:AXA157"/>
    <mergeCell ref="AXH157:AXJ157"/>
    <mergeCell ref="AXK157:AXM157"/>
    <mergeCell ref="AXN157:AXP157"/>
    <mergeCell ref="AXW157:AXY157"/>
    <mergeCell ref="AVR157:AVT157"/>
    <mergeCell ref="AVU157:AVW157"/>
    <mergeCell ref="AWD157:AWF157"/>
    <mergeCell ref="AWG157:AWI157"/>
    <mergeCell ref="AWJ157:AWL157"/>
    <mergeCell ref="AWS157:AWU157"/>
    <mergeCell ref="AUN157:AUP157"/>
    <mergeCell ref="AUQ157:AUS157"/>
    <mergeCell ref="AUZ157:AVB157"/>
    <mergeCell ref="AVC157:AVE157"/>
    <mergeCell ref="AVF157:AVH157"/>
    <mergeCell ref="AVO157:AVQ157"/>
    <mergeCell ref="ATJ157:ATL157"/>
    <mergeCell ref="ATM157:ATO157"/>
    <mergeCell ref="ATV157:ATX157"/>
    <mergeCell ref="ATY157:AUA157"/>
    <mergeCell ref="AUB157:AUD157"/>
    <mergeCell ref="AUK157:AUM157"/>
    <mergeCell ref="ASF157:ASH157"/>
    <mergeCell ref="ASI157:ASK157"/>
    <mergeCell ref="ASR157:AST157"/>
    <mergeCell ref="ASU157:ASW157"/>
    <mergeCell ref="ASX157:ASZ157"/>
    <mergeCell ref="ATG157:ATI157"/>
    <mergeCell ref="ARB157:ARD157"/>
    <mergeCell ref="ARE157:ARG157"/>
    <mergeCell ref="ARN157:ARP157"/>
    <mergeCell ref="ARQ157:ARS157"/>
    <mergeCell ref="ART157:ARV157"/>
    <mergeCell ref="ASC157:ASE157"/>
    <mergeCell ref="APX157:APZ157"/>
    <mergeCell ref="AQA157:AQC157"/>
    <mergeCell ref="AQJ157:AQL157"/>
    <mergeCell ref="AQM157:AQO157"/>
    <mergeCell ref="AQP157:AQR157"/>
    <mergeCell ref="AQY157:ARA157"/>
    <mergeCell ref="AOT157:AOV157"/>
    <mergeCell ref="AOW157:AOY157"/>
    <mergeCell ref="APF157:APH157"/>
    <mergeCell ref="API157:APK157"/>
    <mergeCell ref="APL157:APN157"/>
    <mergeCell ref="APU157:APW157"/>
    <mergeCell ref="ANP157:ANR157"/>
    <mergeCell ref="ANS157:ANU157"/>
    <mergeCell ref="AOB157:AOD157"/>
    <mergeCell ref="AOE157:AOG157"/>
    <mergeCell ref="AOH157:AOJ157"/>
    <mergeCell ref="AOQ157:AOS157"/>
    <mergeCell ref="AML157:AMN157"/>
    <mergeCell ref="AMO157:AMQ157"/>
    <mergeCell ref="AMX157:AMZ157"/>
    <mergeCell ref="ANA157:ANC157"/>
    <mergeCell ref="AND157:ANF157"/>
    <mergeCell ref="ANM157:ANO157"/>
    <mergeCell ref="ALH157:ALJ157"/>
    <mergeCell ref="ALK157:ALM157"/>
    <mergeCell ref="ALT157:ALV157"/>
    <mergeCell ref="ALW157:ALY157"/>
    <mergeCell ref="ALZ157:AMB157"/>
    <mergeCell ref="AMI157:AMK157"/>
    <mergeCell ref="AKD157:AKF157"/>
    <mergeCell ref="AKG157:AKI157"/>
    <mergeCell ref="AKP157:AKR157"/>
    <mergeCell ref="AKS157:AKU157"/>
    <mergeCell ref="AKV157:AKX157"/>
    <mergeCell ref="ALE157:ALG157"/>
    <mergeCell ref="AIZ157:AJB157"/>
    <mergeCell ref="AJC157:AJE157"/>
    <mergeCell ref="AJL157:AJN157"/>
    <mergeCell ref="AJO157:AJQ157"/>
    <mergeCell ref="AJR157:AJT157"/>
    <mergeCell ref="AKA157:AKC157"/>
    <mergeCell ref="AHV157:AHX157"/>
    <mergeCell ref="AHY157:AIA157"/>
    <mergeCell ref="AIH157:AIJ157"/>
    <mergeCell ref="AIK157:AIM157"/>
    <mergeCell ref="AIN157:AIP157"/>
    <mergeCell ref="AIW157:AIY157"/>
    <mergeCell ref="AGR157:AGT157"/>
    <mergeCell ref="AGU157:AGW157"/>
    <mergeCell ref="AHD157:AHF157"/>
    <mergeCell ref="AHG157:AHI157"/>
    <mergeCell ref="AHJ157:AHL157"/>
    <mergeCell ref="AHS157:AHU157"/>
    <mergeCell ref="AFN157:AFP157"/>
    <mergeCell ref="AFQ157:AFS157"/>
    <mergeCell ref="AFZ157:AGB157"/>
    <mergeCell ref="AGC157:AGE157"/>
    <mergeCell ref="AGF157:AGH157"/>
    <mergeCell ref="AGO157:AGQ157"/>
    <mergeCell ref="AEJ157:AEL157"/>
    <mergeCell ref="AEM157:AEO157"/>
    <mergeCell ref="AEV157:AEX157"/>
    <mergeCell ref="AEY157:AFA157"/>
    <mergeCell ref="AFB157:AFD157"/>
    <mergeCell ref="AFK157:AFM157"/>
    <mergeCell ref="ADF157:ADH157"/>
    <mergeCell ref="ADI157:ADK157"/>
    <mergeCell ref="ADR157:ADT157"/>
    <mergeCell ref="ADU157:ADW157"/>
    <mergeCell ref="ADX157:ADZ157"/>
    <mergeCell ref="AEG157:AEI157"/>
    <mergeCell ref="ACB157:ACD157"/>
    <mergeCell ref="ACE157:ACG157"/>
    <mergeCell ref="ACN157:ACP157"/>
    <mergeCell ref="ACQ157:ACS157"/>
    <mergeCell ref="ACT157:ACV157"/>
    <mergeCell ref="ADC157:ADE157"/>
    <mergeCell ref="AAX157:AAZ157"/>
    <mergeCell ref="ABA157:ABC157"/>
    <mergeCell ref="ABJ157:ABL157"/>
    <mergeCell ref="ABM157:ABO157"/>
    <mergeCell ref="ABP157:ABR157"/>
    <mergeCell ref="ABY157:ACA157"/>
    <mergeCell ref="ZT157:ZV157"/>
    <mergeCell ref="ZW157:ZY157"/>
    <mergeCell ref="AAF157:AAH157"/>
    <mergeCell ref="AAI157:AAK157"/>
    <mergeCell ref="AAL157:AAN157"/>
    <mergeCell ref="AAU157:AAW157"/>
    <mergeCell ref="YP157:YR157"/>
    <mergeCell ref="YS157:YU157"/>
    <mergeCell ref="ZB157:ZD157"/>
    <mergeCell ref="ZE157:ZG157"/>
    <mergeCell ref="ZH157:ZJ157"/>
    <mergeCell ref="ZQ157:ZS157"/>
    <mergeCell ref="XL157:XN157"/>
    <mergeCell ref="XO157:XQ157"/>
    <mergeCell ref="XX157:XZ157"/>
    <mergeCell ref="YA157:YC157"/>
    <mergeCell ref="YD157:YF157"/>
    <mergeCell ref="YM157:YO157"/>
    <mergeCell ref="WH157:WJ157"/>
    <mergeCell ref="WK157:WM157"/>
    <mergeCell ref="WT157:WV157"/>
    <mergeCell ref="WW157:WY157"/>
    <mergeCell ref="WZ157:XB157"/>
    <mergeCell ref="XI157:XK157"/>
    <mergeCell ref="VD157:VF157"/>
    <mergeCell ref="VG157:VI157"/>
    <mergeCell ref="VP157:VR157"/>
    <mergeCell ref="VS157:VU157"/>
    <mergeCell ref="VV157:VX157"/>
    <mergeCell ref="WE157:WG157"/>
    <mergeCell ref="TZ157:UB157"/>
    <mergeCell ref="UC157:UE157"/>
    <mergeCell ref="UL157:UN157"/>
    <mergeCell ref="UO157:UQ157"/>
    <mergeCell ref="UR157:UT157"/>
    <mergeCell ref="VA157:VC157"/>
    <mergeCell ref="SV157:SX157"/>
    <mergeCell ref="SY157:TA157"/>
    <mergeCell ref="TH157:TJ157"/>
    <mergeCell ref="TK157:TM157"/>
    <mergeCell ref="TN157:TP157"/>
    <mergeCell ref="TW157:TY157"/>
    <mergeCell ref="RR157:RT157"/>
    <mergeCell ref="RU157:RW157"/>
    <mergeCell ref="SD157:SF157"/>
    <mergeCell ref="SG157:SI157"/>
    <mergeCell ref="SJ157:SL157"/>
    <mergeCell ref="SS157:SU157"/>
    <mergeCell ref="QN157:QP157"/>
    <mergeCell ref="QQ157:QS157"/>
    <mergeCell ref="QZ157:RB157"/>
    <mergeCell ref="RC157:RE157"/>
    <mergeCell ref="RF157:RH157"/>
    <mergeCell ref="RO157:RQ157"/>
    <mergeCell ref="PJ157:PL157"/>
    <mergeCell ref="PM157:PO157"/>
    <mergeCell ref="PV157:PX157"/>
    <mergeCell ref="PY157:QA157"/>
    <mergeCell ref="QB157:QD157"/>
    <mergeCell ref="QK157:QM157"/>
    <mergeCell ref="OF157:OH157"/>
    <mergeCell ref="OI157:OK157"/>
    <mergeCell ref="OR157:OT157"/>
    <mergeCell ref="OU157:OW157"/>
    <mergeCell ref="OX157:OZ157"/>
    <mergeCell ref="PG157:PI157"/>
    <mergeCell ref="MKD156:MKF156"/>
    <mergeCell ref="C157:E157"/>
    <mergeCell ref="F157:H157"/>
    <mergeCell ref="I157:K157"/>
    <mergeCell ref="NB157:ND157"/>
    <mergeCell ref="NE157:NG157"/>
    <mergeCell ref="NN157:NP157"/>
    <mergeCell ref="NQ157:NS157"/>
    <mergeCell ref="NT157:NV157"/>
    <mergeCell ref="OC157:OE157"/>
    <mergeCell ref="MIZ156:MJB156"/>
    <mergeCell ref="MJC156:MJE156"/>
    <mergeCell ref="MJF156:MJH156"/>
    <mergeCell ref="MJO156:MJQ156"/>
    <mergeCell ref="MJR156:MJT156"/>
    <mergeCell ref="MJU156:MJW156"/>
    <mergeCell ref="MHV156:MHX156"/>
    <mergeCell ref="MHY156:MIA156"/>
    <mergeCell ref="MIB156:MID156"/>
    <mergeCell ref="MIK156:MIM156"/>
    <mergeCell ref="MIN156:MIP156"/>
    <mergeCell ref="MIQ156:MIS156"/>
    <mergeCell ref="MGR156:MGT156"/>
    <mergeCell ref="MGU156:MGW156"/>
    <mergeCell ref="MGX156:MGZ156"/>
    <mergeCell ref="MHG156:MHI156"/>
    <mergeCell ref="MHJ156:MHL156"/>
    <mergeCell ref="MHM156:MHO156"/>
    <mergeCell ref="MFN156:MFP156"/>
    <mergeCell ref="MFQ156:MFS156"/>
    <mergeCell ref="MFT156:MFV156"/>
    <mergeCell ref="MGC156:MGE156"/>
    <mergeCell ref="MGF156:MGH156"/>
    <mergeCell ref="MGI156:MGK156"/>
    <mergeCell ref="MEJ156:MEL156"/>
    <mergeCell ref="MEM156:MEO156"/>
    <mergeCell ref="MEP156:MER156"/>
    <mergeCell ref="MEY156:MFA156"/>
    <mergeCell ref="MFB156:MFD156"/>
    <mergeCell ref="MFE156:MFG156"/>
    <mergeCell ref="MDF156:MDH156"/>
    <mergeCell ref="MDI156:MDK156"/>
    <mergeCell ref="MDL156:MDN156"/>
    <mergeCell ref="MDU156:MDW156"/>
    <mergeCell ref="MDX156:MDZ156"/>
    <mergeCell ref="MEA156:MEC156"/>
    <mergeCell ref="MCB156:MCD156"/>
    <mergeCell ref="MCE156:MCG156"/>
    <mergeCell ref="MCH156:MCJ156"/>
    <mergeCell ref="MCQ156:MCS156"/>
    <mergeCell ref="MCT156:MCV156"/>
    <mergeCell ref="MCW156:MCY156"/>
    <mergeCell ref="MAX156:MAZ156"/>
    <mergeCell ref="MBA156:MBC156"/>
    <mergeCell ref="MBD156:MBF156"/>
    <mergeCell ref="MBM156:MBO156"/>
    <mergeCell ref="MBP156:MBR156"/>
    <mergeCell ref="MBS156:MBU156"/>
    <mergeCell ref="LZT156:LZV156"/>
    <mergeCell ref="LZW156:LZY156"/>
    <mergeCell ref="LZZ156:MAB156"/>
    <mergeCell ref="MAI156:MAK156"/>
    <mergeCell ref="MAL156:MAN156"/>
    <mergeCell ref="MAO156:MAQ156"/>
    <mergeCell ref="LYP156:LYR156"/>
    <mergeCell ref="LYS156:LYU156"/>
    <mergeCell ref="LYV156:LYX156"/>
    <mergeCell ref="LZE156:LZG156"/>
    <mergeCell ref="LZH156:LZJ156"/>
    <mergeCell ref="LZK156:LZM156"/>
    <mergeCell ref="LXL156:LXN156"/>
    <mergeCell ref="LXO156:LXQ156"/>
    <mergeCell ref="LXR156:LXT156"/>
    <mergeCell ref="LYA156:LYC156"/>
    <mergeCell ref="LYD156:LYF156"/>
    <mergeCell ref="LYG156:LYI156"/>
    <mergeCell ref="LWH156:LWJ156"/>
    <mergeCell ref="LWK156:LWM156"/>
    <mergeCell ref="LWN156:LWP156"/>
    <mergeCell ref="LWW156:LWY156"/>
    <mergeCell ref="LWZ156:LXB156"/>
    <mergeCell ref="LXC156:LXE156"/>
    <mergeCell ref="LVD156:LVF156"/>
    <mergeCell ref="LVG156:LVI156"/>
    <mergeCell ref="LVJ156:LVL156"/>
    <mergeCell ref="LVS156:LVU156"/>
    <mergeCell ref="LVV156:LVX156"/>
    <mergeCell ref="LVY156:LWA156"/>
    <mergeCell ref="LTZ156:LUB156"/>
    <mergeCell ref="LUC156:LUE156"/>
    <mergeCell ref="LUF156:LUH156"/>
    <mergeCell ref="LUO156:LUQ156"/>
    <mergeCell ref="LUR156:LUT156"/>
    <mergeCell ref="LUU156:LUW156"/>
    <mergeCell ref="LSV156:LSX156"/>
    <mergeCell ref="LSY156:LTA156"/>
    <mergeCell ref="LTB156:LTD156"/>
    <mergeCell ref="LTK156:LTM156"/>
    <mergeCell ref="LTN156:LTP156"/>
    <mergeCell ref="LTQ156:LTS156"/>
    <mergeCell ref="LRR156:LRT156"/>
    <mergeCell ref="LRU156:LRW156"/>
    <mergeCell ref="LRX156:LRZ156"/>
    <mergeCell ref="LSG156:LSI156"/>
    <mergeCell ref="LSJ156:LSL156"/>
    <mergeCell ref="LSM156:LSO156"/>
    <mergeCell ref="LQN156:LQP156"/>
    <mergeCell ref="LQQ156:LQS156"/>
    <mergeCell ref="LQT156:LQV156"/>
    <mergeCell ref="LRC156:LRE156"/>
    <mergeCell ref="LRF156:LRH156"/>
    <mergeCell ref="LRI156:LRK156"/>
    <mergeCell ref="LPJ156:LPL156"/>
    <mergeCell ref="LPM156:LPO156"/>
    <mergeCell ref="LPP156:LPR156"/>
    <mergeCell ref="LPY156:LQA156"/>
    <mergeCell ref="LQB156:LQD156"/>
    <mergeCell ref="LQE156:LQG156"/>
    <mergeCell ref="LOF156:LOH156"/>
    <mergeCell ref="LOI156:LOK156"/>
    <mergeCell ref="LOL156:LON156"/>
    <mergeCell ref="LOU156:LOW156"/>
    <mergeCell ref="LOX156:LOZ156"/>
    <mergeCell ref="LPA156:LPC156"/>
    <mergeCell ref="LNB156:LND156"/>
    <mergeCell ref="LNE156:LNG156"/>
    <mergeCell ref="LNH156:LNJ156"/>
    <mergeCell ref="LNQ156:LNS156"/>
    <mergeCell ref="LNT156:LNV156"/>
    <mergeCell ref="LNW156:LNY156"/>
    <mergeCell ref="LLX156:LLZ156"/>
    <mergeCell ref="LMA156:LMC156"/>
    <mergeCell ref="LMD156:LMF156"/>
    <mergeCell ref="LMM156:LMO156"/>
    <mergeCell ref="LMP156:LMR156"/>
    <mergeCell ref="LMS156:LMU156"/>
    <mergeCell ref="LKT156:LKV156"/>
    <mergeCell ref="LKW156:LKY156"/>
    <mergeCell ref="LKZ156:LLB156"/>
    <mergeCell ref="LLI156:LLK156"/>
    <mergeCell ref="LLL156:LLN156"/>
    <mergeCell ref="LLO156:LLQ156"/>
    <mergeCell ref="LJP156:LJR156"/>
    <mergeCell ref="LJS156:LJU156"/>
    <mergeCell ref="LJV156:LJX156"/>
    <mergeCell ref="LKE156:LKG156"/>
    <mergeCell ref="LKH156:LKJ156"/>
    <mergeCell ref="LKK156:LKM156"/>
    <mergeCell ref="LIL156:LIN156"/>
    <mergeCell ref="LIO156:LIQ156"/>
    <mergeCell ref="LIR156:LIT156"/>
    <mergeCell ref="LJA156:LJC156"/>
    <mergeCell ref="LJD156:LJF156"/>
    <mergeCell ref="LJG156:LJI156"/>
    <mergeCell ref="LHH156:LHJ156"/>
    <mergeCell ref="LHK156:LHM156"/>
    <mergeCell ref="LHN156:LHP156"/>
    <mergeCell ref="LHW156:LHY156"/>
    <mergeCell ref="LHZ156:LIB156"/>
    <mergeCell ref="LIC156:LIE156"/>
    <mergeCell ref="LGD156:LGF156"/>
    <mergeCell ref="LGG156:LGI156"/>
    <mergeCell ref="LGJ156:LGL156"/>
    <mergeCell ref="LGS156:LGU156"/>
    <mergeCell ref="LGV156:LGX156"/>
    <mergeCell ref="LGY156:LHA156"/>
    <mergeCell ref="LEZ156:LFB156"/>
    <mergeCell ref="LFC156:LFE156"/>
    <mergeCell ref="LFF156:LFH156"/>
    <mergeCell ref="LFO156:LFQ156"/>
    <mergeCell ref="LFR156:LFT156"/>
    <mergeCell ref="LFU156:LFW156"/>
    <mergeCell ref="LDV156:LDX156"/>
    <mergeCell ref="LDY156:LEA156"/>
    <mergeCell ref="LEB156:LED156"/>
    <mergeCell ref="LEK156:LEM156"/>
    <mergeCell ref="LEN156:LEP156"/>
    <mergeCell ref="LEQ156:LES156"/>
    <mergeCell ref="LCR156:LCT156"/>
    <mergeCell ref="LCU156:LCW156"/>
    <mergeCell ref="LCX156:LCZ156"/>
    <mergeCell ref="LDG156:LDI156"/>
    <mergeCell ref="LDJ156:LDL156"/>
    <mergeCell ref="LDM156:LDO156"/>
    <mergeCell ref="LBN156:LBP156"/>
    <mergeCell ref="LBQ156:LBS156"/>
    <mergeCell ref="LBT156:LBV156"/>
    <mergeCell ref="LCC156:LCE156"/>
    <mergeCell ref="LCF156:LCH156"/>
    <mergeCell ref="LCI156:LCK156"/>
    <mergeCell ref="LAJ156:LAL156"/>
    <mergeCell ref="LAM156:LAO156"/>
    <mergeCell ref="LAP156:LAR156"/>
    <mergeCell ref="LAY156:LBA156"/>
    <mergeCell ref="LBB156:LBD156"/>
    <mergeCell ref="LBE156:LBG156"/>
    <mergeCell ref="KZF156:KZH156"/>
    <mergeCell ref="KZI156:KZK156"/>
    <mergeCell ref="KZL156:KZN156"/>
    <mergeCell ref="KZU156:KZW156"/>
    <mergeCell ref="KZX156:KZZ156"/>
    <mergeCell ref="LAA156:LAC156"/>
    <mergeCell ref="KYB156:KYD156"/>
    <mergeCell ref="KYE156:KYG156"/>
    <mergeCell ref="KYH156:KYJ156"/>
    <mergeCell ref="KYQ156:KYS156"/>
    <mergeCell ref="KYT156:KYV156"/>
    <mergeCell ref="KYW156:KYY156"/>
    <mergeCell ref="KWX156:KWZ156"/>
    <mergeCell ref="KXA156:KXC156"/>
    <mergeCell ref="KXD156:KXF156"/>
    <mergeCell ref="KXM156:KXO156"/>
    <mergeCell ref="KXP156:KXR156"/>
    <mergeCell ref="KXS156:KXU156"/>
    <mergeCell ref="KVT156:KVV156"/>
    <mergeCell ref="KVW156:KVY156"/>
    <mergeCell ref="KVZ156:KWB156"/>
    <mergeCell ref="KWI156:KWK156"/>
    <mergeCell ref="KWL156:KWN156"/>
    <mergeCell ref="KWO156:KWQ156"/>
    <mergeCell ref="KUP156:KUR156"/>
    <mergeCell ref="KUS156:KUU156"/>
    <mergeCell ref="KUV156:KUX156"/>
    <mergeCell ref="KVE156:KVG156"/>
    <mergeCell ref="KVH156:KVJ156"/>
    <mergeCell ref="KVK156:KVM156"/>
    <mergeCell ref="KTL156:KTN156"/>
    <mergeCell ref="KTO156:KTQ156"/>
    <mergeCell ref="KTR156:KTT156"/>
    <mergeCell ref="KUA156:KUC156"/>
    <mergeCell ref="KUD156:KUF156"/>
    <mergeCell ref="KUG156:KUI156"/>
    <mergeCell ref="KSH156:KSJ156"/>
    <mergeCell ref="KSK156:KSM156"/>
    <mergeCell ref="KSN156:KSP156"/>
    <mergeCell ref="KSW156:KSY156"/>
    <mergeCell ref="KSZ156:KTB156"/>
    <mergeCell ref="KTC156:KTE156"/>
    <mergeCell ref="KRD156:KRF156"/>
    <mergeCell ref="KRG156:KRI156"/>
    <mergeCell ref="KRJ156:KRL156"/>
    <mergeCell ref="KRS156:KRU156"/>
    <mergeCell ref="KRV156:KRX156"/>
    <mergeCell ref="KRY156:KSA156"/>
    <mergeCell ref="KPZ156:KQB156"/>
    <mergeCell ref="KQC156:KQE156"/>
    <mergeCell ref="KQF156:KQH156"/>
    <mergeCell ref="KQO156:KQQ156"/>
    <mergeCell ref="KQR156:KQT156"/>
    <mergeCell ref="KQU156:KQW156"/>
    <mergeCell ref="KOV156:KOX156"/>
    <mergeCell ref="KOY156:KPA156"/>
    <mergeCell ref="KPB156:KPD156"/>
    <mergeCell ref="KPK156:KPM156"/>
    <mergeCell ref="KPN156:KPP156"/>
    <mergeCell ref="KPQ156:KPS156"/>
    <mergeCell ref="KNR156:KNT156"/>
    <mergeCell ref="KNU156:KNW156"/>
    <mergeCell ref="KNX156:KNZ156"/>
    <mergeCell ref="KOG156:KOI156"/>
    <mergeCell ref="KOJ156:KOL156"/>
    <mergeCell ref="KOM156:KOO156"/>
    <mergeCell ref="KMN156:KMP156"/>
    <mergeCell ref="KMQ156:KMS156"/>
    <mergeCell ref="KMT156:KMV156"/>
    <mergeCell ref="KNC156:KNE156"/>
    <mergeCell ref="KNF156:KNH156"/>
    <mergeCell ref="KNI156:KNK156"/>
    <mergeCell ref="KLJ156:KLL156"/>
    <mergeCell ref="KLM156:KLO156"/>
    <mergeCell ref="KLP156:KLR156"/>
    <mergeCell ref="KLY156:KMA156"/>
    <mergeCell ref="KMB156:KMD156"/>
    <mergeCell ref="KME156:KMG156"/>
    <mergeCell ref="KKF156:KKH156"/>
    <mergeCell ref="KKI156:KKK156"/>
    <mergeCell ref="KKL156:KKN156"/>
    <mergeCell ref="KKU156:KKW156"/>
    <mergeCell ref="KKX156:KKZ156"/>
    <mergeCell ref="KLA156:KLC156"/>
    <mergeCell ref="KJB156:KJD156"/>
    <mergeCell ref="KJE156:KJG156"/>
    <mergeCell ref="KJH156:KJJ156"/>
    <mergeCell ref="KJQ156:KJS156"/>
    <mergeCell ref="KJT156:KJV156"/>
    <mergeCell ref="KJW156:KJY156"/>
    <mergeCell ref="KHX156:KHZ156"/>
    <mergeCell ref="KIA156:KIC156"/>
    <mergeCell ref="KID156:KIF156"/>
    <mergeCell ref="KIM156:KIO156"/>
    <mergeCell ref="KIP156:KIR156"/>
    <mergeCell ref="KIS156:KIU156"/>
    <mergeCell ref="KGT156:KGV156"/>
    <mergeCell ref="KGW156:KGY156"/>
    <mergeCell ref="KGZ156:KHB156"/>
    <mergeCell ref="KHI156:KHK156"/>
    <mergeCell ref="KHL156:KHN156"/>
    <mergeCell ref="KHO156:KHQ156"/>
    <mergeCell ref="KFP156:KFR156"/>
    <mergeCell ref="KFS156:KFU156"/>
    <mergeCell ref="KFV156:KFX156"/>
    <mergeCell ref="KGE156:KGG156"/>
    <mergeCell ref="KGH156:KGJ156"/>
    <mergeCell ref="KGK156:KGM156"/>
    <mergeCell ref="KEL156:KEN156"/>
    <mergeCell ref="KEO156:KEQ156"/>
    <mergeCell ref="KER156:KET156"/>
    <mergeCell ref="KFA156:KFC156"/>
    <mergeCell ref="KFD156:KFF156"/>
    <mergeCell ref="KFG156:KFI156"/>
    <mergeCell ref="KDH156:KDJ156"/>
    <mergeCell ref="KDK156:KDM156"/>
    <mergeCell ref="KDN156:KDP156"/>
    <mergeCell ref="KDW156:KDY156"/>
    <mergeCell ref="KDZ156:KEB156"/>
    <mergeCell ref="KEC156:KEE156"/>
    <mergeCell ref="KCD156:KCF156"/>
    <mergeCell ref="KCG156:KCI156"/>
    <mergeCell ref="KCJ156:KCL156"/>
    <mergeCell ref="KCS156:KCU156"/>
    <mergeCell ref="KCV156:KCX156"/>
    <mergeCell ref="KCY156:KDA156"/>
    <mergeCell ref="KAZ156:KBB156"/>
    <mergeCell ref="KBC156:KBE156"/>
    <mergeCell ref="KBF156:KBH156"/>
    <mergeCell ref="KBO156:KBQ156"/>
    <mergeCell ref="KBR156:KBT156"/>
    <mergeCell ref="KBU156:KBW156"/>
    <mergeCell ref="JZV156:JZX156"/>
    <mergeCell ref="JZY156:KAA156"/>
    <mergeCell ref="KAB156:KAD156"/>
    <mergeCell ref="KAK156:KAM156"/>
    <mergeCell ref="KAN156:KAP156"/>
    <mergeCell ref="KAQ156:KAS156"/>
    <mergeCell ref="JYR156:JYT156"/>
    <mergeCell ref="JYU156:JYW156"/>
    <mergeCell ref="JYX156:JYZ156"/>
    <mergeCell ref="JZG156:JZI156"/>
    <mergeCell ref="JZJ156:JZL156"/>
    <mergeCell ref="JZM156:JZO156"/>
    <mergeCell ref="JXN156:JXP156"/>
    <mergeCell ref="JXQ156:JXS156"/>
    <mergeCell ref="JXT156:JXV156"/>
    <mergeCell ref="JYC156:JYE156"/>
    <mergeCell ref="JYF156:JYH156"/>
    <mergeCell ref="JYI156:JYK156"/>
    <mergeCell ref="JWJ156:JWL156"/>
    <mergeCell ref="JWM156:JWO156"/>
    <mergeCell ref="JWP156:JWR156"/>
    <mergeCell ref="JWY156:JXA156"/>
    <mergeCell ref="JXB156:JXD156"/>
    <mergeCell ref="JXE156:JXG156"/>
    <mergeCell ref="JVF156:JVH156"/>
    <mergeCell ref="JVI156:JVK156"/>
    <mergeCell ref="JVL156:JVN156"/>
    <mergeCell ref="JVU156:JVW156"/>
    <mergeCell ref="JVX156:JVZ156"/>
    <mergeCell ref="JWA156:JWC156"/>
    <mergeCell ref="JUB156:JUD156"/>
    <mergeCell ref="JUE156:JUG156"/>
    <mergeCell ref="JUH156:JUJ156"/>
    <mergeCell ref="JUQ156:JUS156"/>
    <mergeCell ref="JUT156:JUV156"/>
    <mergeCell ref="JUW156:JUY156"/>
    <mergeCell ref="JSX156:JSZ156"/>
    <mergeCell ref="JTA156:JTC156"/>
    <mergeCell ref="JTD156:JTF156"/>
    <mergeCell ref="JTM156:JTO156"/>
    <mergeCell ref="JTP156:JTR156"/>
    <mergeCell ref="JTS156:JTU156"/>
    <mergeCell ref="JRT156:JRV156"/>
    <mergeCell ref="JRW156:JRY156"/>
    <mergeCell ref="JRZ156:JSB156"/>
    <mergeCell ref="JSI156:JSK156"/>
    <mergeCell ref="JSL156:JSN156"/>
    <mergeCell ref="JSO156:JSQ156"/>
    <mergeCell ref="JQP156:JQR156"/>
    <mergeCell ref="JQS156:JQU156"/>
    <mergeCell ref="JQV156:JQX156"/>
    <mergeCell ref="JRE156:JRG156"/>
    <mergeCell ref="JRH156:JRJ156"/>
    <mergeCell ref="JRK156:JRM156"/>
    <mergeCell ref="JPL156:JPN156"/>
    <mergeCell ref="JPO156:JPQ156"/>
    <mergeCell ref="JPR156:JPT156"/>
    <mergeCell ref="JQA156:JQC156"/>
    <mergeCell ref="JQD156:JQF156"/>
    <mergeCell ref="JQG156:JQI156"/>
    <mergeCell ref="JOH156:JOJ156"/>
    <mergeCell ref="JOK156:JOM156"/>
    <mergeCell ref="JON156:JOP156"/>
    <mergeCell ref="JOW156:JOY156"/>
    <mergeCell ref="JOZ156:JPB156"/>
    <mergeCell ref="JPC156:JPE156"/>
    <mergeCell ref="JND156:JNF156"/>
    <mergeCell ref="JNG156:JNI156"/>
    <mergeCell ref="JNJ156:JNL156"/>
    <mergeCell ref="JNS156:JNU156"/>
    <mergeCell ref="JNV156:JNX156"/>
    <mergeCell ref="JNY156:JOA156"/>
    <mergeCell ref="JLZ156:JMB156"/>
    <mergeCell ref="JMC156:JME156"/>
    <mergeCell ref="JMF156:JMH156"/>
    <mergeCell ref="JMO156:JMQ156"/>
    <mergeCell ref="JMR156:JMT156"/>
    <mergeCell ref="JMU156:JMW156"/>
    <mergeCell ref="JKV156:JKX156"/>
    <mergeCell ref="JKY156:JLA156"/>
    <mergeCell ref="JLB156:JLD156"/>
    <mergeCell ref="JLK156:JLM156"/>
    <mergeCell ref="JLN156:JLP156"/>
    <mergeCell ref="JLQ156:JLS156"/>
    <mergeCell ref="JJR156:JJT156"/>
    <mergeCell ref="JJU156:JJW156"/>
    <mergeCell ref="JJX156:JJZ156"/>
    <mergeCell ref="JKG156:JKI156"/>
    <mergeCell ref="JKJ156:JKL156"/>
    <mergeCell ref="JKM156:JKO156"/>
    <mergeCell ref="JIN156:JIP156"/>
    <mergeCell ref="JIQ156:JIS156"/>
    <mergeCell ref="JIT156:JIV156"/>
    <mergeCell ref="JJC156:JJE156"/>
    <mergeCell ref="JJF156:JJH156"/>
    <mergeCell ref="JJI156:JJK156"/>
    <mergeCell ref="JHJ156:JHL156"/>
    <mergeCell ref="JHM156:JHO156"/>
    <mergeCell ref="JHP156:JHR156"/>
    <mergeCell ref="JHY156:JIA156"/>
    <mergeCell ref="JIB156:JID156"/>
    <mergeCell ref="JIE156:JIG156"/>
    <mergeCell ref="JGF156:JGH156"/>
    <mergeCell ref="JGI156:JGK156"/>
    <mergeCell ref="JGL156:JGN156"/>
    <mergeCell ref="JGU156:JGW156"/>
    <mergeCell ref="JGX156:JGZ156"/>
    <mergeCell ref="JHA156:JHC156"/>
    <mergeCell ref="JFB156:JFD156"/>
    <mergeCell ref="JFE156:JFG156"/>
    <mergeCell ref="JFH156:JFJ156"/>
    <mergeCell ref="JFQ156:JFS156"/>
    <mergeCell ref="JFT156:JFV156"/>
    <mergeCell ref="JFW156:JFY156"/>
    <mergeCell ref="JDX156:JDZ156"/>
    <mergeCell ref="JEA156:JEC156"/>
    <mergeCell ref="JED156:JEF156"/>
    <mergeCell ref="JEM156:JEO156"/>
    <mergeCell ref="JEP156:JER156"/>
    <mergeCell ref="JES156:JEU156"/>
    <mergeCell ref="JCT156:JCV156"/>
    <mergeCell ref="JCW156:JCY156"/>
    <mergeCell ref="JCZ156:JDB156"/>
    <mergeCell ref="JDI156:JDK156"/>
    <mergeCell ref="JDL156:JDN156"/>
    <mergeCell ref="JDO156:JDQ156"/>
    <mergeCell ref="JBP156:JBR156"/>
    <mergeCell ref="JBS156:JBU156"/>
    <mergeCell ref="JBV156:JBX156"/>
    <mergeCell ref="JCE156:JCG156"/>
    <mergeCell ref="JCH156:JCJ156"/>
    <mergeCell ref="JCK156:JCM156"/>
    <mergeCell ref="JAL156:JAN156"/>
    <mergeCell ref="JAO156:JAQ156"/>
    <mergeCell ref="JAR156:JAT156"/>
    <mergeCell ref="JBA156:JBC156"/>
    <mergeCell ref="JBD156:JBF156"/>
    <mergeCell ref="JBG156:JBI156"/>
    <mergeCell ref="IZH156:IZJ156"/>
    <mergeCell ref="IZK156:IZM156"/>
    <mergeCell ref="IZN156:IZP156"/>
    <mergeCell ref="IZW156:IZY156"/>
    <mergeCell ref="IZZ156:JAB156"/>
    <mergeCell ref="JAC156:JAE156"/>
    <mergeCell ref="IYD156:IYF156"/>
    <mergeCell ref="IYG156:IYI156"/>
    <mergeCell ref="IYJ156:IYL156"/>
    <mergeCell ref="IYS156:IYU156"/>
    <mergeCell ref="IYV156:IYX156"/>
    <mergeCell ref="IYY156:IZA156"/>
    <mergeCell ref="IWZ156:IXB156"/>
    <mergeCell ref="IXC156:IXE156"/>
    <mergeCell ref="IXF156:IXH156"/>
    <mergeCell ref="IXO156:IXQ156"/>
    <mergeCell ref="IXR156:IXT156"/>
    <mergeCell ref="IXU156:IXW156"/>
    <mergeCell ref="IVV156:IVX156"/>
    <mergeCell ref="IVY156:IWA156"/>
    <mergeCell ref="IWB156:IWD156"/>
    <mergeCell ref="IWK156:IWM156"/>
    <mergeCell ref="IWN156:IWP156"/>
    <mergeCell ref="IWQ156:IWS156"/>
    <mergeCell ref="IUR156:IUT156"/>
    <mergeCell ref="IUU156:IUW156"/>
    <mergeCell ref="IUX156:IUZ156"/>
    <mergeCell ref="IVG156:IVI156"/>
    <mergeCell ref="IVJ156:IVL156"/>
    <mergeCell ref="IVM156:IVO156"/>
    <mergeCell ref="ITN156:ITP156"/>
    <mergeCell ref="ITQ156:ITS156"/>
    <mergeCell ref="ITT156:ITV156"/>
    <mergeCell ref="IUC156:IUE156"/>
    <mergeCell ref="IUF156:IUH156"/>
    <mergeCell ref="IUI156:IUK156"/>
    <mergeCell ref="ISJ156:ISL156"/>
    <mergeCell ref="ISM156:ISO156"/>
    <mergeCell ref="ISP156:ISR156"/>
    <mergeCell ref="ISY156:ITA156"/>
    <mergeCell ref="ITB156:ITD156"/>
    <mergeCell ref="ITE156:ITG156"/>
    <mergeCell ref="IRF156:IRH156"/>
    <mergeCell ref="IRI156:IRK156"/>
    <mergeCell ref="IRL156:IRN156"/>
    <mergeCell ref="IRU156:IRW156"/>
    <mergeCell ref="IRX156:IRZ156"/>
    <mergeCell ref="ISA156:ISC156"/>
    <mergeCell ref="IQB156:IQD156"/>
    <mergeCell ref="IQE156:IQG156"/>
    <mergeCell ref="IQH156:IQJ156"/>
    <mergeCell ref="IQQ156:IQS156"/>
    <mergeCell ref="IQT156:IQV156"/>
    <mergeCell ref="IQW156:IQY156"/>
    <mergeCell ref="IOX156:IOZ156"/>
    <mergeCell ref="IPA156:IPC156"/>
    <mergeCell ref="IPD156:IPF156"/>
    <mergeCell ref="IPM156:IPO156"/>
    <mergeCell ref="IPP156:IPR156"/>
    <mergeCell ref="IPS156:IPU156"/>
    <mergeCell ref="INT156:INV156"/>
    <mergeCell ref="INW156:INY156"/>
    <mergeCell ref="INZ156:IOB156"/>
    <mergeCell ref="IOI156:IOK156"/>
    <mergeCell ref="IOL156:ION156"/>
    <mergeCell ref="IOO156:IOQ156"/>
    <mergeCell ref="IMP156:IMR156"/>
    <mergeCell ref="IMS156:IMU156"/>
    <mergeCell ref="IMV156:IMX156"/>
    <mergeCell ref="INE156:ING156"/>
    <mergeCell ref="INH156:INJ156"/>
    <mergeCell ref="INK156:INM156"/>
    <mergeCell ref="ILL156:ILN156"/>
    <mergeCell ref="ILO156:ILQ156"/>
    <mergeCell ref="ILR156:ILT156"/>
    <mergeCell ref="IMA156:IMC156"/>
    <mergeCell ref="IMD156:IMF156"/>
    <mergeCell ref="IMG156:IMI156"/>
    <mergeCell ref="IKH156:IKJ156"/>
    <mergeCell ref="IKK156:IKM156"/>
    <mergeCell ref="IKN156:IKP156"/>
    <mergeCell ref="IKW156:IKY156"/>
    <mergeCell ref="IKZ156:ILB156"/>
    <mergeCell ref="ILC156:ILE156"/>
    <mergeCell ref="IJD156:IJF156"/>
    <mergeCell ref="IJG156:IJI156"/>
    <mergeCell ref="IJJ156:IJL156"/>
    <mergeCell ref="IJS156:IJU156"/>
    <mergeCell ref="IJV156:IJX156"/>
    <mergeCell ref="IJY156:IKA156"/>
    <mergeCell ref="IHZ156:IIB156"/>
    <mergeCell ref="IIC156:IIE156"/>
    <mergeCell ref="IIF156:IIH156"/>
    <mergeCell ref="IIO156:IIQ156"/>
    <mergeCell ref="IIR156:IIT156"/>
    <mergeCell ref="IIU156:IIW156"/>
    <mergeCell ref="IGV156:IGX156"/>
    <mergeCell ref="IGY156:IHA156"/>
    <mergeCell ref="IHB156:IHD156"/>
    <mergeCell ref="IHK156:IHM156"/>
    <mergeCell ref="IHN156:IHP156"/>
    <mergeCell ref="IHQ156:IHS156"/>
    <mergeCell ref="IFR156:IFT156"/>
    <mergeCell ref="IFU156:IFW156"/>
    <mergeCell ref="IFX156:IFZ156"/>
    <mergeCell ref="IGG156:IGI156"/>
    <mergeCell ref="IGJ156:IGL156"/>
    <mergeCell ref="IGM156:IGO156"/>
    <mergeCell ref="IEN156:IEP156"/>
    <mergeCell ref="IEQ156:IES156"/>
    <mergeCell ref="IET156:IEV156"/>
    <mergeCell ref="IFC156:IFE156"/>
    <mergeCell ref="IFF156:IFH156"/>
    <mergeCell ref="IFI156:IFK156"/>
    <mergeCell ref="IDJ156:IDL156"/>
    <mergeCell ref="IDM156:IDO156"/>
    <mergeCell ref="IDP156:IDR156"/>
    <mergeCell ref="IDY156:IEA156"/>
    <mergeCell ref="IEB156:IED156"/>
    <mergeCell ref="IEE156:IEG156"/>
    <mergeCell ref="ICF156:ICH156"/>
    <mergeCell ref="ICI156:ICK156"/>
    <mergeCell ref="ICL156:ICN156"/>
    <mergeCell ref="ICU156:ICW156"/>
    <mergeCell ref="ICX156:ICZ156"/>
    <mergeCell ref="IDA156:IDC156"/>
    <mergeCell ref="IBB156:IBD156"/>
    <mergeCell ref="IBE156:IBG156"/>
    <mergeCell ref="IBH156:IBJ156"/>
    <mergeCell ref="IBQ156:IBS156"/>
    <mergeCell ref="IBT156:IBV156"/>
    <mergeCell ref="IBW156:IBY156"/>
    <mergeCell ref="HZX156:HZZ156"/>
    <mergeCell ref="IAA156:IAC156"/>
    <mergeCell ref="IAD156:IAF156"/>
    <mergeCell ref="IAM156:IAO156"/>
    <mergeCell ref="IAP156:IAR156"/>
    <mergeCell ref="IAS156:IAU156"/>
    <mergeCell ref="HYT156:HYV156"/>
    <mergeCell ref="HYW156:HYY156"/>
    <mergeCell ref="HYZ156:HZB156"/>
    <mergeCell ref="HZI156:HZK156"/>
    <mergeCell ref="HZL156:HZN156"/>
    <mergeCell ref="HZO156:HZQ156"/>
    <mergeCell ref="HXP156:HXR156"/>
    <mergeCell ref="HXS156:HXU156"/>
    <mergeCell ref="HXV156:HXX156"/>
    <mergeCell ref="HYE156:HYG156"/>
    <mergeCell ref="HYH156:HYJ156"/>
    <mergeCell ref="HYK156:HYM156"/>
    <mergeCell ref="HWL156:HWN156"/>
    <mergeCell ref="HWO156:HWQ156"/>
    <mergeCell ref="HWR156:HWT156"/>
    <mergeCell ref="HXA156:HXC156"/>
    <mergeCell ref="HXD156:HXF156"/>
    <mergeCell ref="HXG156:HXI156"/>
    <mergeCell ref="HVH156:HVJ156"/>
    <mergeCell ref="HVK156:HVM156"/>
    <mergeCell ref="HVN156:HVP156"/>
    <mergeCell ref="HVW156:HVY156"/>
    <mergeCell ref="HVZ156:HWB156"/>
    <mergeCell ref="HWC156:HWE156"/>
    <mergeCell ref="HUD156:HUF156"/>
    <mergeCell ref="HUG156:HUI156"/>
    <mergeCell ref="HUJ156:HUL156"/>
    <mergeCell ref="HUS156:HUU156"/>
    <mergeCell ref="HUV156:HUX156"/>
    <mergeCell ref="HUY156:HVA156"/>
    <mergeCell ref="HSZ156:HTB156"/>
    <mergeCell ref="HTC156:HTE156"/>
    <mergeCell ref="HTF156:HTH156"/>
    <mergeCell ref="HTO156:HTQ156"/>
    <mergeCell ref="HTR156:HTT156"/>
    <mergeCell ref="HTU156:HTW156"/>
    <mergeCell ref="HRV156:HRX156"/>
    <mergeCell ref="HRY156:HSA156"/>
    <mergeCell ref="HSB156:HSD156"/>
    <mergeCell ref="HSK156:HSM156"/>
    <mergeCell ref="HSN156:HSP156"/>
    <mergeCell ref="HSQ156:HSS156"/>
    <mergeCell ref="HQR156:HQT156"/>
    <mergeCell ref="HQU156:HQW156"/>
    <mergeCell ref="HQX156:HQZ156"/>
    <mergeCell ref="HRG156:HRI156"/>
    <mergeCell ref="HRJ156:HRL156"/>
    <mergeCell ref="HRM156:HRO156"/>
    <mergeCell ref="HPN156:HPP156"/>
    <mergeCell ref="HPQ156:HPS156"/>
    <mergeCell ref="HPT156:HPV156"/>
    <mergeCell ref="HQC156:HQE156"/>
    <mergeCell ref="HQF156:HQH156"/>
    <mergeCell ref="HQI156:HQK156"/>
    <mergeCell ref="HOJ156:HOL156"/>
    <mergeCell ref="HOM156:HOO156"/>
    <mergeCell ref="HOP156:HOR156"/>
    <mergeCell ref="HOY156:HPA156"/>
    <mergeCell ref="HPB156:HPD156"/>
    <mergeCell ref="HPE156:HPG156"/>
    <mergeCell ref="HNF156:HNH156"/>
    <mergeCell ref="HNI156:HNK156"/>
    <mergeCell ref="HNL156:HNN156"/>
    <mergeCell ref="HNU156:HNW156"/>
    <mergeCell ref="HNX156:HNZ156"/>
    <mergeCell ref="HOA156:HOC156"/>
    <mergeCell ref="HMB156:HMD156"/>
    <mergeCell ref="HME156:HMG156"/>
    <mergeCell ref="HMH156:HMJ156"/>
    <mergeCell ref="HMQ156:HMS156"/>
    <mergeCell ref="HMT156:HMV156"/>
    <mergeCell ref="HMW156:HMY156"/>
    <mergeCell ref="HKX156:HKZ156"/>
    <mergeCell ref="HLA156:HLC156"/>
    <mergeCell ref="HLD156:HLF156"/>
    <mergeCell ref="HLM156:HLO156"/>
    <mergeCell ref="HLP156:HLR156"/>
    <mergeCell ref="HLS156:HLU156"/>
    <mergeCell ref="HJT156:HJV156"/>
    <mergeCell ref="HJW156:HJY156"/>
    <mergeCell ref="HJZ156:HKB156"/>
    <mergeCell ref="HKI156:HKK156"/>
    <mergeCell ref="HKL156:HKN156"/>
    <mergeCell ref="HKO156:HKQ156"/>
    <mergeCell ref="HIP156:HIR156"/>
    <mergeCell ref="HIS156:HIU156"/>
    <mergeCell ref="HIV156:HIX156"/>
    <mergeCell ref="HJE156:HJG156"/>
    <mergeCell ref="HJH156:HJJ156"/>
    <mergeCell ref="HJK156:HJM156"/>
    <mergeCell ref="HHL156:HHN156"/>
    <mergeCell ref="HHO156:HHQ156"/>
    <mergeCell ref="HHR156:HHT156"/>
    <mergeCell ref="HIA156:HIC156"/>
    <mergeCell ref="HID156:HIF156"/>
    <mergeCell ref="HIG156:HII156"/>
    <mergeCell ref="HGH156:HGJ156"/>
    <mergeCell ref="HGK156:HGM156"/>
    <mergeCell ref="HGN156:HGP156"/>
    <mergeCell ref="HGW156:HGY156"/>
    <mergeCell ref="HGZ156:HHB156"/>
    <mergeCell ref="HHC156:HHE156"/>
    <mergeCell ref="HFD156:HFF156"/>
    <mergeCell ref="HFG156:HFI156"/>
    <mergeCell ref="HFJ156:HFL156"/>
    <mergeCell ref="HFS156:HFU156"/>
    <mergeCell ref="HFV156:HFX156"/>
    <mergeCell ref="HFY156:HGA156"/>
    <mergeCell ref="HDZ156:HEB156"/>
    <mergeCell ref="HEC156:HEE156"/>
    <mergeCell ref="HEF156:HEH156"/>
    <mergeCell ref="HEO156:HEQ156"/>
    <mergeCell ref="HER156:HET156"/>
    <mergeCell ref="HEU156:HEW156"/>
    <mergeCell ref="HCV156:HCX156"/>
    <mergeCell ref="HCY156:HDA156"/>
    <mergeCell ref="HDB156:HDD156"/>
    <mergeCell ref="HDK156:HDM156"/>
    <mergeCell ref="HDN156:HDP156"/>
    <mergeCell ref="HDQ156:HDS156"/>
    <mergeCell ref="HBR156:HBT156"/>
    <mergeCell ref="HBU156:HBW156"/>
    <mergeCell ref="HBX156:HBZ156"/>
    <mergeCell ref="HCG156:HCI156"/>
    <mergeCell ref="HCJ156:HCL156"/>
    <mergeCell ref="HCM156:HCO156"/>
    <mergeCell ref="HAN156:HAP156"/>
    <mergeCell ref="HAQ156:HAS156"/>
    <mergeCell ref="HAT156:HAV156"/>
    <mergeCell ref="HBC156:HBE156"/>
    <mergeCell ref="HBF156:HBH156"/>
    <mergeCell ref="HBI156:HBK156"/>
    <mergeCell ref="GZJ156:GZL156"/>
    <mergeCell ref="GZM156:GZO156"/>
    <mergeCell ref="GZP156:GZR156"/>
    <mergeCell ref="GZY156:HAA156"/>
    <mergeCell ref="HAB156:HAD156"/>
    <mergeCell ref="HAE156:HAG156"/>
    <mergeCell ref="GYF156:GYH156"/>
    <mergeCell ref="GYI156:GYK156"/>
    <mergeCell ref="GYL156:GYN156"/>
    <mergeCell ref="GYU156:GYW156"/>
    <mergeCell ref="GYX156:GYZ156"/>
    <mergeCell ref="GZA156:GZC156"/>
    <mergeCell ref="GXB156:GXD156"/>
    <mergeCell ref="GXE156:GXG156"/>
    <mergeCell ref="GXH156:GXJ156"/>
    <mergeCell ref="GXQ156:GXS156"/>
    <mergeCell ref="GXT156:GXV156"/>
    <mergeCell ref="GXW156:GXY156"/>
    <mergeCell ref="GVX156:GVZ156"/>
    <mergeCell ref="GWA156:GWC156"/>
    <mergeCell ref="GWD156:GWF156"/>
    <mergeCell ref="GWM156:GWO156"/>
    <mergeCell ref="GWP156:GWR156"/>
    <mergeCell ref="GWS156:GWU156"/>
    <mergeCell ref="GUT156:GUV156"/>
    <mergeCell ref="GUW156:GUY156"/>
    <mergeCell ref="GUZ156:GVB156"/>
    <mergeCell ref="GVI156:GVK156"/>
    <mergeCell ref="GVL156:GVN156"/>
    <mergeCell ref="GVO156:GVQ156"/>
    <mergeCell ref="GTP156:GTR156"/>
    <mergeCell ref="GTS156:GTU156"/>
    <mergeCell ref="GTV156:GTX156"/>
    <mergeCell ref="GUE156:GUG156"/>
    <mergeCell ref="GUH156:GUJ156"/>
    <mergeCell ref="GUK156:GUM156"/>
    <mergeCell ref="GSL156:GSN156"/>
    <mergeCell ref="GSO156:GSQ156"/>
    <mergeCell ref="GSR156:GST156"/>
    <mergeCell ref="GTA156:GTC156"/>
    <mergeCell ref="GTD156:GTF156"/>
    <mergeCell ref="GTG156:GTI156"/>
    <mergeCell ref="GRH156:GRJ156"/>
    <mergeCell ref="GRK156:GRM156"/>
    <mergeCell ref="GRN156:GRP156"/>
    <mergeCell ref="GRW156:GRY156"/>
    <mergeCell ref="GRZ156:GSB156"/>
    <mergeCell ref="GSC156:GSE156"/>
    <mergeCell ref="GQD156:GQF156"/>
    <mergeCell ref="GQG156:GQI156"/>
    <mergeCell ref="GQJ156:GQL156"/>
    <mergeCell ref="GQS156:GQU156"/>
    <mergeCell ref="GQV156:GQX156"/>
    <mergeCell ref="GQY156:GRA156"/>
    <mergeCell ref="GOZ156:GPB156"/>
    <mergeCell ref="GPC156:GPE156"/>
    <mergeCell ref="GPF156:GPH156"/>
    <mergeCell ref="GPO156:GPQ156"/>
    <mergeCell ref="GPR156:GPT156"/>
    <mergeCell ref="GPU156:GPW156"/>
    <mergeCell ref="GNV156:GNX156"/>
    <mergeCell ref="GNY156:GOA156"/>
    <mergeCell ref="GOB156:GOD156"/>
    <mergeCell ref="GOK156:GOM156"/>
    <mergeCell ref="GON156:GOP156"/>
    <mergeCell ref="GOQ156:GOS156"/>
    <mergeCell ref="GMR156:GMT156"/>
    <mergeCell ref="GMU156:GMW156"/>
    <mergeCell ref="GMX156:GMZ156"/>
    <mergeCell ref="GNG156:GNI156"/>
    <mergeCell ref="GNJ156:GNL156"/>
    <mergeCell ref="GNM156:GNO156"/>
    <mergeCell ref="GLN156:GLP156"/>
    <mergeCell ref="GLQ156:GLS156"/>
    <mergeCell ref="GLT156:GLV156"/>
    <mergeCell ref="GMC156:GME156"/>
    <mergeCell ref="GMF156:GMH156"/>
    <mergeCell ref="GMI156:GMK156"/>
    <mergeCell ref="GKJ156:GKL156"/>
    <mergeCell ref="GKM156:GKO156"/>
    <mergeCell ref="GKP156:GKR156"/>
    <mergeCell ref="GKY156:GLA156"/>
    <mergeCell ref="GLB156:GLD156"/>
    <mergeCell ref="GLE156:GLG156"/>
    <mergeCell ref="GJF156:GJH156"/>
    <mergeCell ref="GJI156:GJK156"/>
    <mergeCell ref="GJL156:GJN156"/>
    <mergeCell ref="GJU156:GJW156"/>
    <mergeCell ref="GJX156:GJZ156"/>
    <mergeCell ref="GKA156:GKC156"/>
    <mergeCell ref="GIB156:GID156"/>
    <mergeCell ref="GIE156:GIG156"/>
    <mergeCell ref="GIH156:GIJ156"/>
    <mergeCell ref="GIQ156:GIS156"/>
    <mergeCell ref="GIT156:GIV156"/>
    <mergeCell ref="GIW156:GIY156"/>
    <mergeCell ref="GGX156:GGZ156"/>
    <mergeCell ref="GHA156:GHC156"/>
    <mergeCell ref="GHD156:GHF156"/>
    <mergeCell ref="GHM156:GHO156"/>
    <mergeCell ref="GHP156:GHR156"/>
    <mergeCell ref="GHS156:GHU156"/>
    <mergeCell ref="GFT156:GFV156"/>
    <mergeCell ref="GFW156:GFY156"/>
    <mergeCell ref="GFZ156:GGB156"/>
    <mergeCell ref="GGI156:GGK156"/>
    <mergeCell ref="GGL156:GGN156"/>
    <mergeCell ref="GGO156:GGQ156"/>
    <mergeCell ref="GEP156:GER156"/>
    <mergeCell ref="GES156:GEU156"/>
    <mergeCell ref="GEV156:GEX156"/>
    <mergeCell ref="GFE156:GFG156"/>
    <mergeCell ref="GFH156:GFJ156"/>
    <mergeCell ref="GFK156:GFM156"/>
    <mergeCell ref="GDL156:GDN156"/>
    <mergeCell ref="GDO156:GDQ156"/>
    <mergeCell ref="GDR156:GDT156"/>
    <mergeCell ref="GEA156:GEC156"/>
    <mergeCell ref="GED156:GEF156"/>
    <mergeCell ref="GEG156:GEI156"/>
    <mergeCell ref="GCH156:GCJ156"/>
    <mergeCell ref="GCK156:GCM156"/>
    <mergeCell ref="GCN156:GCP156"/>
    <mergeCell ref="GCW156:GCY156"/>
    <mergeCell ref="GCZ156:GDB156"/>
    <mergeCell ref="GDC156:GDE156"/>
    <mergeCell ref="GBD156:GBF156"/>
    <mergeCell ref="GBG156:GBI156"/>
    <mergeCell ref="GBJ156:GBL156"/>
    <mergeCell ref="GBS156:GBU156"/>
    <mergeCell ref="GBV156:GBX156"/>
    <mergeCell ref="GBY156:GCA156"/>
    <mergeCell ref="FZZ156:GAB156"/>
    <mergeCell ref="GAC156:GAE156"/>
    <mergeCell ref="GAF156:GAH156"/>
    <mergeCell ref="GAO156:GAQ156"/>
    <mergeCell ref="GAR156:GAT156"/>
    <mergeCell ref="GAU156:GAW156"/>
    <mergeCell ref="FYV156:FYX156"/>
    <mergeCell ref="FYY156:FZA156"/>
    <mergeCell ref="FZB156:FZD156"/>
    <mergeCell ref="FZK156:FZM156"/>
    <mergeCell ref="FZN156:FZP156"/>
    <mergeCell ref="FZQ156:FZS156"/>
    <mergeCell ref="FXR156:FXT156"/>
    <mergeCell ref="FXU156:FXW156"/>
    <mergeCell ref="FXX156:FXZ156"/>
    <mergeCell ref="FYG156:FYI156"/>
    <mergeCell ref="FYJ156:FYL156"/>
    <mergeCell ref="FYM156:FYO156"/>
    <mergeCell ref="FWN156:FWP156"/>
    <mergeCell ref="FWQ156:FWS156"/>
    <mergeCell ref="FWT156:FWV156"/>
    <mergeCell ref="FXC156:FXE156"/>
    <mergeCell ref="FXF156:FXH156"/>
    <mergeCell ref="FXI156:FXK156"/>
    <mergeCell ref="FVJ156:FVL156"/>
    <mergeCell ref="FVM156:FVO156"/>
    <mergeCell ref="FVP156:FVR156"/>
    <mergeCell ref="FVY156:FWA156"/>
    <mergeCell ref="FWB156:FWD156"/>
    <mergeCell ref="FWE156:FWG156"/>
    <mergeCell ref="FUF156:FUH156"/>
    <mergeCell ref="FUI156:FUK156"/>
    <mergeCell ref="FUL156:FUN156"/>
    <mergeCell ref="FUU156:FUW156"/>
    <mergeCell ref="FUX156:FUZ156"/>
    <mergeCell ref="FVA156:FVC156"/>
    <mergeCell ref="FTB156:FTD156"/>
    <mergeCell ref="FTE156:FTG156"/>
    <mergeCell ref="FTH156:FTJ156"/>
    <mergeCell ref="FTQ156:FTS156"/>
    <mergeCell ref="FTT156:FTV156"/>
    <mergeCell ref="FTW156:FTY156"/>
    <mergeCell ref="FRX156:FRZ156"/>
    <mergeCell ref="FSA156:FSC156"/>
    <mergeCell ref="FSD156:FSF156"/>
    <mergeCell ref="FSM156:FSO156"/>
    <mergeCell ref="FSP156:FSR156"/>
    <mergeCell ref="FSS156:FSU156"/>
    <mergeCell ref="FQT156:FQV156"/>
    <mergeCell ref="FQW156:FQY156"/>
    <mergeCell ref="FQZ156:FRB156"/>
    <mergeCell ref="FRI156:FRK156"/>
    <mergeCell ref="FRL156:FRN156"/>
    <mergeCell ref="FRO156:FRQ156"/>
    <mergeCell ref="FPP156:FPR156"/>
    <mergeCell ref="FPS156:FPU156"/>
    <mergeCell ref="FPV156:FPX156"/>
    <mergeCell ref="FQE156:FQG156"/>
    <mergeCell ref="FQH156:FQJ156"/>
    <mergeCell ref="FQK156:FQM156"/>
    <mergeCell ref="FOL156:FON156"/>
    <mergeCell ref="FOO156:FOQ156"/>
    <mergeCell ref="FOR156:FOT156"/>
    <mergeCell ref="FPA156:FPC156"/>
    <mergeCell ref="FPD156:FPF156"/>
    <mergeCell ref="FPG156:FPI156"/>
    <mergeCell ref="FNH156:FNJ156"/>
    <mergeCell ref="FNK156:FNM156"/>
    <mergeCell ref="FNN156:FNP156"/>
    <mergeCell ref="FNW156:FNY156"/>
    <mergeCell ref="FNZ156:FOB156"/>
    <mergeCell ref="FOC156:FOE156"/>
    <mergeCell ref="FMD156:FMF156"/>
    <mergeCell ref="FMG156:FMI156"/>
    <mergeCell ref="FMJ156:FML156"/>
    <mergeCell ref="FMS156:FMU156"/>
    <mergeCell ref="FMV156:FMX156"/>
    <mergeCell ref="FMY156:FNA156"/>
    <mergeCell ref="FKZ156:FLB156"/>
    <mergeCell ref="FLC156:FLE156"/>
    <mergeCell ref="FLF156:FLH156"/>
    <mergeCell ref="FLO156:FLQ156"/>
    <mergeCell ref="FLR156:FLT156"/>
    <mergeCell ref="FLU156:FLW156"/>
    <mergeCell ref="FJV156:FJX156"/>
    <mergeCell ref="FJY156:FKA156"/>
    <mergeCell ref="FKB156:FKD156"/>
    <mergeCell ref="FKK156:FKM156"/>
    <mergeCell ref="FKN156:FKP156"/>
    <mergeCell ref="FKQ156:FKS156"/>
    <mergeCell ref="FIR156:FIT156"/>
    <mergeCell ref="FIU156:FIW156"/>
    <mergeCell ref="FIX156:FIZ156"/>
    <mergeCell ref="FJG156:FJI156"/>
    <mergeCell ref="FJJ156:FJL156"/>
    <mergeCell ref="FJM156:FJO156"/>
    <mergeCell ref="FHN156:FHP156"/>
    <mergeCell ref="FHQ156:FHS156"/>
    <mergeCell ref="FHT156:FHV156"/>
    <mergeCell ref="FIC156:FIE156"/>
    <mergeCell ref="FIF156:FIH156"/>
    <mergeCell ref="FII156:FIK156"/>
    <mergeCell ref="FGJ156:FGL156"/>
    <mergeCell ref="FGM156:FGO156"/>
    <mergeCell ref="FGP156:FGR156"/>
    <mergeCell ref="FGY156:FHA156"/>
    <mergeCell ref="FHB156:FHD156"/>
    <mergeCell ref="FHE156:FHG156"/>
    <mergeCell ref="FFF156:FFH156"/>
    <mergeCell ref="FFI156:FFK156"/>
    <mergeCell ref="FFL156:FFN156"/>
    <mergeCell ref="FFU156:FFW156"/>
    <mergeCell ref="FFX156:FFZ156"/>
    <mergeCell ref="FGA156:FGC156"/>
    <mergeCell ref="FEB156:FED156"/>
    <mergeCell ref="FEE156:FEG156"/>
    <mergeCell ref="FEH156:FEJ156"/>
    <mergeCell ref="FEQ156:FES156"/>
    <mergeCell ref="FET156:FEV156"/>
    <mergeCell ref="FEW156:FEY156"/>
    <mergeCell ref="FCX156:FCZ156"/>
    <mergeCell ref="FDA156:FDC156"/>
    <mergeCell ref="FDD156:FDF156"/>
    <mergeCell ref="FDM156:FDO156"/>
    <mergeCell ref="FDP156:FDR156"/>
    <mergeCell ref="FDS156:FDU156"/>
    <mergeCell ref="FBT156:FBV156"/>
    <mergeCell ref="FBW156:FBY156"/>
    <mergeCell ref="FBZ156:FCB156"/>
    <mergeCell ref="FCI156:FCK156"/>
    <mergeCell ref="FCL156:FCN156"/>
    <mergeCell ref="FCO156:FCQ156"/>
    <mergeCell ref="FAP156:FAR156"/>
    <mergeCell ref="FAS156:FAU156"/>
    <mergeCell ref="FAV156:FAX156"/>
    <mergeCell ref="FBE156:FBG156"/>
    <mergeCell ref="FBH156:FBJ156"/>
    <mergeCell ref="FBK156:FBM156"/>
    <mergeCell ref="EZL156:EZN156"/>
    <mergeCell ref="EZO156:EZQ156"/>
    <mergeCell ref="EZR156:EZT156"/>
    <mergeCell ref="FAA156:FAC156"/>
    <mergeCell ref="FAD156:FAF156"/>
    <mergeCell ref="FAG156:FAI156"/>
    <mergeCell ref="EYH156:EYJ156"/>
    <mergeCell ref="EYK156:EYM156"/>
    <mergeCell ref="EYN156:EYP156"/>
    <mergeCell ref="EYW156:EYY156"/>
    <mergeCell ref="EYZ156:EZB156"/>
    <mergeCell ref="EZC156:EZE156"/>
    <mergeCell ref="EXD156:EXF156"/>
    <mergeCell ref="EXG156:EXI156"/>
    <mergeCell ref="EXJ156:EXL156"/>
    <mergeCell ref="EXS156:EXU156"/>
    <mergeCell ref="EXV156:EXX156"/>
    <mergeCell ref="EXY156:EYA156"/>
    <mergeCell ref="EVZ156:EWB156"/>
    <mergeCell ref="EWC156:EWE156"/>
    <mergeCell ref="EWF156:EWH156"/>
    <mergeCell ref="EWO156:EWQ156"/>
    <mergeCell ref="EWR156:EWT156"/>
    <mergeCell ref="EWU156:EWW156"/>
    <mergeCell ref="EUV156:EUX156"/>
    <mergeCell ref="EUY156:EVA156"/>
    <mergeCell ref="EVB156:EVD156"/>
    <mergeCell ref="EVK156:EVM156"/>
    <mergeCell ref="EVN156:EVP156"/>
    <mergeCell ref="EVQ156:EVS156"/>
    <mergeCell ref="ETR156:ETT156"/>
    <mergeCell ref="ETU156:ETW156"/>
    <mergeCell ref="ETX156:ETZ156"/>
    <mergeCell ref="EUG156:EUI156"/>
    <mergeCell ref="EUJ156:EUL156"/>
    <mergeCell ref="EUM156:EUO156"/>
    <mergeCell ref="ESN156:ESP156"/>
    <mergeCell ref="ESQ156:ESS156"/>
    <mergeCell ref="EST156:ESV156"/>
    <mergeCell ref="ETC156:ETE156"/>
    <mergeCell ref="ETF156:ETH156"/>
    <mergeCell ref="ETI156:ETK156"/>
    <mergeCell ref="ERJ156:ERL156"/>
    <mergeCell ref="ERM156:ERO156"/>
    <mergeCell ref="ERP156:ERR156"/>
    <mergeCell ref="ERY156:ESA156"/>
    <mergeCell ref="ESB156:ESD156"/>
    <mergeCell ref="ESE156:ESG156"/>
    <mergeCell ref="EQF156:EQH156"/>
    <mergeCell ref="EQI156:EQK156"/>
    <mergeCell ref="EQL156:EQN156"/>
    <mergeCell ref="EQU156:EQW156"/>
    <mergeCell ref="EQX156:EQZ156"/>
    <mergeCell ref="ERA156:ERC156"/>
    <mergeCell ref="EPB156:EPD156"/>
    <mergeCell ref="EPE156:EPG156"/>
    <mergeCell ref="EPH156:EPJ156"/>
    <mergeCell ref="EPQ156:EPS156"/>
    <mergeCell ref="EPT156:EPV156"/>
    <mergeCell ref="EPW156:EPY156"/>
    <mergeCell ref="ENX156:ENZ156"/>
    <mergeCell ref="EOA156:EOC156"/>
    <mergeCell ref="EOD156:EOF156"/>
    <mergeCell ref="EOM156:EOO156"/>
    <mergeCell ref="EOP156:EOR156"/>
    <mergeCell ref="EOS156:EOU156"/>
    <mergeCell ref="EMT156:EMV156"/>
    <mergeCell ref="EMW156:EMY156"/>
    <mergeCell ref="EMZ156:ENB156"/>
    <mergeCell ref="ENI156:ENK156"/>
    <mergeCell ref="ENL156:ENN156"/>
    <mergeCell ref="ENO156:ENQ156"/>
    <mergeCell ref="ELP156:ELR156"/>
    <mergeCell ref="ELS156:ELU156"/>
    <mergeCell ref="ELV156:ELX156"/>
    <mergeCell ref="EME156:EMG156"/>
    <mergeCell ref="EMH156:EMJ156"/>
    <mergeCell ref="EMK156:EMM156"/>
    <mergeCell ref="EKL156:EKN156"/>
    <mergeCell ref="EKO156:EKQ156"/>
    <mergeCell ref="EKR156:EKT156"/>
    <mergeCell ref="ELA156:ELC156"/>
    <mergeCell ref="ELD156:ELF156"/>
    <mergeCell ref="ELG156:ELI156"/>
    <mergeCell ref="EJH156:EJJ156"/>
    <mergeCell ref="EJK156:EJM156"/>
    <mergeCell ref="EJN156:EJP156"/>
    <mergeCell ref="EJW156:EJY156"/>
    <mergeCell ref="EJZ156:EKB156"/>
    <mergeCell ref="EKC156:EKE156"/>
    <mergeCell ref="EID156:EIF156"/>
    <mergeCell ref="EIG156:EII156"/>
    <mergeCell ref="EIJ156:EIL156"/>
    <mergeCell ref="EIS156:EIU156"/>
    <mergeCell ref="EIV156:EIX156"/>
    <mergeCell ref="EIY156:EJA156"/>
    <mergeCell ref="EGZ156:EHB156"/>
    <mergeCell ref="EHC156:EHE156"/>
    <mergeCell ref="EHF156:EHH156"/>
    <mergeCell ref="EHO156:EHQ156"/>
    <mergeCell ref="EHR156:EHT156"/>
    <mergeCell ref="EHU156:EHW156"/>
    <mergeCell ref="EFV156:EFX156"/>
    <mergeCell ref="EFY156:EGA156"/>
    <mergeCell ref="EGB156:EGD156"/>
    <mergeCell ref="EGK156:EGM156"/>
    <mergeCell ref="EGN156:EGP156"/>
    <mergeCell ref="EGQ156:EGS156"/>
    <mergeCell ref="EER156:EET156"/>
    <mergeCell ref="EEU156:EEW156"/>
    <mergeCell ref="EEX156:EEZ156"/>
    <mergeCell ref="EFG156:EFI156"/>
    <mergeCell ref="EFJ156:EFL156"/>
    <mergeCell ref="EFM156:EFO156"/>
    <mergeCell ref="EDN156:EDP156"/>
    <mergeCell ref="EDQ156:EDS156"/>
    <mergeCell ref="EDT156:EDV156"/>
    <mergeCell ref="EEC156:EEE156"/>
    <mergeCell ref="EEF156:EEH156"/>
    <mergeCell ref="EEI156:EEK156"/>
    <mergeCell ref="ECJ156:ECL156"/>
    <mergeCell ref="ECM156:ECO156"/>
    <mergeCell ref="ECP156:ECR156"/>
    <mergeCell ref="ECY156:EDA156"/>
    <mergeCell ref="EDB156:EDD156"/>
    <mergeCell ref="EDE156:EDG156"/>
    <mergeCell ref="EBF156:EBH156"/>
    <mergeCell ref="EBI156:EBK156"/>
    <mergeCell ref="EBL156:EBN156"/>
    <mergeCell ref="EBU156:EBW156"/>
    <mergeCell ref="EBX156:EBZ156"/>
    <mergeCell ref="ECA156:ECC156"/>
    <mergeCell ref="EAB156:EAD156"/>
    <mergeCell ref="EAE156:EAG156"/>
    <mergeCell ref="EAH156:EAJ156"/>
    <mergeCell ref="EAQ156:EAS156"/>
    <mergeCell ref="EAT156:EAV156"/>
    <mergeCell ref="EAW156:EAY156"/>
    <mergeCell ref="DYX156:DYZ156"/>
    <mergeCell ref="DZA156:DZC156"/>
    <mergeCell ref="DZD156:DZF156"/>
    <mergeCell ref="DZM156:DZO156"/>
    <mergeCell ref="DZP156:DZR156"/>
    <mergeCell ref="DZS156:DZU156"/>
    <mergeCell ref="DXT156:DXV156"/>
    <mergeCell ref="DXW156:DXY156"/>
    <mergeCell ref="DXZ156:DYB156"/>
    <mergeCell ref="DYI156:DYK156"/>
    <mergeCell ref="DYL156:DYN156"/>
    <mergeCell ref="DYO156:DYQ156"/>
    <mergeCell ref="DWP156:DWR156"/>
    <mergeCell ref="DWS156:DWU156"/>
    <mergeCell ref="DWV156:DWX156"/>
    <mergeCell ref="DXE156:DXG156"/>
    <mergeCell ref="DXH156:DXJ156"/>
    <mergeCell ref="DXK156:DXM156"/>
    <mergeCell ref="DVL156:DVN156"/>
    <mergeCell ref="DVO156:DVQ156"/>
    <mergeCell ref="DVR156:DVT156"/>
    <mergeCell ref="DWA156:DWC156"/>
    <mergeCell ref="DWD156:DWF156"/>
    <mergeCell ref="DWG156:DWI156"/>
    <mergeCell ref="DUH156:DUJ156"/>
    <mergeCell ref="DUK156:DUM156"/>
    <mergeCell ref="DUN156:DUP156"/>
    <mergeCell ref="DUW156:DUY156"/>
    <mergeCell ref="DUZ156:DVB156"/>
    <mergeCell ref="DVC156:DVE156"/>
    <mergeCell ref="DTD156:DTF156"/>
    <mergeCell ref="DTG156:DTI156"/>
    <mergeCell ref="DTJ156:DTL156"/>
    <mergeCell ref="DTS156:DTU156"/>
    <mergeCell ref="DTV156:DTX156"/>
    <mergeCell ref="DTY156:DUA156"/>
    <mergeCell ref="DRZ156:DSB156"/>
    <mergeCell ref="DSC156:DSE156"/>
    <mergeCell ref="DSF156:DSH156"/>
    <mergeCell ref="DSO156:DSQ156"/>
    <mergeCell ref="DSR156:DST156"/>
    <mergeCell ref="DSU156:DSW156"/>
    <mergeCell ref="DQV156:DQX156"/>
    <mergeCell ref="DQY156:DRA156"/>
    <mergeCell ref="DRB156:DRD156"/>
    <mergeCell ref="DRK156:DRM156"/>
    <mergeCell ref="DRN156:DRP156"/>
    <mergeCell ref="DRQ156:DRS156"/>
    <mergeCell ref="DPR156:DPT156"/>
    <mergeCell ref="DPU156:DPW156"/>
    <mergeCell ref="DPX156:DPZ156"/>
    <mergeCell ref="DQG156:DQI156"/>
    <mergeCell ref="DQJ156:DQL156"/>
    <mergeCell ref="DQM156:DQO156"/>
    <mergeCell ref="DON156:DOP156"/>
    <mergeCell ref="DOQ156:DOS156"/>
    <mergeCell ref="DOT156:DOV156"/>
    <mergeCell ref="DPC156:DPE156"/>
    <mergeCell ref="DPF156:DPH156"/>
    <mergeCell ref="DPI156:DPK156"/>
    <mergeCell ref="DNJ156:DNL156"/>
    <mergeCell ref="DNM156:DNO156"/>
    <mergeCell ref="DNP156:DNR156"/>
    <mergeCell ref="DNY156:DOA156"/>
    <mergeCell ref="DOB156:DOD156"/>
    <mergeCell ref="DOE156:DOG156"/>
    <mergeCell ref="DMF156:DMH156"/>
    <mergeCell ref="DMI156:DMK156"/>
    <mergeCell ref="DML156:DMN156"/>
    <mergeCell ref="DMU156:DMW156"/>
    <mergeCell ref="DMX156:DMZ156"/>
    <mergeCell ref="DNA156:DNC156"/>
    <mergeCell ref="DLB156:DLD156"/>
    <mergeCell ref="DLE156:DLG156"/>
    <mergeCell ref="DLH156:DLJ156"/>
    <mergeCell ref="DLQ156:DLS156"/>
    <mergeCell ref="DLT156:DLV156"/>
    <mergeCell ref="DLW156:DLY156"/>
    <mergeCell ref="DJX156:DJZ156"/>
    <mergeCell ref="DKA156:DKC156"/>
    <mergeCell ref="DKD156:DKF156"/>
    <mergeCell ref="DKM156:DKO156"/>
    <mergeCell ref="DKP156:DKR156"/>
    <mergeCell ref="DKS156:DKU156"/>
    <mergeCell ref="DIT156:DIV156"/>
    <mergeCell ref="DIW156:DIY156"/>
    <mergeCell ref="DIZ156:DJB156"/>
    <mergeCell ref="DJI156:DJK156"/>
    <mergeCell ref="DJL156:DJN156"/>
    <mergeCell ref="DJO156:DJQ156"/>
    <mergeCell ref="DHP156:DHR156"/>
    <mergeCell ref="DHS156:DHU156"/>
    <mergeCell ref="DHV156:DHX156"/>
    <mergeCell ref="DIE156:DIG156"/>
    <mergeCell ref="DIH156:DIJ156"/>
    <mergeCell ref="DIK156:DIM156"/>
    <mergeCell ref="DGL156:DGN156"/>
    <mergeCell ref="DGO156:DGQ156"/>
    <mergeCell ref="DGR156:DGT156"/>
    <mergeCell ref="DHA156:DHC156"/>
    <mergeCell ref="DHD156:DHF156"/>
    <mergeCell ref="DHG156:DHI156"/>
    <mergeCell ref="DFH156:DFJ156"/>
    <mergeCell ref="DFK156:DFM156"/>
    <mergeCell ref="DFN156:DFP156"/>
    <mergeCell ref="DFW156:DFY156"/>
    <mergeCell ref="DFZ156:DGB156"/>
    <mergeCell ref="DGC156:DGE156"/>
    <mergeCell ref="DED156:DEF156"/>
    <mergeCell ref="DEG156:DEI156"/>
    <mergeCell ref="DEJ156:DEL156"/>
    <mergeCell ref="DES156:DEU156"/>
    <mergeCell ref="DEV156:DEX156"/>
    <mergeCell ref="DEY156:DFA156"/>
    <mergeCell ref="DCZ156:DDB156"/>
    <mergeCell ref="DDC156:DDE156"/>
    <mergeCell ref="DDF156:DDH156"/>
    <mergeCell ref="DDO156:DDQ156"/>
    <mergeCell ref="DDR156:DDT156"/>
    <mergeCell ref="DDU156:DDW156"/>
    <mergeCell ref="DBV156:DBX156"/>
    <mergeCell ref="DBY156:DCA156"/>
    <mergeCell ref="DCB156:DCD156"/>
    <mergeCell ref="DCK156:DCM156"/>
    <mergeCell ref="DCN156:DCP156"/>
    <mergeCell ref="DCQ156:DCS156"/>
    <mergeCell ref="DAR156:DAT156"/>
    <mergeCell ref="DAU156:DAW156"/>
    <mergeCell ref="DAX156:DAZ156"/>
    <mergeCell ref="DBG156:DBI156"/>
    <mergeCell ref="DBJ156:DBL156"/>
    <mergeCell ref="DBM156:DBO156"/>
    <mergeCell ref="CZN156:CZP156"/>
    <mergeCell ref="CZQ156:CZS156"/>
    <mergeCell ref="CZT156:CZV156"/>
    <mergeCell ref="DAC156:DAE156"/>
    <mergeCell ref="DAF156:DAH156"/>
    <mergeCell ref="DAI156:DAK156"/>
    <mergeCell ref="CYJ156:CYL156"/>
    <mergeCell ref="CYM156:CYO156"/>
    <mergeCell ref="CYP156:CYR156"/>
    <mergeCell ref="CYY156:CZA156"/>
    <mergeCell ref="CZB156:CZD156"/>
    <mergeCell ref="CZE156:CZG156"/>
    <mergeCell ref="CXF156:CXH156"/>
    <mergeCell ref="CXI156:CXK156"/>
    <mergeCell ref="CXL156:CXN156"/>
    <mergeCell ref="CXU156:CXW156"/>
    <mergeCell ref="CXX156:CXZ156"/>
    <mergeCell ref="CYA156:CYC156"/>
    <mergeCell ref="CWB156:CWD156"/>
    <mergeCell ref="CWE156:CWG156"/>
    <mergeCell ref="CWH156:CWJ156"/>
    <mergeCell ref="CWQ156:CWS156"/>
    <mergeCell ref="CWT156:CWV156"/>
    <mergeCell ref="CWW156:CWY156"/>
    <mergeCell ref="CUX156:CUZ156"/>
    <mergeCell ref="CVA156:CVC156"/>
    <mergeCell ref="CVD156:CVF156"/>
    <mergeCell ref="CVM156:CVO156"/>
    <mergeCell ref="CVP156:CVR156"/>
    <mergeCell ref="CVS156:CVU156"/>
    <mergeCell ref="CTT156:CTV156"/>
    <mergeCell ref="CTW156:CTY156"/>
    <mergeCell ref="CTZ156:CUB156"/>
    <mergeCell ref="CUI156:CUK156"/>
    <mergeCell ref="CUL156:CUN156"/>
    <mergeCell ref="CUO156:CUQ156"/>
    <mergeCell ref="CSP156:CSR156"/>
    <mergeCell ref="CSS156:CSU156"/>
    <mergeCell ref="CSV156:CSX156"/>
    <mergeCell ref="CTE156:CTG156"/>
    <mergeCell ref="CTH156:CTJ156"/>
    <mergeCell ref="CTK156:CTM156"/>
    <mergeCell ref="CRL156:CRN156"/>
    <mergeCell ref="CRO156:CRQ156"/>
    <mergeCell ref="CRR156:CRT156"/>
    <mergeCell ref="CSA156:CSC156"/>
    <mergeCell ref="CSD156:CSF156"/>
    <mergeCell ref="CSG156:CSI156"/>
    <mergeCell ref="CQH156:CQJ156"/>
    <mergeCell ref="CQK156:CQM156"/>
    <mergeCell ref="CQN156:CQP156"/>
    <mergeCell ref="CQW156:CQY156"/>
    <mergeCell ref="CQZ156:CRB156"/>
    <mergeCell ref="CRC156:CRE156"/>
    <mergeCell ref="CPD156:CPF156"/>
    <mergeCell ref="CPG156:CPI156"/>
    <mergeCell ref="CPJ156:CPL156"/>
    <mergeCell ref="CPS156:CPU156"/>
    <mergeCell ref="CPV156:CPX156"/>
    <mergeCell ref="CPY156:CQA156"/>
    <mergeCell ref="CNZ156:COB156"/>
    <mergeCell ref="COC156:COE156"/>
    <mergeCell ref="COF156:COH156"/>
    <mergeCell ref="COO156:COQ156"/>
    <mergeCell ref="COR156:COT156"/>
    <mergeCell ref="COU156:COW156"/>
    <mergeCell ref="CMV156:CMX156"/>
    <mergeCell ref="CMY156:CNA156"/>
    <mergeCell ref="CNB156:CND156"/>
    <mergeCell ref="CNK156:CNM156"/>
    <mergeCell ref="CNN156:CNP156"/>
    <mergeCell ref="CNQ156:CNS156"/>
    <mergeCell ref="CLR156:CLT156"/>
    <mergeCell ref="CLU156:CLW156"/>
    <mergeCell ref="CLX156:CLZ156"/>
    <mergeCell ref="CMG156:CMI156"/>
    <mergeCell ref="CMJ156:CML156"/>
    <mergeCell ref="CMM156:CMO156"/>
    <mergeCell ref="CKN156:CKP156"/>
    <mergeCell ref="CKQ156:CKS156"/>
    <mergeCell ref="CKT156:CKV156"/>
    <mergeCell ref="CLC156:CLE156"/>
    <mergeCell ref="CLF156:CLH156"/>
    <mergeCell ref="CLI156:CLK156"/>
    <mergeCell ref="CJJ156:CJL156"/>
    <mergeCell ref="CJM156:CJO156"/>
    <mergeCell ref="CJP156:CJR156"/>
    <mergeCell ref="CJY156:CKA156"/>
    <mergeCell ref="CKB156:CKD156"/>
    <mergeCell ref="CKE156:CKG156"/>
    <mergeCell ref="CIF156:CIH156"/>
    <mergeCell ref="CII156:CIK156"/>
    <mergeCell ref="CIL156:CIN156"/>
    <mergeCell ref="CIU156:CIW156"/>
    <mergeCell ref="CIX156:CIZ156"/>
    <mergeCell ref="CJA156:CJC156"/>
    <mergeCell ref="CHB156:CHD156"/>
    <mergeCell ref="CHE156:CHG156"/>
    <mergeCell ref="CHH156:CHJ156"/>
    <mergeCell ref="CHQ156:CHS156"/>
    <mergeCell ref="CHT156:CHV156"/>
    <mergeCell ref="CHW156:CHY156"/>
    <mergeCell ref="CFX156:CFZ156"/>
    <mergeCell ref="CGA156:CGC156"/>
    <mergeCell ref="CGD156:CGF156"/>
    <mergeCell ref="CGM156:CGO156"/>
    <mergeCell ref="CGP156:CGR156"/>
    <mergeCell ref="CGS156:CGU156"/>
    <mergeCell ref="CET156:CEV156"/>
    <mergeCell ref="CEW156:CEY156"/>
    <mergeCell ref="CEZ156:CFB156"/>
    <mergeCell ref="CFI156:CFK156"/>
    <mergeCell ref="CFL156:CFN156"/>
    <mergeCell ref="CFO156:CFQ156"/>
    <mergeCell ref="CDP156:CDR156"/>
    <mergeCell ref="CDS156:CDU156"/>
    <mergeCell ref="CDV156:CDX156"/>
    <mergeCell ref="CEE156:CEG156"/>
    <mergeCell ref="CEH156:CEJ156"/>
    <mergeCell ref="CEK156:CEM156"/>
    <mergeCell ref="CCL156:CCN156"/>
    <mergeCell ref="CCO156:CCQ156"/>
    <mergeCell ref="CCR156:CCT156"/>
    <mergeCell ref="CDA156:CDC156"/>
    <mergeCell ref="CDD156:CDF156"/>
    <mergeCell ref="CDG156:CDI156"/>
    <mergeCell ref="CBH156:CBJ156"/>
    <mergeCell ref="CBK156:CBM156"/>
    <mergeCell ref="CBN156:CBP156"/>
    <mergeCell ref="CBW156:CBY156"/>
    <mergeCell ref="CBZ156:CCB156"/>
    <mergeCell ref="CCC156:CCE156"/>
    <mergeCell ref="CAD156:CAF156"/>
    <mergeCell ref="CAG156:CAI156"/>
    <mergeCell ref="CAJ156:CAL156"/>
    <mergeCell ref="CAS156:CAU156"/>
    <mergeCell ref="CAV156:CAX156"/>
    <mergeCell ref="CAY156:CBA156"/>
    <mergeCell ref="BYZ156:BZB156"/>
    <mergeCell ref="BZC156:BZE156"/>
    <mergeCell ref="BZF156:BZH156"/>
    <mergeCell ref="BZO156:BZQ156"/>
    <mergeCell ref="BZR156:BZT156"/>
    <mergeCell ref="BZU156:BZW156"/>
    <mergeCell ref="BXV156:BXX156"/>
    <mergeCell ref="BXY156:BYA156"/>
    <mergeCell ref="BYB156:BYD156"/>
    <mergeCell ref="BYK156:BYM156"/>
    <mergeCell ref="BYN156:BYP156"/>
    <mergeCell ref="BYQ156:BYS156"/>
    <mergeCell ref="BWR156:BWT156"/>
    <mergeCell ref="BWU156:BWW156"/>
    <mergeCell ref="BWX156:BWZ156"/>
    <mergeCell ref="BXG156:BXI156"/>
    <mergeCell ref="BXJ156:BXL156"/>
    <mergeCell ref="BXM156:BXO156"/>
    <mergeCell ref="BVN156:BVP156"/>
    <mergeCell ref="BVQ156:BVS156"/>
    <mergeCell ref="BVT156:BVV156"/>
    <mergeCell ref="BWC156:BWE156"/>
    <mergeCell ref="BWF156:BWH156"/>
    <mergeCell ref="BWI156:BWK156"/>
    <mergeCell ref="BUJ156:BUL156"/>
    <mergeCell ref="BUM156:BUO156"/>
    <mergeCell ref="BUP156:BUR156"/>
    <mergeCell ref="BUY156:BVA156"/>
    <mergeCell ref="BVB156:BVD156"/>
    <mergeCell ref="BVE156:BVG156"/>
    <mergeCell ref="BTF156:BTH156"/>
    <mergeCell ref="BTI156:BTK156"/>
    <mergeCell ref="BTL156:BTN156"/>
    <mergeCell ref="BTU156:BTW156"/>
    <mergeCell ref="BTX156:BTZ156"/>
    <mergeCell ref="BUA156:BUC156"/>
    <mergeCell ref="BSB156:BSD156"/>
    <mergeCell ref="BSE156:BSG156"/>
    <mergeCell ref="BSH156:BSJ156"/>
    <mergeCell ref="BSQ156:BSS156"/>
    <mergeCell ref="BST156:BSV156"/>
    <mergeCell ref="BSW156:BSY156"/>
    <mergeCell ref="BQX156:BQZ156"/>
    <mergeCell ref="BRA156:BRC156"/>
    <mergeCell ref="BRD156:BRF156"/>
    <mergeCell ref="BRM156:BRO156"/>
    <mergeCell ref="BRP156:BRR156"/>
    <mergeCell ref="BRS156:BRU156"/>
    <mergeCell ref="BPT156:BPV156"/>
    <mergeCell ref="BPW156:BPY156"/>
    <mergeCell ref="BPZ156:BQB156"/>
    <mergeCell ref="BQI156:BQK156"/>
    <mergeCell ref="BQL156:BQN156"/>
    <mergeCell ref="BQO156:BQQ156"/>
    <mergeCell ref="BOP156:BOR156"/>
    <mergeCell ref="BOS156:BOU156"/>
    <mergeCell ref="BOV156:BOX156"/>
    <mergeCell ref="BPE156:BPG156"/>
    <mergeCell ref="BPH156:BPJ156"/>
    <mergeCell ref="BPK156:BPM156"/>
    <mergeCell ref="BNL156:BNN156"/>
    <mergeCell ref="BNO156:BNQ156"/>
    <mergeCell ref="BNR156:BNT156"/>
    <mergeCell ref="BOA156:BOC156"/>
    <mergeCell ref="BOD156:BOF156"/>
    <mergeCell ref="BOG156:BOI156"/>
    <mergeCell ref="BMH156:BMJ156"/>
    <mergeCell ref="BMK156:BMM156"/>
    <mergeCell ref="BMN156:BMP156"/>
    <mergeCell ref="BMW156:BMY156"/>
    <mergeCell ref="BMZ156:BNB156"/>
    <mergeCell ref="BNC156:BNE156"/>
    <mergeCell ref="BLD156:BLF156"/>
    <mergeCell ref="BLG156:BLI156"/>
    <mergeCell ref="BLJ156:BLL156"/>
    <mergeCell ref="BLS156:BLU156"/>
    <mergeCell ref="BLV156:BLX156"/>
    <mergeCell ref="BLY156:BMA156"/>
    <mergeCell ref="BJZ156:BKB156"/>
    <mergeCell ref="BKC156:BKE156"/>
    <mergeCell ref="BKF156:BKH156"/>
    <mergeCell ref="BKO156:BKQ156"/>
    <mergeCell ref="BKR156:BKT156"/>
    <mergeCell ref="BKU156:BKW156"/>
    <mergeCell ref="BIV156:BIX156"/>
    <mergeCell ref="BIY156:BJA156"/>
    <mergeCell ref="BJB156:BJD156"/>
    <mergeCell ref="BJK156:BJM156"/>
    <mergeCell ref="BJN156:BJP156"/>
    <mergeCell ref="BJQ156:BJS156"/>
    <mergeCell ref="BHR156:BHT156"/>
    <mergeCell ref="BHU156:BHW156"/>
    <mergeCell ref="BHX156:BHZ156"/>
    <mergeCell ref="BIG156:BII156"/>
    <mergeCell ref="BIJ156:BIL156"/>
    <mergeCell ref="BIM156:BIO156"/>
    <mergeCell ref="BGN156:BGP156"/>
    <mergeCell ref="BGQ156:BGS156"/>
    <mergeCell ref="BGT156:BGV156"/>
    <mergeCell ref="BHC156:BHE156"/>
    <mergeCell ref="BHF156:BHH156"/>
    <mergeCell ref="BHI156:BHK156"/>
    <mergeCell ref="BFJ156:BFL156"/>
    <mergeCell ref="BFM156:BFO156"/>
    <mergeCell ref="BFP156:BFR156"/>
    <mergeCell ref="BFY156:BGA156"/>
    <mergeCell ref="BGB156:BGD156"/>
    <mergeCell ref="BGE156:BGG156"/>
    <mergeCell ref="BEF156:BEH156"/>
    <mergeCell ref="BEI156:BEK156"/>
    <mergeCell ref="BEL156:BEN156"/>
    <mergeCell ref="BEU156:BEW156"/>
    <mergeCell ref="BEX156:BEZ156"/>
    <mergeCell ref="BFA156:BFC156"/>
    <mergeCell ref="BDB156:BDD156"/>
    <mergeCell ref="BDE156:BDG156"/>
    <mergeCell ref="BDH156:BDJ156"/>
    <mergeCell ref="BDQ156:BDS156"/>
    <mergeCell ref="BDT156:BDV156"/>
    <mergeCell ref="BDW156:BDY156"/>
    <mergeCell ref="BBX156:BBZ156"/>
    <mergeCell ref="BCA156:BCC156"/>
    <mergeCell ref="BCD156:BCF156"/>
    <mergeCell ref="BCM156:BCO156"/>
    <mergeCell ref="BCP156:BCR156"/>
    <mergeCell ref="BCS156:BCU156"/>
    <mergeCell ref="BAT156:BAV156"/>
    <mergeCell ref="BAW156:BAY156"/>
    <mergeCell ref="BAZ156:BBB156"/>
    <mergeCell ref="BBI156:BBK156"/>
    <mergeCell ref="BBL156:BBN156"/>
    <mergeCell ref="BBO156:BBQ156"/>
    <mergeCell ref="AZP156:AZR156"/>
    <mergeCell ref="AZS156:AZU156"/>
    <mergeCell ref="AZV156:AZX156"/>
    <mergeCell ref="BAE156:BAG156"/>
    <mergeCell ref="BAH156:BAJ156"/>
    <mergeCell ref="BAK156:BAM156"/>
    <mergeCell ref="AYL156:AYN156"/>
    <mergeCell ref="AYO156:AYQ156"/>
    <mergeCell ref="AYR156:AYT156"/>
    <mergeCell ref="AZA156:AZC156"/>
    <mergeCell ref="AZD156:AZF156"/>
    <mergeCell ref="AZG156:AZI156"/>
    <mergeCell ref="AXH156:AXJ156"/>
    <mergeCell ref="AXK156:AXM156"/>
    <mergeCell ref="AXN156:AXP156"/>
    <mergeCell ref="AXW156:AXY156"/>
    <mergeCell ref="AXZ156:AYB156"/>
    <mergeCell ref="AYC156:AYE156"/>
    <mergeCell ref="AWD156:AWF156"/>
    <mergeCell ref="AWG156:AWI156"/>
    <mergeCell ref="AWJ156:AWL156"/>
    <mergeCell ref="AWS156:AWU156"/>
    <mergeCell ref="AWV156:AWX156"/>
    <mergeCell ref="AWY156:AXA156"/>
    <mergeCell ref="AUZ156:AVB156"/>
    <mergeCell ref="AVC156:AVE156"/>
    <mergeCell ref="AVF156:AVH156"/>
    <mergeCell ref="AVO156:AVQ156"/>
    <mergeCell ref="AVR156:AVT156"/>
    <mergeCell ref="AVU156:AVW156"/>
    <mergeCell ref="ATV156:ATX156"/>
    <mergeCell ref="ATY156:AUA156"/>
    <mergeCell ref="AUB156:AUD156"/>
    <mergeCell ref="AUK156:AUM156"/>
    <mergeCell ref="AUN156:AUP156"/>
    <mergeCell ref="AUQ156:AUS156"/>
    <mergeCell ref="ASR156:AST156"/>
    <mergeCell ref="ASU156:ASW156"/>
    <mergeCell ref="ASX156:ASZ156"/>
    <mergeCell ref="ATG156:ATI156"/>
    <mergeCell ref="ATJ156:ATL156"/>
    <mergeCell ref="ATM156:ATO156"/>
    <mergeCell ref="ARN156:ARP156"/>
    <mergeCell ref="ARQ156:ARS156"/>
    <mergeCell ref="ART156:ARV156"/>
    <mergeCell ref="ASC156:ASE156"/>
    <mergeCell ref="ASF156:ASH156"/>
    <mergeCell ref="ASI156:ASK156"/>
    <mergeCell ref="AQJ156:AQL156"/>
    <mergeCell ref="AQM156:AQO156"/>
    <mergeCell ref="AQP156:AQR156"/>
    <mergeCell ref="AQY156:ARA156"/>
    <mergeCell ref="ARB156:ARD156"/>
    <mergeCell ref="ARE156:ARG156"/>
    <mergeCell ref="APF156:APH156"/>
    <mergeCell ref="API156:APK156"/>
    <mergeCell ref="APL156:APN156"/>
    <mergeCell ref="APU156:APW156"/>
    <mergeCell ref="APX156:APZ156"/>
    <mergeCell ref="AQA156:AQC156"/>
    <mergeCell ref="AOB156:AOD156"/>
    <mergeCell ref="AOE156:AOG156"/>
    <mergeCell ref="AOH156:AOJ156"/>
    <mergeCell ref="AOQ156:AOS156"/>
    <mergeCell ref="AOT156:AOV156"/>
    <mergeCell ref="AOW156:AOY156"/>
    <mergeCell ref="AMX156:AMZ156"/>
    <mergeCell ref="ANA156:ANC156"/>
    <mergeCell ref="AND156:ANF156"/>
    <mergeCell ref="ANM156:ANO156"/>
    <mergeCell ref="ANP156:ANR156"/>
    <mergeCell ref="ANS156:ANU156"/>
    <mergeCell ref="ALT156:ALV156"/>
    <mergeCell ref="ALW156:ALY156"/>
    <mergeCell ref="ALZ156:AMB156"/>
    <mergeCell ref="AMI156:AMK156"/>
    <mergeCell ref="AML156:AMN156"/>
    <mergeCell ref="AMO156:AMQ156"/>
    <mergeCell ref="AKP156:AKR156"/>
    <mergeCell ref="AKS156:AKU156"/>
    <mergeCell ref="AKV156:AKX156"/>
    <mergeCell ref="ALE156:ALG156"/>
    <mergeCell ref="ALH156:ALJ156"/>
    <mergeCell ref="ALK156:ALM156"/>
    <mergeCell ref="AJL156:AJN156"/>
    <mergeCell ref="AJO156:AJQ156"/>
    <mergeCell ref="AJR156:AJT156"/>
    <mergeCell ref="AKA156:AKC156"/>
    <mergeCell ref="AKD156:AKF156"/>
    <mergeCell ref="AKG156:AKI156"/>
    <mergeCell ref="AIH156:AIJ156"/>
    <mergeCell ref="AIK156:AIM156"/>
    <mergeCell ref="AIN156:AIP156"/>
    <mergeCell ref="AIW156:AIY156"/>
    <mergeCell ref="AIZ156:AJB156"/>
    <mergeCell ref="AJC156:AJE156"/>
    <mergeCell ref="AHD156:AHF156"/>
    <mergeCell ref="AHG156:AHI156"/>
    <mergeCell ref="AHJ156:AHL156"/>
    <mergeCell ref="AHS156:AHU156"/>
    <mergeCell ref="AHV156:AHX156"/>
    <mergeCell ref="AHY156:AIA156"/>
    <mergeCell ref="AFZ156:AGB156"/>
    <mergeCell ref="AGC156:AGE156"/>
    <mergeCell ref="AGF156:AGH156"/>
    <mergeCell ref="AGO156:AGQ156"/>
    <mergeCell ref="AGR156:AGT156"/>
    <mergeCell ref="AGU156:AGW156"/>
    <mergeCell ref="AEV156:AEX156"/>
    <mergeCell ref="AEY156:AFA156"/>
    <mergeCell ref="AFB156:AFD156"/>
    <mergeCell ref="AFK156:AFM156"/>
    <mergeCell ref="AFN156:AFP156"/>
    <mergeCell ref="AFQ156:AFS156"/>
    <mergeCell ref="ADR156:ADT156"/>
    <mergeCell ref="ADU156:ADW156"/>
    <mergeCell ref="ADX156:ADZ156"/>
    <mergeCell ref="AEG156:AEI156"/>
    <mergeCell ref="AEJ156:AEL156"/>
    <mergeCell ref="AEM156:AEO156"/>
    <mergeCell ref="ACN156:ACP156"/>
    <mergeCell ref="ACQ156:ACS156"/>
    <mergeCell ref="ACT156:ACV156"/>
    <mergeCell ref="ADC156:ADE156"/>
    <mergeCell ref="ADF156:ADH156"/>
    <mergeCell ref="ADI156:ADK156"/>
    <mergeCell ref="ABJ156:ABL156"/>
    <mergeCell ref="ABM156:ABO156"/>
    <mergeCell ref="ABP156:ABR156"/>
    <mergeCell ref="ABY156:ACA156"/>
    <mergeCell ref="ACB156:ACD156"/>
    <mergeCell ref="ACE156:ACG156"/>
    <mergeCell ref="AAF156:AAH156"/>
    <mergeCell ref="AAI156:AAK156"/>
    <mergeCell ref="AAL156:AAN156"/>
    <mergeCell ref="AAU156:AAW156"/>
    <mergeCell ref="AAX156:AAZ156"/>
    <mergeCell ref="ABA156:ABC156"/>
    <mergeCell ref="ZB156:ZD156"/>
    <mergeCell ref="ZE156:ZG156"/>
    <mergeCell ref="ZH156:ZJ156"/>
    <mergeCell ref="ZQ156:ZS156"/>
    <mergeCell ref="ZT156:ZV156"/>
    <mergeCell ref="ZW156:ZY156"/>
    <mergeCell ref="XX156:XZ156"/>
    <mergeCell ref="YA156:YC156"/>
    <mergeCell ref="YD156:YF156"/>
    <mergeCell ref="YM156:YO156"/>
    <mergeCell ref="YP156:YR156"/>
    <mergeCell ref="YS156:YU156"/>
    <mergeCell ref="WT156:WV156"/>
    <mergeCell ref="WW156:WY156"/>
    <mergeCell ref="WZ156:XB156"/>
    <mergeCell ref="XI156:XK156"/>
    <mergeCell ref="XL156:XN156"/>
    <mergeCell ref="XO156:XQ156"/>
    <mergeCell ref="VP156:VR156"/>
    <mergeCell ref="VS156:VU156"/>
    <mergeCell ref="VV156:VX156"/>
    <mergeCell ref="WE156:WG156"/>
    <mergeCell ref="WH156:WJ156"/>
    <mergeCell ref="WK156:WM156"/>
    <mergeCell ref="UL156:UN156"/>
    <mergeCell ref="UO156:UQ156"/>
    <mergeCell ref="UR156:UT156"/>
    <mergeCell ref="VA156:VC156"/>
    <mergeCell ref="VD156:VF156"/>
    <mergeCell ref="VG156:VI156"/>
    <mergeCell ref="TH156:TJ156"/>
    <mergeCell ref="TK156:TM156"/>
    <mergeCell ref="TN156:TP156"/>
    <mergeCell ref="TW156:TY156"/>
    <mergeCell ref="TZ156:UB156"/>
    <mergeCell ref="UC156:UE156"/>
    <mergeCell ref="SD156:SF156"/>
    <mergeCell ref="SG156:SI156"/>
    <mergeCell ref="SJ156:SL156"/>
    <mergeCell ref="SS156:SU156"/>
    <mergeCell ref="SV156:SX156"/>
    <mergeCell ref="SY156:TA156"/>
    <mergeCell ref="QZ156:RB156"/>
    <mergeCell ref="RC156:RE156"/>
    <mergeCell ref="RF156:RH156"/>
    <mergeCell ref="RO156:RQ156"/>
    <mergeCell ref="RR156:RT156"/>
    <mergeCell ref="RU156:RW156"/>
    <mergeCell ref="PV156:PX156"/>
    <mergeCell ref="PY156:QA156"/>
    <mergeCell ref="QB156:QD156"/>
    <mergeCell ref="QK156:QM156"/>
    <mergeCell ref="QN156:QP156"/>
    <mergeCell ref="QQ156:QS156"/>
    <mergeCell ref="OR156:OT156"/>
    <mergeCell ref="OU156:OW156"/>
    <mergeCell ref="OX156:OZ156"/>
    <mergeCell ref="PG156:PI156"/>
    <mergeCell ref="PJ156:PL156"/>
    <mergeCell ref="PM156:PO156"/>
    <mergeCell ref="NN156:NP156"/>
    <mergeCell ref="NQ156:NS156"/>
    <mergeCell ref="NT156:NV156"/>
    <mergeCell ref="OC156:OE156"/>
    <mergeCell ref="OF156:OH156"/>
    <mergeCell ref="OI156:OK156"/>
    <mergeCell ref="MJF155:MJH155"/>
    <mergeCell ref="MJO155:MJQ155"/>
    <mergeCell ref="MJR155:MJT155"/>
    <mergeCell ref="MJU155:MJW155"/>
    <mergeCell ref="MKD155:MKF155"/>
    <mergeCell ref="C156:E156"/>
    <mergeCell ref="F156:H156"/>
    <mergeCell ref="I156:K156"/>
    <mergeCell ref="NB156:ND156"/>
    <mergeCell ref="NE156:NG156"/>
    <mergeCell ref="MIB155:MID155"/>
    <mergeCell ref="MIK155:MIM155"/>
    <mergeCell ref="MIN155:MIP155"/>
    <mergeCell ref="MIQ155:MIS155"/>
    <mergeCell ref="MIZ155:MJB155"/>
    <mergeCell ref="MJC155:MJE155"/>
    <mergeCell ref="MGX155:MGZ155"/>
    <mergeCell ref="MHG155:MHI155"/>
    <mergeCell ref="MHJ155:MHL155"/>
    <mergeCell ref="MHM155:MHO155"/>
    <mergeCell ref="MHV155:MHX155"/>
    <mergeCell ref="MHY155:MIA155"/>
    <mergeCell ref="MFT155:MFV155"/>
    <mergeCell ref="MGC155:MGE155"/>
    <mergeCell ref="MGF155:MGH155"/>
    <mergeCell ref="MGI155:MGK155"/>
    <mergeCell ref="MGR155:MGT155"/>
    <mergeCell ref="MGU155:MGW155"/>
    <mergeCell ref="MEP155:MER155"/>
    <mergeCell ref="MEY155:MFA155"/>
    <mergeCell ref="MFB155:MFD155"/>
    <mergeCell ref="MFE155:MFG155"/>
    <mergeCell ref="MFN155:MFP155"/>
    <mergeCell ref="MFQ155:MFS155"/>
    <mergeCell ref="MDL155:MDN155"/>
    <mergeCell ref="MDU155:MDW155"/>
    <mergeCell ref="MDX155:MDZ155"/>
    <mergeCell ref="MEA155:MEC155"/>
    <mergeCell ref="MEJ155:MEL155"/>
    <mergeCell ref="MEM155:MEO155"/>
    <mergeCell ref="MCH155:MCJ155"/>
    <mergeCell ref="MCQ155:MCS155"/>
    <mergeCell ref="MCT155:MCV155"/>
    <mergeCell ref="MCW155:MCY155"/>
    <mergeCell ref="MDF155:MDH155"/>
    <mergeCell ref="MDI155:MDK155"/>
    <mergeCell ref="MBD155:MBF155"/>
    <mergeCell ref="MBM155:MBO155"/>
    <mergeCell ref="MBP155:MBR155"/>
    <mergeCell ref="MBS155:MBU155"/>
    <mergeCell ref="MCB155:MCD155"/>
    <mergeCell ref="MCE155:MCG155"/>
    <mergeCell ref="LZZ155:MAB155"/>
    <mergeCell ref="MAI155:MAK155"/>
    <mergeCell ref="MAL155:MAN155"/>
    <mergeCell ref="MAO155:MAQ155"/>
    <mergeCell ref="MAX155:MAZ155"/>
    <mergeCell ref="MBA155:MBC155"/>
    <mergeCell ref="LYV155:LYX155"/>
    <mergeCell ref="LZE155:LZG155"/>
    <mergeCell ref="LZH155:LZJ155"/>
    <mergeCell ref="LZK155:LZM155"/>
    <mergeCell ref="LZT155:LZV155"/>
    <mergeCell ref="LZW155:LZY155"/>
    <mergeCell ref="LXR155:LXT155"/>
    <mergeCell ref="LYA155:LYC155"/>
    <mergeCell ref="LYD155:LYF155"/>
    <mergeCell ref="LYG155:LYI155"/>
    <mergeCell ref="LYP155:LYR155"/>
    <mergeCell ref="LYS155:LYU155"/>
    <mergeCell ref="LWN155:LWP155"/>
    <mergeCell ref="LWW155:LWY155"/>
    <mergeCell ref="LWZ155:LXB155"/>
    <mergeCell ref="LXC155:LXE155"/>
    <mergeCell ref="LXL155:LXN155"/>
    <mergeCell ref="LXO155:LXQ155"/>
    <mergeCell ref="LVJ155:LVL155"/>
    <mergeCell ref="LVS155:LVU155"/>
    <mergeCell ref="LVV155:LVX155"/>
    <mergeCell ref="LVY155:LWA155"/>
    <mergeCell ref="LWH155:LWJ155"/>
    <mergeCell ref="LWK155:LWM155"/>
    <mergeCell ref="LUF155:LUH155"/>
    <mergeCell ref="LUO155:LUQ155"/>
    <mergeCell ref="LUR155:LUT155"/>
    <mergeCell ref="LUU155:LUW155"/>
    <mergeCell ref="LVD155:LVF155"/>
    <mergeCell ref="LVG155:LVI155"/>
    <mergeCell ref="LTB155:LTD155"/>
    <mergeCell ref="LTK155:LTM155"/>
    <mergeCell ref="LTN155:LTP155"/>
    <mergeCell ref="LTQ155:LTS155"/>
    <mergeCell ref="LTZ155:LUB155"/>
    <mergeCell ref="LUC155:LUE155"/>
    <mergeCell ref="LRX155:LRZ155"/>
    <mergeCell ref="LSG155:LSI155"/>
    <mergeCell ref="LSJ155:LSL155"/>
    <mergeCell ref="LSM155:LSO155"/>
    <mergeCell ref="LSV155:LSX155"/>
    <mergeCell ref="LSY155:LTA155"/>
    <mergeCell ref="LQT155:LQV155"/>
    <mergeCell ref="LRC155:LRE155"/>
    <mergeCell ref="LRF155:LRH155"/>
    <mergeCell ref="LRI155:LRK155"/>
    <mergeCell ref="LRR155:LRT155"/>
    <mergeCell ref="LRU155:LRW155"/>
    <mergeCell ref="LPP155:LPR155"/>
    <mergeCell ref="LPY155:LQA155"/>
    <mergeCell ref="LQB155:LQD155"/>
    <mergeCell ref="LQE155:LQG155"/>
    <mergeCell ref="LQN155:LQP155"/>
    <mergeCell ref="LQQ155:LQS155"/>
    <mergeCell ref="LOL155:LON155"/>
    <mergeCell ref="LOU155:LOW155"/>
    <mergeCell ref="LOX155:LOZ155"/>
    <mergeCell ref="LPA155:LPC155"/>
    <mergeCell ref="LPJ155:LPL155"/>
    <mergeCell ref="LPM155:LPO155"/>
    <mergeCell ref="LNH155:LNJ155"/>
    <mergeCell ref="LNQ155:LNS155"/>
    <mergeCell ref="LNT155:LNV155"/>
    <mergeCell ref="LNW155:LNY155"/>
    <mergeCell ref="LOF155:LOH155"/>
    <mergeCell ref="LOI155:LOK155"/>
    <mergeCell ref="LMD155:LMF155"/>
    <mergeCell ref="LMM155:LMO155"/>
    <mergeCell ref="LMP155:LMR155"/>
    <mergeCell ref="LMS155:LMU155"/>
    <mergeCell ref="LNB155:LND155"/>
    <mergeCell ref="LNE155:LNG155"/>
    <mergeCell ref="LKZ155:LLB155"/>
    <mergeCell ref="LLI155:LLK155"/>
    <mergeCell ref="LLL155:LLN155"/>
    <mergeCell ref="LLO155:LLQ155"/>
    <mergeCell ref="LLX155:LLZ155"/>
    <mergeCell ref="LMA155:LMC155"/>
    <mergeCell ref="LJV155:LJX155"/>
    <mergeCell ref="LKE155:LKG155"/>
    <mergeCell ref="LKH155:LKJ155"/>
    <mergeCell ref="LKK155:LKM155"/>
    <mergeCell ref="LKT155:LKV155"/>
    <mergeCell ref="LKW155:LKY155"/>
    <mergeCell ref="LIR155:LIT155"/>
    <mergeCell ref="LJA155:LJC155"/>
    <mergeCell ref="LJD155:LJF155"/>
    <mergeCell ref="LJG155:LJI155"/>
    <mergeCell ref="LJP155:LJR155"/>
    <mergeCell ref="LJS155:LJU155"/>
    <mergeCell ref="LHN155:LHP155"/>
    <mergeCell ref="LHW155:LHY155"/>
    <mergeCell ref="LHZ155:LIB155"/>
    <mergeCell ref="LIC155:LIE155"/>
    <mergeCell ref="LIL155:LIN155"/>
    <mergeCell ref="LIO155:LIQ155"/>
    <mergeCell ref="LGJ155:LGL155"/>
    <mergeCell ref="LGS155:LGU155"/>
    <mergeCell ref="LGV155:LGX155"/>
    <mergeCell ref="LGY155:LHA155"/>
    <mergeCell ref="LHH155:LHJ155"/>
    <mergeCell ref="LHK155:LHM155"/>
    <mergeCell ref="LFF155:LFH155"/>
    <mergeCell ref="LFO155:LFQ155"/>
    <mergeCell ref="LFR155:LFT155"/>
    <mergeCell ref="LFU155:LFW155"/>
    <mergeCell ref="LGD155:LGF155"/>
    <mergeCell ref="LGG155:LGI155"/>
    <mergeCell ref="LEB155:LED155"/>
    <mergeCell ref="LEK155:LEM155"/>
    <mergeCell ref="LEN155:LEP155"/>
    <mergeCell ref="LEQ155:LES155"/>
    <mergeCell ref="LEZ155:LFB155"/>
    <mergeCell ref="LFC155:LFE155"/>
    <mergeCell ref="LCX155:LCZ155"/>
    <mergeCell ref="LDG155:LDI155"/>
    <mergeCell ref="LDJ155:LDL155"/>
    <mergeCell ref="LDM155:LDO155"/>
    <mergeCell ref="LDV155:LDX155"/>
    <mergeCell ref="LDY155:LEA155"/>
    <mergeCell ref="LBT155:LBV155"/>
    <mergeCell ref="LCC155:LCE155"/>
    <mergeCell ref="LCF155:LCH155"/>
    <mergeCell ref="LCI155:LCK155"/>
    <mergeCell ref="LCR155:LCT155"/>
    <mergeCell ref="LCU155:LCW155"/>
    <mergeCell ref="LAP155:LAR155"/>
    <mergeCell ref="LAY155:LBA155"/>
    <mergeCell ref="LBB155:LBD155"/>
    <mergeCell ref="LBE155:LBG155"/>
    <mergeCell ref="LBN155:LBP155"/>
    <mergeCell ref="LBQ155:LBS155"/>
    <mergeCell ref="KZL155:KZN155"/>
    <mergeCell ref="KZU155:KZW155"/>
    <mergeCell ref="KZX155:KZZ155"/>
    <mergeCell ref="LAA155:LAC155"/>
    <mergeCell ref="LAJ155:LAL155"/>
    <mergeCell ref="LAM155:LAO155"/>
    <mergeCell ref="KYH155:KYJ155"/>
    <mergeCell ref="KYQ155:KYS155"/>
    <mergeCell ref="KYT155:KYV155"/>
    <mergeCell ref="KYW155:KYY155"/>
    <mergeCell ref="KZF155:KZH155"/>
    <mergeCell ref="KZI155:KZK155"/>
    <mergeCell ref="KXD155:KXF155"/>
    <mergeCell ref="KXM155:KXO155"/>
    <mergeCell ref="KXP155:KXR155"/>
    <mergeCell ref="KXS155:KXU155"/>
    <mergeCell ref="KYB155:KYD155"/>
    <mergeCell ref="KYE155:KYG155"/>
    <mergeCell ref="KVZ155:KWB155"/>
    <mergeCell ref="KWI155:KWK155"/>
    <mergeCell ref="KWL155:KWN155"/>
    <mergeCell ref="KWO155:KWQ155"/>
    <mergeCell ref="KWX155:KWZ155"/>
    <mergeCell ref="KXA155:KXC155"/>
    <mergeCell ref="KUV155:KUX155"/>
    <mergeCell ref="KVE155:KVG155"/>
    <mergeCell ref="KVH155:KVJ155"/>
    <mergeCell ref="KVK155:KVM155"/>
    <mergeCell ref="KVT155:KVV155"/>
    <mergeCell ref="KVW155:KVY155"/>
    <mergeCell ref="KTR155:KTT155"/>
    <mergeCell ref="KUA155:KUC155"/>
    <mergeCell ref="KUD155:KUF155"/>
    <mergeCell ref="KUG155:KUI155"/>
    <mergeCell ref="KUP155:KUR155"/>
    <mergeCell ref="KUS155:KUU155"/>
    <mergeCell ref="KSN155:KSP155"/>
    <mergeCell ref="KSW155:KSY155"/>
    <mergeCell ref="KSZ155:KTB155"/>
    <mergeCell ref="KTC155:KTE155"/>
    <mergeCell ref="KTL155:KTN155"/>
    <mergeCell ref="KTO155:KTQ155"/>
    <mergeCell ref="KRJ155:KRL155"/>
    <mergeCell ref="KRS155:KRU155"/>
    <mergeCell ref="KRV155:KRX155"/>
    <mergeCell ref="KRY155:KSA155"/>
    <mergeCell ref="KSH155:KSJ155"/>
    <mergeCell ref="KSK155:KSM155"/>
    <mergeCell ref="KQF155:KQH155"/>
    <mergeCell ref="KQO155:KQQ155"/>
    <mergeCell ref="KQR155:KQT155"/>
    <mergeCell ref="KQU155:KQW155"/>
    <mergeCell ref="KRD155:KRF155"/>
    <mergeCell ref="KRG155:KRI155"/>
    <mergeCell ref="KPB155:KPD155"/>
    <mergeCell ref="KPK155:KPM155"/>
    <mergeCell ref="KPN155:KPP155"/>
    <mergeCell ref="KPQ155:KPS155"/>
    <mergeCell ref="KPZ155:KQB155"/>
    <mergeCell ref="KQC155:KQE155"/>
    <mergeCell ref="KNX155:KNZ155"/>
    <mergeCell ref="KOG155:KOI155"/>
    <mergeCell ref="KOJ155:KOL155"/>
    <mergeCell ref="KOM155:KOO155"/>
    <mergeCell ref="KOV155:KOX155"/>
    <mergeCell ref="KOY155:KPA155"/>
    <mergeCell ref="KMT155:KMV155"/>
    <mergeCell ref="KNC155:KNE155"/>
    <mergeCell ref="KNF155:KNH155"/>
    <mergeCell ref="KNI155:KNK155"/>
    <mergeCell ref="KNR155:KNT155"/>
    <mergeCell ref="KNU155:KNW155"/>
    <mergeCell ref="KLP155:KLR155"/>
    <mergeCell ref="KLY155:KMA155"/>
    <mergeCell ref="KMB155:KMD155"/>
    <mergeCell ref="KME155:KMG155"/>
    <mergeCell ref="KMN155:KMP155"/>
    <mergeCell ref="KMQ155:KMS155"/>
    <mergeCell ref="KKL155:KKN155"/>
    <mergeCell ref="KKU155:KKW155"/>
    <mergeCell ref="KKX155:KKZ155"/>
    <mergeCell ref="KLA155:KLC155"/>
    <mergeCell ref="KLJ155:KLL155"/>
    <mergeCell ref="KLM155:KLO155"/>
    <mergeCell ref="KJH155:KJJ155"/>
    <mergeCell ref="KJQ155:KJS155"/>
    <mergeCell ref="KJT155:KJV155"/>
    <mergeCell ref="KJW155:KJY155"/>
    <mergeCell ref="KKF155:KKH155"/>
    <mergeCell ref="KKI155:KKK155"/>
    <mergeCell ref="KID155:KIF155"/>
    <mergeCell ref="KIM155:KIO155"/>
    <mergeCell ref="KIP155:KIR155"/>
    <mergeCell ref="KIS155:KIU155"/>
    <mergeCell ref="KJB155:KJD155"/>
    <mergeCell ref="KJE155:KJG155"/>
    <mergeCell ref="KGZ155:KHB155"/>
    <mergeCell ref="KHI155:KHK155"/>
    <mergeCell ref="KHL155:KHN155"/>
    <mergeCell ref="KHO155:KHQ155"/>
    <mergeCell ref="KHX155:KHZ155"/>
    <mergeCell ref="KIA155:KIC155"/>
    <mergeCell ref="KFV155:KFX155"/>
    <mergeCell ref="KGE155:KGG155"/>
    <mergeCell ref="KGH155:KGJ155"/>
    <mergeCell ref="KGK155:KGM155"/>
    <mergeCell ref="KGT155:KGV155"/>
    <mergeCell ref="KGW155:KGY155"/>
    <mergeCell ref="KER155:KET155"/>
    <mergeCell ref="KFA155:KFC155"/>
    <mergeCell ref="KFD155:KFF155"/>
    <mergeCell ref="KFG155:KFI155"/>
    <mergeCell ref="KFP155:KFR155"/>
    <mergeCell ref="KFS155:KFU155"/>
    <mergeCell ref="KDN155:KDP155"/>
    <mergeCell ref="KDW155:KDY155"/>
    <mergeCell ref="KDZ155:KEB155"/>
    <mergeCell ref="KEC155:KEE155"/>
    <mergeCell ref="KEL155:KEN155"/>
    <mergeCell ref="KEO155:KEQ155"/>
    <mergeCell ref="KCJ155:KCL155"/>
    <mergeCell ref="KCS155:KCU155"/>
    <mergeCell ref="KCV155:KCX155"/>
    <mergeCell ref="KCY155:KDA155"/>
    <mergeCell ref="KDH155:KDJ155"/>
    <mergeCell ref="KDK155:KDM155"/>
    <mergeCell ref="KBF155:KBH155"/>
    <mergeCell ref="KBO155:KBQ155"/>
    <mergeCell ref="KBR155:KBT155"/>
    <mergeCell ref="KBU155:KBW155"/>
    <mergeCell ref="KCD155:KCF155"/>
    <mergeCell ref="KCG155:KCI155"/>
    <mergeCell ref="KAB155:KAD155"/>
    <mergeCell ref="KAK155:KAM155"/>
    <mergeCell ref="KAN155:KAP155"/>
    <mergeCell ref="KAQ155:KAS155"/>
    <mergeCell ref="KAZ155:KBB155"/>
    <mergeCell ref="KBC155:KBE155"/>
    <mergeCell ref="JYX155:JYZ155"/>
    <mergeCell ref="JZG155:JZI155"/>
    <mergeCell ref="JZJ155:JZL155"/>
    <mergeCell ref="JZM155:JZO155"/>
    <mergeCell ref="JZV155:JZX155"/>
    <mergeCell ref="JZY155:KAA155"/>
    <mergeCell ref="JXT155:JXV155"/>
    <mergeCell ref="JYC155:JYE155"/>
    <mergeCell ref="JYF155:JYH155"/>
    <mergeCell ref="JYI155:JYK155"/>
    <mergeCell ref="JYR155:JYT155"/>
    <mergeCell ref="JYU155:JYW155"/>
    <mergeCell ref="JWP155:JWR155"/>
    <mergeCell ref="JWY155:JXA155"/>
    <mergeCell ref="JXB155:JXD155"/>
    <mergeCell ref="JXE155:JXG155"/>
    <mergeCell ref="JXN155:JXP155"/>
    <mergeCell ref="JXQ155:JXS155"/>
    <mergeCell ref="JVL155:JVN155"/>
    <mergeCell ref="JVU155:JVW155"/>
    <mergeCell ref="JVX155:JVZ155"/>
    <mergeCell ref="JWA155:JWC155"/>
    <mergeCell ref="JWJ155:JWL155"/>
    <mergeCell ref="JWM155:JWO155"/>
    <mergeCell ref="JUH155:JUJ155"/>
    <mergeCell ref="JUQ155:JUS155"/>
    <mergeCell ref="JUT155:JUV155"/>
    <mergeCell ref="JUW155:JUY155"/>
    <mergeCell ref="JVF155:JVH155"/>
    <mergeCell ref="JVI155:JVK155"/>
    <mergeCell ref="JTD155:JTF155"/>
    <mergeCell ref="JTM155:JTO155"/>
    <mergeCell ref="JTP155:JTR155"/>
    <mergeCell ref="JTS155:JTU155"/>
    <mergeCell ref="JUB155:JUD155"/>
    <mergeCell ref="JUE155:JUG155"/>
    <mergeCell ref="JRZ155:JSB155"/>
    <mergeCell ref="JSI155:JSK155"/>
    <mergeCell ref="JSL155:JSN155"/>
    <mergeCell ref="JSO155:JSQ155"/>
    <mergeCell ref="JSX155:JSZ155"/>
    <mergeCell ref="JTA155:JTC155"/>
    <mergeCell ref="JQV155:JQX155"/>
    <mergeCell ref="JRE155:JRG155"/>
    <mergeCell ref="JRH155:JRJ155"/>
    <mergeCell ref="JRK155:JRM155"/>
    <mergeCell ref="JRT155:JRV155"/>
    <mergeCell ref="JRW155:JRY155"/>
    <mergeCell ref="JPR155:JPT155"/>
    <mergeCell ref="JQA155:JQC155"/>
    <mergeCell ref="JQD155:JQF155"/>
    <mergeCell ref="JQG155:JQI155"/>
    <mergeCell ref="JQP155:JQR155"/>
    <mergeCell ref="JQS155:JQU155"/>
    <mergeCell ref="JON155:JOP155"/>
    <mergeCell ref="JOW155:JOY155"/>
    <mergeCell ref="JOZ155:JPB155"/>
    <mergeCell ref="JPC155:JPE155"/>
    <mergeCell ref="JPL155:JPN155"/>
    <mergeCell ref="JPO155:JPQ155"/>
    <mergeCell ref="JNJ155:JNL155"/>
    <mergeCell ref="JNS155:JNU155"/>
    <mergeCell ref="JNV155:JNX155"/>
    <mergeCell ref="JNY155:JOA155"/>
    <mergeCell ref="JOH155:JOJ155"/>
    <mergeCell ref="JOK155:JOM155"/>
    <mergeCell ref="JMF155:JMH155"/>
    <mergeCell ref="JMO155:JMQ155"/>
    <mergeCell ref="JMR155:JMT155"/>
    <mergeCell ref="JMU155:JMW155"/>
    <mergeCell ref="JND155:JNF155"/>
    <mergeCell ref="JNG155:JNI155"/>
    <mergeCell ref="JLB155:JLD155"/>
    <mergeCell ref="JLK155:JLM155"/>
    <mergeCell ref="JLN155:JLP155"/>
    <mergeCell ref="JLQ155:JLS155"/>
    <mergeCell ref="JLZ155:JMB155"/>
    <mergeCell ref="JMC155:JME155"/>
    <mergeCell ref="JJX155:JJZ155"/>
    <mergeCell ref="JKG155:JKI155"/>
    <mergeCell ref="JKJ155:JKL155"/>
    <mergeCell ref="JKM155:JKO155"/>
    <mergeCell ref="JKV155:JKX155"/>
    <mergeCell ref="JKY155:JLA155"/>
    <mergeCell ref="JIT155:JIV155"/>
    <mergeCell ref="JJC155:JJE155"/>
    <mergeCell ref="JJF155:JJH155"/>
    <mergeCell ref="JJI155:JJK155"/>
    <mergeCell ref="JJR155:JJT155"/>
    <mergeCell ref="JJU155:JJW155"/>
    <mergeCell ref="JHP155:JHR155"/>
    <mergeCell ref="JHY155:JIA155"/>
    <mergeCell ref="JIB155:JID155"/>
    <mergeCell ref="JIE155:JIG155"/>
    <mergeCell ref="JIN155:JIP155"/>
    <mergeCell ref="JIQ155:JIS155"/>
    <mergeCell ref="JGL155:JGN155"/>
    <mergeCell ref="JGU155:JGW155"/>
    <mergeCell ref="JGX155:JGZ155"/>
    <mergeCell ref="JHA155:JHC155"/>
    <mergeCell ref="JHJ155:JHL155"/>
    <mergeCell ref="JHM155:JHO155"/>
    <mergeCell ref="JFH155:JFJ155"/>
    <mergeCell ref="JFQ155:JFS155"/>
    <mergeCell ref="JFT155:JFV155"/>
    <mergeCell ref="JFW155:JFY155"/>
    <mergeCell ref="JGF155:JGH155"/>
    <mergeCell ref="JGI155:JGK155"/>
    <mergeCell ref="JED155:JEF155"/>
    <mergeCell ref="JEM155:JEO155"/>
    <mergeCell ref="JEP155:JER155"/>
    <mergeCell ref="JES155:JEU155"/>
    <mergeCell ref="JFB155:JFD155"/>
    <mergeCell ref="JFE155:JFG155"/>
    <mergeCell ref="JCZ155:JDB155"/>
    <mergeCell ref="JDI155:JDK155"/>
    <mergeCell ref="JDL155:JDN155"/>
    <mergeCell ref="JDO155:JDQ155"/>
    <mergeCell ref="JDX155:JDZ155"/>
    <mergeCell ref="JEA155:JEC155"/>
    <mergeCell ref="JBV155:JBX155"/>
    <mergeCell ref="JCE155:JCG155"/>
    <mergeCell ref="JCH155:JCJ155"/>
    <mergeCell ref="JCK155:JCM155"/>
    <mergeCell ref="JCT155:JCV155"/>
    <mergeCell ref="JCW155:JCY155"/>
    <mergeCell ref="JAR155:JAT155"/>
    <mergeCell ref="JBA155:JBC155"/>
    <mergeCell ref="JBD155:JBF155"/>
    <mergeCell ref="JBG155:JBI155"/>
    <mergeCell ref="JBP155:JBR155"/>
    <mergeCell ref="JBS155:JBU155"/>
    <mergeCell ref="IZN155:IZP155"/>
    <mergeCell ref="IZW155:IZY155"/>
    <mergeCell ref="IZZ155:JAB155"/>
    <mergeCell ref="JAC155:JAE155"/>
    <mergeCell ref="JAL155:JAN155"/>
    <mergeCell ref="JAO155:JAQ155"/>
    <mergeCell ref="IYJ155:IYL155"/>
    <mergeCell ref="IYS155:IYU155"/>
    <mergeCell ref="IYV155:IYX155"/>
    <mergeCell ref="IYY155:IZA155"/>
    <mergeCell ref="IZH155:IZJ155"/>
    <mergeCell ref="IZK155:IZM155"/>
    <mergeCell ref="IXF155:IXH155"/>
    <mergeCell ref="IXO155:IXQ155"/>
    <mergeCell ref="IXR155:IXT155"/>
    <mergeCell ref="IXU155:IXW155"/>
    <mergeCell ref="IYD155:IYF155"/>
    <mergeCell ref="IYG155:IYI155"/>
    <mergeCell ref="IWB155:IWD155"/>
    <mergeCell ref="IWK155:IWM155"/>
    <mergeCell ref="IWN155:IWP155"/>
    <mergeCell ref="IWQ155:IWS155"/>
    <mergeCell ref="IWZ155:IXB155"/>
    <mergeCell ref="IXC155:IXE155"/>
    <mergeCell ref="IUX155:IUZ155"/>
    <mergeCell ref="IVG155:IVI155"/>
    <mergeCell ref="IVJ155:IVL155"/>
    <mergeCell ref="IVM155:IVO155"/>
    <mergeCell ref="IVV155:IVX155"/>
    <mergeCell ref="IVY155:IWA155"/>
    <mergeCell ref="ITT155:ITV155"/>
    <mergeCell ref="IUC155:IUE155"/>
    <mergeCell ref="IUF155:IUH155"/>
    <mergeCell ref="IUI155:IUK155"/>
    <mergeCell ref="IUR155:IUT155"/>
    <mergeCell ref="IUU155:IUW155"/>
    <mergeCell ref="ISP155:ISR155"/>
    <mergeCell ref="ISY155:ITA155"/>
    <mergeCell ref="ITB155:ITD155"/>
    <mergeCell ref="ITE155:ITG155"/>
    <mergeCell ref="ITN155:ITP155"/>
    <mergeCell ref="ITQ155:ITS155"/>
    <mergeCell ref="IRL155:IRN155"/>
    <mergeCell ref="IRU155:IRW155"/>
    <mergeCell ref="IRX155:IRZ155"/>
    <mergeCell ref="ISA155:ISC155"/>
    <mergeCell ref="ISJ155:ISL155"/>
    <mergeCell ref="ISM155:ISO155"/>
    <mergeCell ref="IQH155:IQJ155"/>
    <mergeCell ref="IQQ155:IQS155"/>
    <mergeCell ref="IQT155:IQV155"/>
    <mergeCell ref="IQW155:IQY155"/>
    <mergeCell ref="IRF155:IRH155"/>
    <mergeCell ref="IRI155:IRK155"/>
    <mergeCell ref="IPD155:IPF155"/>
    <mergeCell ref="IPM155:IPO155"/>
    <mergeCell ref="IPP155:IPR155"/>
    <mergeCell ref="IPS155:IPU155"/>
    <mergeCell ref="IQB155:IQD155"/>
    <mergeCell ref="IQE155:IQG155"/>
    <mergeCell ref="INZ155:IOB155"/>
    <mergeCell ref="IOI155:IOK155"/>
    <mergeCell ref="IOL155:ION155"/>
    <mergeCell ref="IOO155:IOQ155"/>
    <mergeCell ref="IOX155:IOZ155"/>
    <mergeCell ref="IPA155:IPC155"/>
    <mergeCell ref="IMV155:IMX155"/>
    <mergeCell ref="INE155:ING155"/>
    <mergeCell ref="INH155:INJ155"/>
    <mergeCell ref="INK155:INM155"/>
    <mergeCell ref="INT155:INV155"/>
    <mergeCell ref="INW155:INY155"/>
    <mergeCell ref="ILR155:ILT155"/>
    <mergeCell ref="IMA155:IMC155"/>
    <mergeCell ref="IMD155:IMF155"/>
    <mergeCell ref="IMG155:IMI155"/>
    <mergeCell ref="IMP155:IMR155"/>
    <mergeCell ref="IMS155:IMU155"/>
    <mergeCell ref="IKN155:IKP155"/>
    <mergeCell ref="IKW155:IKY155"/>
    <mergeCell ref="IKZ155:ILB155"/>
    <mergeCell ref="ILC155:ILE155"/>
    <mergeCell ref="ILL155:ILN155"/>
    <mergeCell ref="ILO155:ILQ155"/>
    <mergeCell ref="IJJ155:IJL155"/>
    <mergeCell ref="IJS155:IJU155"/>
    <mergeCell ref="IJV155:IJX155"/>
    <mergeCell ref="IJY155:IKA155"/>
    <mergeCell ref="IKH155:IKJ155"/>
    <mergeCell ref="IKK155:IKM155"/>
    <mergeCell ref="IIF155:IIH155"/>
    <mergeCell ref="IIO155:IIQ155"/>
    <mergeCell ref="IIR155:IIT155"/>
    <mergeCell ref="IIU155:IIW155"/>
    <mergeCell ref="IJD155:IJF155"/>
    <mergeCell ref="IJG155:IJI155"/>
    <mergeCell ref="IHB155:IHD155"/>
    <mergeCell ref="IHK155:IHM155"/>
    <mergeCell ref="IHN155:IHP155"/>
    <mergeCell ref="IHQ155:IHS155"/>
    <mergeCell ref="IHZ155:IIB155"/>
    <mergeCell ref="IIC155:IIE155"/>
    <mergeCell ref="IFX155:IFZ155"/>
    <mergeCell ref="IGG155:IGI155"/>
    <mergeCell ref="IGJ155:IGL155"/>
    <mergeCell ref="IGM155:IGO155"/>
    <mergeCell ref="IGV155:IGX155"/>
    <mergeCell ref="IGY155:IHA155"/>
    <mergeCell ref="IET155:IEV155"/>
    <mergeCell ref="IFC155:IFE155"/>
    <mergeCell ref="IFF155:IFH155"/>
    <mergeCell ref="IFI155:IFK155"/>
    <mergeCell ref="IFR155:IFT155"/>
    <mergeCell ref="IFU155:IFW155"/>
    <mergeCell ref="IDP155:IDR155"/>
    <mergeCell ref="IDY155:IEA155"/>
    <mergeCell ref="IEB155:IED155"/>
    <mergeCell ref="IEE155:IEG155"/>
    <mergeCell ref="IEN155:IEP155"/>
    <mergeCell ref="IEQ155:IES155"/>
    <mergeCell ref="ICL155:ICN155"/>
    <mergeCell ref="ICU155:ICW155"/>
    <mergeCell ref="ICX155:ICZ155"/>
    <mergeCell ref="IDA155:IDC155"/>
    <mergeCell ref="IDJ155:IDL155"/>
    <mergeCell ref="IDM155:IDO155"/>
    <mergeCell ref="IBH155:IBJ155"/>
    <mergeCell ref="IBQ155:IBS155"/>
    <mergeCell ref="IBT155:IBV155"/>
    <mergeCell ref="IBW155:IBY155"/>
    <mergeCell ref="ICF155:ICH155"/>
    <mergeCell ref="ICI155:ICK155"/>
    <mergeCell ref="IAD155:IAF155"/>
    <mergeCell ref="IAM155:IAO155"/>
    <mergeCell ref="IAP155:IAR155"/>
    <mergeCell ref="IAS155:IAU155"/>
    <mergeCell ref="IBB155:IBD155"/>
    <mergeCell ref="IBE155:IBG155"/>
    <mergeCell ref="HYZ155:HZB155"/>
    <mergeCell ref="HZI155:HZK155"/>
    <mergeCell ref="HZL155:HZN155"/>
    <mergeCell ref="HZO155:HZQ155"/>
    <mergeCell ref="HZX155:HZZ155"/>
    <mergeCell ref="IAA155:IAC155"/>
    <mergeCell ref="HXV155:HXX155"/>
    <mergeCell ref="HYE155:HYG155"/>
    <mergeCell ref="HYH155:HYJ155"/>
    <mergeCell ref="HYK155:HYM155"/>
    <mergeCell ref="HYT155:HYV155"/>
    <mergeCell ref="HYW155:HYY155"/>
    <mergeCell ref="HWR155:HWT155"/>
    <mergeCell ref="HXA155:HXC155"/>
    <mergeCell ref="HXD155:HXF155"/>
    <mergeCell ref="HXG155:HXI155"/>
    <mergeCell ref="HXP155:HXR155"/>
    <mergeCell ref="HXS155:HXU155"/>
    <mergeCell ref="HVN155:HVP155"/>
    <mergeCell ref="HVW155:HVY155"/>
    <mergeCell ref="HVZ155:HWB155"/>
    <mergeCell ref="HWC155:HWE155"/>
    <mergeCell ref="HWL155:HWN155"/>
    <mergeCell ref="HWO155:HWQ155"/>
    <mergeCell ref="HUJ155:HUL155"/>
    <mergeCell ref="HUS155:HUU155"/>
    <mergeCell ref="HUV155:HUX155"/>
    <mergeCell ref="HUY155:HVA155"/>
    <mergeCell ref="HVH155:HVJ155"/>
    <mergeCell ref="HVK155:HVM155"/>
    <mergeCell ref="HTF155:HTH155"/>
    <mergeCell ref="HTO155:HTQ155"/>
    <mergeCell ref="HTR155:HTT155"/>
    <mergeCell ref="HTU155:HTW155"/>
    <mergeCell ref="HUD155:HUF155"/>
    <mergeCell ref="HUG155:HUI155"/>
    <mergeCell ref="HSB155:HSD155"/>
    <mergeCell ref="HSK155:HSM155"/>
    <mergeCell ref="HSN155:HSP155"/>
    <mergeCell ref="HSQ155:HSS155"/>
    <mergeCell ref="HSZ155:HTB155"/>
    <mergeCell ref="HTC155:HTE155"/>
    <mergeCell ref="HQX155:HQZ155"/>
    <mergeCell ref="HRG155:HRI155"/>
    <mergeCell ref="HRJ155:HRL155"/>
    <mergeCell ref="HRM155:HRO155"/>
    <mergeCell ref="HRV155:HRX155"/>
    <mergeCell ref="HRY155:HSA155"/>
    <mergeCell ref="HPT155:HPV155"/>
    <mergeCell ref="HQC155:HQE155"/>
    <mergeCell ref="HQF155:HQH155"/>
    <mergeCell ref="HQI155:HQK155"/>
    <mergeCell ref="HQR155:HQT155"/>
    <mergeCell ref="HQU155:HQW155"/>
    <mergeCell ref="HOP155:HOR155"/>
    <mergeCell ref="HOY155:HPA155"/>
    <mergeCell ref="HPB155:HPD155"/>
    <mergeCell ref="HPE155:HPG155"/>
    <mergeCell ref="HPN155:HPP155"/>
    <mergeCell ref="HPQ155:HPS155"/>
    <mergeCell ref="HNL155:HNN155"/>
    <mergeCell ref="HNU155:HNW155"/>
    <mergeCell ref="HNX155:HNZ155"/>
    <mergeCell ref="HOA155:HOC155"/>
    <mergeCell ref="HOJ155:HOL155"/>
    <mergeCell ref="HOM155:HOO155"/>
    <mergeCell ref="HMH155:HMJ155"/>
    <mergeCell ref="HMQ155:HMS155"/>
    <mergeCell ref="HMT155:HMV155"/>
    <mergeCell ref="HMW155:HMY155"/>
    <mergeCell ref="HNF155:HNH155"/>
    <mergeCell ref="HNI155:HNK155"/>
    <mergeCell ref="HLD155:HLF155"/>
    <mergeCell ref="HLM155:HLO155"/>
    <mergeCell ref="HLP155:HLR155"/>
    <mergeCell ref="HLS155:HLU155"/>
    <mergeCell ref="HMB155:HMD155"/>
    <mergeCell ref="HME155:HMG155"/>
    <mergeCell ref="HJZ155:HKB155"/>
    <mergeCell ref="HKI155:HKK155"/>
    <mergeCell ref="HKL155:HKN155"/>
    <mergeCell ref="HKO155:HKQ155"/>
    <mergeCell ref="HKX155:HKZ155"/>
    <mergeCell ref="HLA155:HLC155"/>
    <mergeCell ref="HIV155:HIX155"/>
    <mergeCell ref="HJE155:HJG155"/>
    <mergeCell ref="HJH155:HJJ155"/>
    <mergeCell ref="HJK155:HJM155"/>
    <mergeCell ref="HJT155:HJV155"/>
    <mergeCell ref="HJW155:HJY155"/>
    <mergeCell ref="HHR155:HHT155"/>
    <mergeCell ref="HIA155:HIC155"/>
    <mergeCell ref="HID155:HIF155"/>
    <mergeCell ref="HIG155:HII155"/>
    <mergeCell ref="HIP155:HIR155"/>
    <mergeCell ref="HIS155:HIU155"/>
    <mergeCell ref="HGN155:HGP155"/>
    <mergeCell ref="HGW155:HGY155"/>
    <mergeCell ref="HGZ155:HHB155"/>
    <mergeCell ref="HHC155:HHE155"/>
    <mergeCell ref="HHL155:HHN155"/>
    <mergeCell ref="HHO155:HHQ155"/>
    <mergeCell ref="HFJ155:HFL155"/>
    <mergeCell ref="HFS155:HFU155"/>
    <mergeCell ref="HFV155:HFX155"/>
    <mergeCell ref="HFY155:HGA155"/>
    <mergeCell ref="HGH155:HGJ155"/>
    <mergeCell ref="HGK155:HGM155"/>
    <mergeCell ref="HEF155:HEH155"/>
    <mergeCell ref="HEO155:HEQ155"/>
    <mergeCell ref="HER155:HET155"/>
    <mergeCell ref="HEU155:HEW155"/>
    <mergeCell ref="HFD155:HFF155"/>
    <mergeCell ref="HFG155:HFI155"/>
    <mergeCell ref="HDB155:HDD155"/>
    <mergeCell ref="HDK155:HDM155"/>
    <mergeCell ref="HDN155:HDP155"/>
    <mergeCell ref="HDQ155:HDS155"/>
    <mergeCell ref="HDZ155:HEB155"/>
    <mergeCell ref="HEC155:HEE155"/>
    <mergeCell ref="HBX155:HBZ155"/>
    <mergeCell ref="HCG155:HCI155"/>
    <mergeCell ref="HCJ155:HCL155"/>
    <mergeCell ref="HCM155:HCO155"/>
    <mergeCell ref="HCV155:HCX155"/>
    <mergeCell ref="HCY155:HDA155"/>
    <mergeCell ref="HAT155:HAV155"/>
    <mergeCell ref="HBC155:HBE155"/>
    <mergeCell ref="HBF155:HBH155"/>
    <mergeCell ref="HBI155:HBK155"/>
    <mergeCell ref="HBR155:HBT155"/>
    <mergeCell ref="HBU155:HBW155"/>
    <mergeCell ref="GZP155:GZR155"/>
    <mergeCell ref="GZY155:HAA155"/>
    <mergeCell ref="HAB155:HAD155"/>
    <mergeCell ref="HAE155:HAG155"/>
    <mergeCell ref="HAN155:HAP155"/>
    <mergeCell ref="HAQ155:HAS155"/>
    <mergeCell ref="GYL155:GYN155"/>
    <mergeCell ref="GYU155:GYW155"/>
    <mergeCell ref="GYX155:GYZ155"/>
    <mergeCell ref="GZA155:GZC155"/>
    <mergeCell ref="GZJ155:GZL155"/>
    <mergeCell ref="GZM155:GZO155"/>
    <mergeCell ref="GXH155:GXJ155"/>
    <mergeCell ref="GXQ155:GXS155"/>
    <mergeCell ref="GXT155:GXV155"/>
    <mergeCell ref="GXW155:GXY155"/>
    <mergeCell ref="GYF155:GYH155"/>
    <mergeCell ref="GYI155:GYK155"/>
    <mergeCell ref="GWD155:GWF155"/>
    <mergeCell ref="GWM155:GWO155"/>
    <mergeCell ref="GWP155:GWR155"/>
    <mergeCell ref="GWS155:GWU155"/>
    <mergeCell ref="GXB155:GXD155"/>
    <mergeCell ref="GXE155:GXG155"/>
    <mergeCell ref="GUZ155:GVB155"/>
    <mergeCell ref="GVI155:GVK155"/>
    <mergeCell ref="GVL155:GVN155"/>
    <mergeCell ref="GVO155:GVQ155"/>
    <mergeCell ref="GVX155:GVZ155"/>
    <mergeCell ref="GWA155:GWC155"/>
    <mergeCell ref="GTV155:GTX155"/>
    <mergeCell ref="GUE155:GUG155"/>
    <mergeCell ref="GUH155:GUJ155"/>
    <mergeCell ref="GUK155:GUM155"/>
    <mergeCell ref="GUT155:GUV155"/>
    <mergeCell ref="GUW155:GUY155"/>
    <mergeCell ref="GSR155:GST155"/>
    <mergeCell ref="GTA155:GTC155"/>
    <mergeCell ref="GTD155:GTF155"/>
    <mergeCell ref="GTG155:GTI155"/>
    <mergeCell ref="GTP155:GTR155"/>
    <mergeCell ref="GTS155:GTU155"/>
    <mergeCell ref="GRN155:GRP155"/>
    <mergeCell ref="GRW155:GRY155"/>
    <mergeCell ref="GRZ155:GSB155"/>
    <mergeCell ref="GSC155:GSE155"/>
    <mergeCell ref="GSL155:GSN155"/>
    <mergeCell ref="GSO155:GSQ155"/>
    <mergeCell ref="GQJ155:GQL155"/>
    <mergeCell ref="GQS155:GQU155"/>
    <mergeCell ref="GQV155:GQX155"/>
    <mergeCell ref="GQY155:GRA155"/>
    <mergeCell ref="GRH155:GRJ155"/>
    <mergeCell ref="GRK155:GRM155"/>
    <mergeCell ref="GPF155:GPH155"/>
    <mergeCell ref="GPO155:GPQ155"/>
    <mergeCell ref="GPR155:GPT155"/>
    <mergeCell ref="GPU155:GPW155"/>
    <mergeCell ref="GQD155:GQF155"/>
    <mergeCell ref="GQG155:GQI155"/>
    <mergeCell ref="GOB155:GOD155"/>
    <mergeCell ref="GOK155:GOM155"/>
    <mergeCell ref="GON155:GOP155"/>
    <mergeCell ref="GOQ155:GOS155"/>
    <mergeCell ref="GOZ155:GPB155"/>
    <mergeCell ref="GPC155:GPE155"/>
    <mergeCell ref="GMX155:GMZ155"/>
    <mergeCell ref="GNG155:GNI155"/>
    <mergeCell ref="GNJ155:GNL155"/>
    <mergeCell ref="GNM155:GNO155"/>
    <mergeCell ref="GNV155:GNX155"/>
    <mergeCell ref="GNY155:GOA155"/>
    <mergeCell ref="GLT155:GLV155"/>
    <mergeCell ref="GMC155:GME155"/>
    <mergeCell ref="GMF155:GMH155"/>
    <mergeCell ref="GMI155:GMK155"/>
    <mergeCell ref="GMR155:GMT155"/>
    <mergeCell ref="GMU155:GMW155"/>
    <mergeCell ref="GKP155:GKR155"/>
    <mergeCell ref="GKY155:GLA155"/>
    <mergeCell ref="GLB155:GLD155"/>
    <mergeCell ref="GLE155:GLG155"/>
    <mergeCell ref="GLN155:GLP155"/>
    <mergeCell ref="GLQ155:GLS155"/>
    <mergeCell ref="GJL155:GJN155"/>
    <mergeCell ref="GJU155:GJW155"/>
    <mergeCell ref="GJX155:GJZ155"/>
    <mergeCell ref="GKA155:GKC155"/>
    <mergeCell ref="GKJ155:GKL155"/>
    <mergeCell ref="GKM155:GKO155"/>
    <mergeCell ref="GIH155:GIJ155"/>
    <mergeCell ref="GIQ155:GIS155"/>
    <mergeCell ref="GIT155:GIV155"/>
    <mergeCell ref="GIW155:GIY155"/>
    <mergeCell ref="GJF155:GJH155"/>
    <mergeCell ref="GJI155:GJK155"/>
    <mergeCell ref="GHD155:GHF155"/>
    <mergeCell ref="GHM155:GHO155"/>
    <mergeCell ref="GHP155:GHR155"/>
    <mergeCell ref="GHS155:GHU155"/>
    <mergeCell ref="GIB155:GID155"/>
    <mergeCell ref="GIE155:GIG155"/>
    <mergeCell ref="GFZ155:GGB155"/>
    <mergeCell ref="GGI155:GGK155"/>
    <mergeCell ref="GGL155:GGN155"/>
    <mergeCell ref="GGO155:GGQ155"/>
    <mergeCell ref="GGX155:GGZ155"/>
    <mergeCell ref="GHA155:GHC155"/>
    <mergeCell ref="GEV155:GEX155"/>
    <mergeCell ref="GFE155:GFG155"/>
    <mergeCell ref="GFH155:GFJ155"/>
    <mergeCell ref="GFK155:GFM155"/>
    <mergeCell ref="GFT155:GFV155"/>
    <mergeCell ref="GFW155:GFY155"/>
    <mergeCell ref="GDR155:GDT155"/>
    <mergeCell ref="GEA155:GEC155"/>
    <mergeCell ref="GED155:GEF155"/>
    <mergeCell ref="GEG155:GEI155"/>
    <mergeCell ref="GEP155:GER155"/>
    <mergeCell ref="GES155:GEU155"/>
    <mergeCell ref="GCN155:GCP155"/>
    <mergeCell ref="GCW155:GCY155"/>
    <mergeCell ref="GCZ155:GDB155"/>
    <mergeCell ref="GDC155:GDE155"/>
    <mergeCell ref="GDL155:GDN155"/>
    <mergeCell ref="GDO155:GDQ155"/>
    <mergeCell ref="GBJ155:GBL155"/>
    <mergeCell ref="GBS155:GBU155"/>
    <mergeCell ref="GBV155:GBX155"/>
    <mergeCell ref="GBY155:GCA155"/>
    <mergeCell ref="GCH155:GCJ155"/>
    <mergeCell ref="GCK155:GCM155"/>
    <mergeCell ref="GAF155:GAH155"/>
    <mergeCell ref="GAO155:GAQ155"/>
    <mergeCell ref="GAR155:GAT155"/>
    <mergeCell ref="GAU155:GAW155"/>
    <mergeCell ref="GBD155:GBF155"/>
    <mergeCell ref="GBG155:GBI155"/>
    <mergeCell ref="FZB155:FZD155"/>
    <mergeCell ref="FZK155:FZM155"/>
    <mergeCell ref="FZN155:FZP155"/>
    <mergeCell ref="FZQ155:FZS155"/>
    <mergeCell ref="FZZ155:GAB155"/>
    <mergeCell ref="GAC155:GAE155"/>
    <mergeCell ref="FXX155:FXZ155"/>
    <mergeCell ref="FYG155:FYI155"/>
    <mergeCell ref="FYJ155:FYL155"/>
    <mergeCell ref="FYM155:FYO155"/>
    <mergeCell ref="FYV155:FYX155"/>
    <mergeCell ref="FYY155:FZA155"/>
    <mergeCell ref="FWT155:FWV155"/>
    <mergeCell ref="FXC155:FXE155"/>
    <mergeCell ref="FXF155:FXH155"/>
    <mergeCell ref="FXI155:FXK155"/>
    <mergeCell ref="FXR155:FXT155"/>
    <mergeCell ref="FXU155:FXW155"/>
    <mergeCell ref="FVP155:FVR155"/>
    <mergeCell ref="FVY155:FWA155"/>
    <mergeCell ref="FWB155:FWD155"/>
    <mergeCell ref="FWE155:FWG155"/>
    <mergeCell ref="FWN155:FWP155"/>
    <mergeCell ref="FWQ155:FWS155"/>
    <mergeCell ref="FUL155:FUN155"/>
    <mergeCell ref="FUU155:FUW155"/>
    <mergeCell ref="FUX155:FUZ155"/>
    <mergeCell ref="FVA155:FVC155"/>
    <mergeCell ref="FVJ155:FVL155"/>
    <mergeCell ref="FVM155:FVO155"/>
    <mergeCell ref="FTH155:FTJ155"/>
    <mergeCell ref="FTQ155:FTS155"/>
    <mergeCell ref="FTT155:FTV155"/>
    <mergeCell ref="FTW155:FTY155"/>
    <mergeCell ref="FUF155:FUH155"/>
    <mergeCell ref="FUI155:FUK155"/>
    <mergeCell ref="FSD155:FSF155"/>
    <mergeCell ref="FSM155:FSO155"/>
    <mergeCell ref="FSP155:FSR155"/>
    <mergeCell ref="FSS155:FSU155"/>
    <mergeCell ref="FTB155:FTD155"/>
    <mergeCell ref="FTE155:FTG155"/>
    <mergeCell ref="FQZ155:FRB155"/>
    <mergeCell ref="FRI155:FRK155"/>
    <mergeCell ref="FRL155:FRN155"/>
    <mergeCell ref="FRO155:FRQ155"/>
    <mergeCell ref="FRX155:FRZ155"/>
    <mergeCell ref="FSA155:FSC155"/>
    <mergeCell ref="FPV155:FPX155"/>
    <mergeCell ref="FQE155:FQG155"/>
    <mergeCell ref="FQH155:FQJ155"/>
    <mergeCell ref="FQK155:FQM155"/>
    <mergeCell ref="FQT155:FQV155"/>
    <mergeCell ref="FQW155:FQY155"/>
    <mergeCell ref="FOR155:FOT155"/>
    <mergeCell ref="FPA155:FPC155"/>
    <mergeCell ref="FPD155:FPF155"/>
    <mergeCell ref="FPG155:FPI155"/>
    <mergeCell ref="FPP155:FPR155"/>
    <mergeCell ref="FPS155:FPU155"/>
    <mergeCell ref="FNN155:FNP155"/>
    <mergeCell ref="FNW155:FNY155"/>
    <mergeCell ref="FNZ155:FOB155"/>
    <mergeCell ref="FOC155:FOE155"/>
    <mergeCell ref="FOL155:FON155"/>
    <mergeCell ref="FOO155:FOQ155"/>
    <mergeCell ref="FMJ155:FML155"/>
    <mergeCell ref="FMS155:FMU155"/>
    <mergeCell ref="FMV155:FMX155"/>
    <mergeCell ref="FMY155:FNA155"/>
    <mergeCell ref="FNH155:FNJ155"/>
    <mergeCell ref="FNK155:FNM155"/>
    <mergeCell ref="FLF155:FLH155"/>
    <mergeCell ref="FLO155:FLQ155"/>
    <mergeCell ref="FLR155:FLT155"/>
    <mergeCell ref="FLU155:FLW155"/>
    <mergeCell ref="FMD155:FMF155"/>
    <mergeCell ref="FMG155:FMI155"/>
    <mergeCell ref="FKB155:FKD155"/>
    <mergeCell ref="FKK155:FKM155"/>
    <mergeCell ref="FKN155:FKP155"/>
    <mergeCell ref="FKQ155:FKS155"/>
    <mergeCell ref="FKZ155:FLB155"/>
    <mergeCell ref="FLC155:FLE155"/>
    <mergeCell ref="FIX155:FIZ155"/>
    <mergeCell ref="FJG155:FJI155"/>
    <mergeCell ref="FJJ155:FJL155"/>
    <mergeCell ref="FJM155:FJO155"/>
    <mergeCell ref="FJV155:FJX155"/>
    <mergeCell ref="FJY155:FKA155"/>
    <mergeCell ref="FHT155:FHV155"/>
    <mergeCell ref="FIC155:FIE155"/>
    <mergeCell ref="FIF155:FIH155"/>
    <mergeCell ref="FII155:FIK155"/>
    <mergeCell ref="FIR155:FIT155"/>
    <mergeCell ref="FIU155:FIW155"/>
    <mergeCell ref="FGP155:FGR155"/>
    <mergeCell ref="FGY155:FHA155"/>
    <mergeCell ref="FHB155:FHD155"/>
    <mergeCell ref="FHE155:FHG155"/>
    <mergeCell ref="FHN155:FHP155"/>
    <mergeCell ref="FHQ155:FHS155"/>
    <mergeCell ref="FFL155:FFN155"/>
    <mergeCell ref="FFU155:FFW155"/>
    <mergeCell ref="FFX155:FFZ155"/>
    <mergeCell ref="FGA155:FGC155"/>
    <mergeCell ref="FGJ155:FGL155"/>
    <mergeCell ref="FGM155:FGO155"/>
    <mergeCell ref="FEH155:FEJ155"/>
    <mergeCell ref="FEQ155:FES155"/>
    <mergeCell ref="FET155:FEV155"/>
    <mergeCell ref="FEW155:FEY155"/>
    <mergeCell ref="FFF155:FFH155"/>
    <mergeCell ref="FFI155:FFK155"/>
    <mergeCell ref="FDD155:FDF155"/>
    <mergeCell ref="FDM155:FDO155"/>
    <mergeCell ref="FDP155:FDR155"/>
    <mergeCell ref="FDS155:FDU155"/>
    <mergeCell ref="FEB155:FED155"/>
    <mergeCell ref="FEE155:FEG155"/>
    <mergeCell ref="FBZ155:FCB155"/>
    <mergeCell ref="FCI155:FCK155"/>
    <mergeCell ref="FCL155:FCN155"/>
    <mergeCell ref="FCO155:FCQ155"/>
    <mergeCell ref="FCX155:FCZ155"/>
    <mergeCell ref="FDA155:FDC155"/>
    <mergeCell ref="FAV155:FAX155"/>
    <mergeCell ref="FBE155:FBG155"/>
    <mergeCell ref="FBH155:FBJ155"/>
    <mergeCell ref="FBK155:FBM155"/>
    <mergeCell ref="FBT155:FBV155"/>
    <mergeCell ref="FBW155:FBY155"/>
    <mergeCell ref="EZR155:EZT155"/>
    <mergeCell ref="FAA155:FAC155"/>
    <mergeCell ref="FAD155:FAF155"/>
    <mergeCell ref="FAG155:FAI155"/>
    <mergeCell ref="FAP155:FAR155"/>
    <mergeCell ref="FAS155:FAU155"/>
    <mergeCell ref="EYN155:EYP155"/>
    <mergeCell ref="EYW155:EYY155"/>
    <mergeCell ref="EYZ155:EZB155"/>
    <mergeCell ref="EZC155:EZE155"/>
    <mergeCell ref="EZL155:EZN155"/>
    <mergeCell ref="EZO155:EZQ155"/>
    <mergeCell ref="EXJ155:EXL155"/>
    <mergeCell ref="EXS155:EXU155"/>
    <mergeCell ref="EXV155:EXX155"/>
    <mergeCell ref="EXY155:EYA155"/>
    <mergeCell ref="EYH155:EYJ155"/>
    <mergeCell ref="EYK155:EYM155"/>
    <mergeCell ref="EWF155:EWH155"/>
    <mergeCell ref="EWO155:EWQ155"/>
    <mergeCell ref="EWR155:EWT155"/>
    <mergeCell ref="EWU155:EWW155"/>
    <mergeCell ref="EXD155:EXF155"/>
    <mergeCell ref="EXG155:EXI155"/>
    <mergeCell ref="EVB155:EVD155"/>
    <mergeCell ref="EVK155:EVM155"/>
    <mergeCell ref="EVN155:EVP155"/>
    <mergeCell ref="EVQ155:EVS155"/>
    <mergeCell ref="EVZ155:EWB155"/>
    <mergeCell ref="EWC155:EWE155"/>
    <mergeCell ref="ETX155:ETZ155"/>
    <mergeCell ref="EUG155:EUI155"/>
    <mergeCell ref="EUJ155:EUL155"/>
    <mergeCell ref="EUM155:EUO155"/>
    <mergeCell ref="EUV155:EUX155"/>
    <mergeCell ref="EUY155:EVA155"/>
    <mergeCell ref="EST155:ESV155"/>
    <mergeCell ref="ETC155:ETE155"/>
    <mergeCell ref="ETF155:ETH155"/>
    <mergeCell ref="ETI155:ETK155"/>
    <mergeCell ref="ETR155:ETT155"/>
    <mergeCell ref="ETU155:ETW155"/>
    <mergeCell ref="ERP155:ERR155"/>
    <mergeCell ref="ERY155:ESA155"/>
    <mergeCell ref="ESB155:ESD155"/>
    <mergeCell ref="ESE155:ESG155"/>
    <mergeCell ref="ESN155:ESP155"/>
    <mergeCell ref="ESQ155:ESS155"/>
    <mergeCell ref="EQL155:EQN155"/>
    <mergeCell ref="EQU155:EQW155"/>
    <mergeCell ref="EQX155:EQZ155"/>
    <mergeCell ref="ERA155:ERC155"/>
    <mergeCell ref="ERJ155:ERL155"/>
    <mergeCell ref="ERM155:ERO155"/>
    <mergeCell ref="EPH155:EPJ155"/>
    <mergeCell ref="EPQ155:EPS155"/>
    <mergeCell ref="EPT155:EPV155"/>
    <mergeCell ref="EPW155:EPY155"/>
    <mergeCell ref="EQF155:EQH155"/>
    <mergeCell ref="EQI155:EQK155"/>
    <mergeCell ref="EOD155:EOF155"/>
    <mergeCell ref="EOM155:EOO155"/>
    <mergeCell ref="EOP155:EOR155"/>
    <mergeCell ref="EOS155:EOU155"/>
    <mergeCell ref="EPB155:EPD155"/>
    <mergeCell ref="EPE155:EPG155"/>
    <mergeCell ref="EMZ155:ENB155"/>
    <mergeCell ref="ENI155:ENK155"/>
    <mergeCell ref="ENL155:ENN155"/>
    <mergeCell ref="ENO155:ENQ155"/>
    <mergeCell ref="ENX155:ENZ155"/>
    <mergeCell ref="EOA155:EOC155"/>
    <mergeCell ref="ELV155:ELX155"/>
    <mergeCell ref="EME155:EMG155"/>
    <mergeCell ref="EMH155:EMJ155"/>
    <mergeCell ref="EMK155:EMM155"/>
    <mergeCell ref="EMT155:EMV155"/>
    <mergeCell ref="EMW155:EMY155"/>
    <mergeCell ref="EKR155:EKT155"/>
    <mergeCell ref="ELA155:ELC155"/>
    <mergeCell ref="ELD155:ELF155"/>
    <mergeCell ref="ELG155:ELI155"/>
    <mergeCell ref="ELP155:ELR155"/>
    <mergeCell ref="ELS155:ELU155"/>
    <mergeCell ref="EJN155:EJP155"/>
    <mergeCell ref="EJW155:EJY155"/>
    <mergeCell ref="EJZ155:EKB155"/>
    <mergeCell ref="EKC155:EKE155"/>
    <mergeCell ref="EKL155:EKN155"/>
    <mergeCell ref="EKO155:EKQ155"/>
    <mergeCell ref="EIJ155:EIL155"/>
    <mergeCell ref="EIS155:EIU155"/>
    <mergeCell ref="EIV155:EIX155"/>
    <mergeCell ref="EIY155:EJA155"/>
    <mergeCell ref="EJH155:EJJ155"/>
    <mergeCell ref="EJK155:EJM155"/>
    <mergeCell ref="EHF155:EHH155"/>
    <mergeCell ref="EHO155:EHQ155"/>
    <mergeCell ref="EHR155:EHT155"/>
    <mergeCell ref="EHU155:EHW155"/>
    <mergeCell ref="EID155:EIF155"/>
    <mergeCell ref="EIG155:EII155"/>
    <mergeCell ref="EGB155:EGD155"/>
    <mergeCell ref="EGK155:EGM155"/>
    <mergeCell ref="EGN155:EGP155"/>
    <mergeCell ref="EGQ155:EGS155"/>
    <mergeCell ref="EGZ155:EHB155"/>
    <mergeCell ref="EHC155:EHE155"/>
    <mergeCell ref="EEX155:EEZ155"/>
    <mergeCell ref="EFG155:EFI155"/>
    <mergeCell ref="EFJ155:EFL155"/>
    <mergeCell ref="EFM155:EFO155"/>
    <mergeCell ref="EFV155:EFX155"/>
    <mergeCell ref="EFY155:EGA155"/>
    <mergeCell ref="EDT155:EDV155"/>
    <mergeCell ref="EEC155:EEE155"/>
    <mergeCell ref="EEF155:EEH155"/>
    <mergeCell ref="EEI155:EEK155"/>
    <mergeCell ref="EER155:EET155"/>
    <mergeCell ref="EEU155:EEW155"/>
    <mergeCell ref="ECP155:ECR155"/>
    <mergeCell ref="ECY155:EDA155"/>
    <mergeCell ref="EDB155:EDD155"/>
    <mergeCell ref="EDE155:EDG155"/>
    <mergeCell ref="EDN155:EDP155"/>
    <mergeCell ref="EDQ155:EDS155"/>
    <mergeCell ref="EBL155:EBN155"/>
    <mergeCell ref="EBU155:EBW155"/>
    <mergeCell ref="EBX155:EBZ155"/>
    <mergeCell ref="ECA155:ECC155"/>
    <mergeCell ref="ECJ155:ECL155"/>
    <mergeCell ref="ECM155:ECO155"/>
    <mergeCell ref="EAH155:EAJ155"/>
    <mergeCell ref="EAQ155:EAS155"/>
    <mergeCell ref="EAT155:EAV155"/>
    <mergeCell ref="EAW155:EAY155"/>
    <mergeCell ref="EBF155:EBH155"/>
    <mergeCell ref="EBI155:EBK155"/>
    <mergeCell ref="DZD155:DZF155"/>
    <mergeCell ref="DZM155:DZO155"/>
    <mergeCell ref="DZP155:DZR155"/>
    <mergeCell ref="DZS155:DZU155"/>
    <mergeCell ref="EAB155:EAD155"/>
    <mergeCell ref="EAE155:EAG155"/>
    <mergeCell ref="DXZ155:DYB155"/>
    <mergeCell ref="DYI155:DYK155"/>
    <mergeCell ref="DYL155:DYN155"/>
    <mergeCell ref="DYO155:DYQ155"/>
    <mergeCell ref="DYX155:DYZ155"/>
    <mergeCell ref="DZA155:DZC155"/>
    <mergeCell ref="DWV155:DWX155"/>
    <mergeCell ref="DXE155:DXG155"/>
    <mergeCell ref="DXH155:DXJ155"/>
    <mergeCell ref="DXK155:DXM155"/>
    <mergeCell ref="DXT155:DXV155"/>
    <mergeCell ref="DXW155:DXY155"/>
    <mergeCell ref="DVR155:DVT155"/>
    <mergeCell ref="DWA155:DWC155"/>
    <mergeCell ref="DWD155:DWF155"/>
    <mergeCell ref="DWG155:DWI155"/>
    <mergeCell ref="DWP155:DWR155"/>
    <mergeCell ref="DWS155:DWU155"/>
    <mergeCell ref="DUN155:DUP155"/>
    <mergeCell ref="DUW155:DUY155"/>
    <mergeCell ref="DUZ155:DVB155"/>
    <mergeCell ref="DVC155:DVE155"/>
    <mergeCell ref="DVL155:DVN155"/>
    <mergeCell ref="DVO155:DVQ155"/>
    <mergeCell ref="DTJ155:DTL155"/>
    <mergeCell ref="DTS155:DTU155"/>
    <mergeCell ref="DTV155:DTX155"/>
    <mergeCell ref="DTY155:DUA155"/>
    <mergeCell ref="DUH155:DUJ155"/>
    <mergeCell ref="DUK155:DUM155"/>
    <mergeCell ref="DSF155:DSH155"/>
    <mergeCell ref="DSO155:DSQ155"/>
    <mergeCell ref="DSR155:DST155"/>
    <mergeCell ref="DSU155:DSW155"/>
    <mergeCell ref="DTD155:DTF155"/>
    <mergeCell ref="DTG155:DTI155"/>
    <mergeCell ref="DRB155:DRD155"/>
    <mergeCell ref="DRK155:DRM155"/>
    <mergeCell ref="DRN155:DRP155"/>
    <mergeCell ref="DRQ155:DRS155"/>
    <mergeCell ref="DRZ155:DSB155"/>
    <mergeCell ref="DSC155:DSE155"/>
    <mergeCell ref="DPX155:DPZ155"/>
    <mergeCell ref="DQG155:DQI155"/>
    <mergeCell ref="DQJ155:DQL155"/>
    <mergeCell ref="DQM155:DQO155"/>
    <mergeCell ref="DQV155:DQX155"/>
    <mergeCell ref="DQY155:DRA155"/>
    <mergeCell ref="DOT155:DOV155"/>
    <mergeCell ref="DPC155:DPE155"/>
    <mergeCell ref="DPF155:DPH155"/>
    <mergeCell ref="DPI155:DPK155"/>
    <mergeCell ref="DPR155:DPT155"/>
    <mergeCell ref="DPU155:DPW155"/>
    <mergeCell ref="DNP155:DNR155"/>
    <mergeCell ref="DNY155:DOA155"/>
    <mergeCell ref="DOB155:DOD155"/>
    <mergeCell ref="DOE155:DOG155"/>
    <mergeCell ref="DON155:DOP155"/>
    <mergeCell ref="DOQ155:DOS155"/>
    <mergeCell ref="DML155:DMN155"/>
    <mergeCell ref="DMU155:DMW155"/>
    <mergeCell ref="DMX155:DMZ155"/>
    <mergeCell ref="DNA155:DNC155"/>
    <mergeCell ref="DNJ155:DNL155"/>
    <mergeCell ref="DNM155:DNO155"/>
    <mergeCell ref="DLH155:DLJ155"/>
    <mergeCell ref="DLQ155:DLS155"/>
    <mergeCell ref="DLT155:DLV155"/>
    <mergeCell ref="DLW155:DLY155"/>
    <mergeCell ref="DMF155:DMH155"/>
    <mergeCell ref="DMI155:DMK155"/>
    <mergeCell ref="DKD155:DKF155"/>
    <mergeCell ref="DKM155:DKO155"/>
    <mergeCell ref="DKP155:DKR155"/>
    <mergeCell ref="DKS155:DKU155"/>
    <mergeCell ref="DLB155:DLD155"/>
    <mergeCell ref="DLE155:DLG155"/>
    <mergeCell ref="DIZ155:DJB155"/>
    <mergeCell ref="DJI155:DJK155"/>
    <mergeCell ref="DJL155:DJN155"/>
    <mergeCell ref="DJO155:DJQ155"/>
    <mergeCell ref="DJX155:DJZ155"/>
    <mergeCell ref="DKA155:DKC155"/>
    <mergeCell ref="DHV155:DHX155"/>
    <mergeCell ref="DIE155:DIG155"/>
    <mergeCell ref="DIH155:DIJ155"/>
    <mergeCell ref="DIK155:DIM155"/>
    <mergeCell ref="DIT155:DIV155"/>
    <mergeCell ref="DIW155:DIY155"/>
    <mergeCell ref="DGR155:DGT155"/>
    <mergeCell ref="DHA155:DHC155"/>
    <mergeCell ref="DHD155:DHF155"/>
    <mergeCell ref="DHG155:DHI155"/>
    <mergeCell ref="DHP155:DHR155"/>
    <mergeCell ref="DHS155:DHU155"/>
    <mergeCell ref="DFN155:DFP155"/>
    <mergeCell ref="DFW155:DFY155"/>
    <mergeCell ref="DFZ155:DGB155"/>
    <mergeCell ref="DGC155:DGE155"/>
    <mergeCell ref="DGL155:DGN155"/>
    <mergeCell ref="DGO155:DGQ155"/>
    <mergeCell ref="DEJ155:DEL155"/>
    <mergeCell ref="DES155:DEU155"/>
    <mergeCell ref="DEV155:DEX155"/>
    <mergeCell ref="DEY155:DFA155"/>
    <mergeCell ref="DFH155:DFJ155"/>
    <mergeCell ref="DFK155:DFM155"/>
    <mergeCell ref="DDF155:DDH155"/>
    <mergeCell ref="DDO155:DDQ155"/>
    <mergeCell ref="DDR155:DDT155"/>
    <mergeCell ref="DDU155:DDW155"/>
    <mergeCell ref="DED155:DEF155"/>
    <mergeCell ref="DEG155:DEI155"/>
    <mergeCell ref="DCB155:DCD155"/>
    <mergeCell ref="DCK155:DCM155"/>
    <mergeCell ref="DCN155:DCP155"/>
    <mergeCell ref="DCQ155:DCS155"/>
    <mergeCell ref="DCZ155:DDB155"/>
    <mergeCell ref="DDC155:DDE155"/>
    <mergeCell ref="DAX155:DAZ155"/>
    <mergeCell ref="DBG155:DBI155"/>
    <mergeCell ref="DBJ155:DBL155"/>
    <mergeCell ref="DBM155:DBO155"/>
    <mergeCell ref="DBV155:DBX155"/>
    <mergeCell ref="DBY155:DCA155"/>
    <mergeCell ref="CZT155:CZV155"/>
    <mergeCell ref="DAC155:DAE155"/>
    <mergeCell ref="DAF155:DAH155"/>
    <mergeCell ref="DAI155:DAK155"/>
    <mergeCell ref="DAR155:DAT155"/>
    <mergeCell ref="DAU155:DAW155"/>
    <mergeCell ref="CYP155:CYR155"/>
    <mergeCell ref="CYY155:CZA155"/>
    <mergeCell ref="CZB155:CZD155"/>
    <mergeCell ref="CZE155:CZG155"/>
    <mergeCell ref="CZN155:CZP155"/>
    <mergeCell ref="CZQ155:CZS155"/>
    <mergeCell ref="CXL155:CXN155"/>
    <mergeCell ref="CXU155:CXW155"/>
    <mergeCell ref="CXX155:CXZ155"/>
    <mergeCell ref="CYA155:CYC155"/>
    <mergeCell ref="CYJ155:CYL155"/>
    <mergeCell ref="CYM155:CYO155"/>
    <mergeCell ref="CWH155:CWJ155"/>
    <mergeCell ref="CWQ155:CWS155"/>
    <mergeCell ref="CWT155:CWV155"/>
    <mergeCell ref="CWW155:CWY155"/>
    <mergeCell ref="CXF155:CXH155"/>
    <mergeCell ref="CXI155:CXK155"/>
    <mergeCell ref="CVD155:CVF155"/>
    <mergeCell ref="CVM155:CVO155"/>
    <mergeCell ref="CVP155:CVR155"/>
    <mergeCell ref="CVS155:CVU155"/>
    <mergeCell ref="CWB155:CWD155"/>
    <mergeCell ref="CWE155:CWG155"/>
    <mergeCell ref="CTZ155:CUB155"/>
    <mergeCell ref="CUI155:CUK155"/>
    <mergeCell ref="CUL155:CUN155"/>
    <mergeCell ref="CUO155:CUQ155"/>
    <mergeCell ref="CUX155:CUZ155"/>
    <mergeCell ref="CVA155:CVC155"/>
    <mergeCell ref="CSV155:CSX155"/>
    <mergeCell ref="CTE155:CTG155"/>
    <mergeCell ref="CTH155:CTJ155"/>
    <mergeCell ref="CTK155:CTM155"/>
    <mergeCell ref="CTT155:CTV155"/>
    <mergeCell ref="CTW155:CTY155"/>
    <mergeCell ref="CRR155:CRT155"/>
    <mergeCell ref="CSA155:CSC155"/>
    <mergeCell ref="CSD155:CSF155"/>
    <mergeCell ref="CSG155:CSI155"/>
    <mergeCell ref="CSP155:CSR155"/>
    <mergeCell ref="CSS155:CSU155"/>
    <mergeCell ref="CQN155:CQP155"/>
    <mergeCell ref="CQW155:CQY155"/>
    <mergeCell ref="CQZ155:CRB155"/>
    <mergeCell ref="CRC155:CRE155"/>
    <mergeCell ref="CRL155:CRN155"/>
    <mergeCell ref="CRO155:CRQ155"/>
    <mergeCell ref="CPJ155:CPL155"/>
    <mergeCell ref="CPS155:CPU155"/>
    <mergeCell ref="CPV155:CPX155"/>
    <mergeCell ref="CPY155:CQA155"/>
    <mergeCell ref="CQH155:CQJ155"/>
    <mergeCell ref="CQK155:CQM155"/>
    <mergeCell ref="COF155:COH155"/>
    <mergeCell ref="COO155:COQ155"/>
    <mergeCell ref="COR155:COT155"/>
    <mergeCell ref="COU155:COW155"/>
    <mergeCell ref="CPD155:CPF155"/>
    <mergeCell ref="CPG155:CPI155"/>
    <mergeCell ref="CNB155:CND155"/>
    <mergeCell ref="CNK155:CNM155"/>
    <mergeCell ref="CNN155:CNP155"/>
    <mergeCell ref="CNQ155:CNS155"/>
    <mergeCell ref="CNZ155:COB155"/>
    <mergeCell ref="COC155:COE155"/>
    <mergeCell ref="CLX155:CLZ155"/>
    <mergeCell ref="CMG155:CMI155"/>
    <mergeCell ref="CMJ155:CML155"/>
    <mergeCell ref="CMM155:CMO155"/>
    <mergeCell ref="CMV155:CMX155"/>
    <mergeCell ref="CMY155:CNA155"/>
    <mergeCell ref="CKT155:CKV155"/>
    <mergeCell ref="CLC155:CLE155"/>
    <mergeCell ref="CLF155:CLH155"/>
    <mergeCell ref="CLI155:CLK155"/>
    <mergeCell ref="CLR155:CLT155"/>
    <mergeCell ref="CLU155:CLW155"/>
    <mergeCell ref="CJP155:CJR155"/>
    <mergeCell ref="CJY155:CKA155"/>
    <mergeCell ref="CKB155:CKD155"/>
    <mergeCell ref="CKE155:CKG155"/>
    <mergeCell ref="CKN155:CKP155"/>
    <mergeCell ref="CKQ155:CKS155"/>
    <mergeCell ref="CIL155:CIN155"/>
    <mergeCell ref="CIU155:CIW155"/>
    <mergeCell ref="CIX155:CIZ155"/>
    <mergeCell ref="CJA155:CJC155"/>
    <mergeCell ref="CJJ155:CJL155"/>
    <mergeCell ref="CJM155:CJO155"/>
    <mergeCell ref="CHH155:CHJ155"/>
    <mergeCell ref="CHQ155:CHS155"/>
    <mergeCell ref="CHT155:CHV155"/>
    <mergeCell ref="CHW155:CHY155"/>
    <mergeCell ref="CIF155:CIH155"/>
    <mergeCell ref="CII155:CIK155"/>
    <mergeCell ref="CGD155:CGF155"/>
    <mergeCell ref="CGM155:CGO155"/>
    <mergeCell ref="CGP155:CGR155"/>
    <mergeCell ref="CGS155:CGU155"/>
    <mergeCell ref="CHB155:CHD155"/>
    <mergeCell ref="CHE155:CHG155"/>
    <mergeCell ref="CEZ155:CFB155"/>
    <mergeCell ref="CFI155:CFK155"/>
    <mergeCell ref="CFL155:CFN155"/>
    <mergeCell ref="CFO155:CFQ155"/>
    <mergeCell ref="CFX155:CFZ155"/>
    <mergeCell ref="CGA155:CGC155"/>
    <mergeCell ref="CDV155:CDX155"/>
    <mergeCell ref="CEE155:CEG155"/>
    <mergeCell ref="CEH155:CEJ155"/>
    <mergeCell ref="CEK155:CEM155"/>
    <mergeCell ref="CET155:CEV155"/>
    <mergeCell ref="CEW155:CEY155"/>
    <mergeCell ref="CCR155:CCT155"/>
    <mergeCell ref="CDA155:CDC155"/>
    <mergeCell ref="CDD155:CDF155"/>
    <mergeCell ref="CDG155:CDI155"/>
    <mergeCell ref="CDP155:CDR155"/>
    <mergeCell ref="CDS155:CDU155"/>
    <mergeCell ref="CBN155:CBP155"/>
    <mergeCell ref="CBW155:CBY155"/>
    <mergeCell ref="CBZ155:CCB155"/>
    <mergeCell ref="CCC155:CCE155"/>
    <mergeCell ref="CCL155:CCN155"/>
    <mergeCell ref="CCO155:CCQ155"/>
    <mergeCell ref="CAJ155:CAL155"/>
    <mergeCell ref="CAS155:CAU155"/>
    <mergeCell ref="CAV155:CAX155"/>
    <mergeCell ref="CAY155:CBA155"/>
    <mergeCell ref="CBH155:CBJ155"/>
    <mergeCell ref="CBK155:CBM155"/>
    <mergeCell ref="BZF155:BZH155"/>
    <mergeCell ref="BZO155:BZQ155"/>
    <mergeCell ref="BZR155:BZT155"/>
    <mergeCell ref="BZU155:BZW155"/>
    <mergeCell ref="CAD155:CAF155"/>
    <mergeCell ref="CAG155:CAI155"/>
    <mergeCell ref="BYB155:BYD155"/>
    <mergeCell ref="BYK155:BYM155"/>
    <mergeCell ref="BYN155:BYP155"/>
    <mergeCell ref="BYQ155:BYS155"/>
    <mergeCell ref="BYZ155:BZB155"/>
    <mergeCell ref="BZC155:BZE155"/>
    <mergeCell ref="BWX155:BWZ155"/>
    <mergeCell ref="BXG155:BXI155"/>
    <mergeCell ref="BXJ155:BXL155"/>
    <mergeCell ref="BXM155:BXO155"/>
    <mergeCell ref="BXV155:BXX155"/>
    <mergeCell ref="BXY155:BYA155"/>
    <mergeCell ref="BVT155:BVV155"/>
    <mergeCell ref="BWC155:BWE155"/>
    <mergeCell ref="BWF155:BWH155"/>
    <mergeCell ref="BWI155:BWK155"/>
    <mergeCell ref="BWR155:BWT155"/>
    <mergeCell ref="BWU155:BWW155"/>
    <mergeCell ref="BUP155:BUR155"/>
    <mergeCell ref="BUY155:BVA155"/>
    <mergeCell ref="BVB155:BVD155"/>
    <mergeCell ref="BVE155:BVG155"/>
    <mergeCell ref="BVN155:BVP155"/>
    <mergeCell ref="BVQ155:BVS155"/>
    <mergeCell ref="BTL155:BTN155"/>
    <mergeCell ref="BTU155:BTW155"/>
    <mergeCell ref="BTX155:BTZ155"/>
    <mergeCell ref="BUA155:BUC155"/>
    <mergeCell ref="BUJ155:BUL155"/>
    <mergeCell ref="BUM155:BUO155"/>
    <mergeCell ref="BSH155:BSJ155"/>
    <mergeCell ref="BSQ155:BSS155"/>
    <mergeCell ref="BST155:BSV155"/>
    <mergeCell ref="BSW155:BSY155"/>
    <mergeCell ref="BTF155:BTH155"/>
    <mergeCell ref="BTI155:BTK155"/>
    <mergeCell ref="BRD155:BRF155"/>
    <mergeCell ref="BRM155:BRO155"/>
    <mergeCell ref="BRP155:BRR155"/>
    <mergeCell ref="BRS155:BRU155"/>
    <mergeCell ref="BSB155:BSD155"/>
    <mergeCell ref="BSE155:BSG155"/>
    <mergeCell ref="BPZ155:BQB155"/>
    <mergeCell ref="BQI155:BQK155"/>
    <mergeCell ref="BQL155:BQN155"/>
    <mergeCell ref="BQO155:BQQ155"/>
    <mergeCell ref="BQX155:BQZ155"/>
    <mergeCell ref="BRA155:BRC155"/>
    <mergeCell ref="BOV155:BOX155"/>
    <mergeCell ref="BPE155:BPG155"/>
    <mergeCell ref="BPH155:BPJ155"/>
    <mergeCell ref="BPK155:BPM155"/>
    <mergeCell ref="BPT155:BPV155"/>
    <mergeCell ref="BPW155:BPY155"/>
    <mergeCell ref="BNR155:BNT155"/>
    <mergeCell ref="BOA155:BOC155"/>
    <mergeCell ref="BOD155:BOF155"/>
    <mergeCell ref="BOG155:BOI155"/>
    <mergeCell ref="BOP155:BOR155"/>
    <mergeCell ref="BOS155:BOU155"/>
    <mergeCell ref="BMN155:BMP155"/>
    <mergeCell ref="BMW155:BMY155"/>
    <mergeCell ref="BMZ155:BNB155"/>
    <mergeCell ref="BNC155:BNE155"/>
    <mergeCell ref="BNL155:BNN155"/>
    <mergeCell ref="BNO155:BNQ155"/>
    <mergeCell ref="BLJ155:BLL155"/>
    <mergeCell ref="BLS155:BLU155"/>
    <mergeCell ref="BLV155:BLX155"/>
    <mergeCell ref="BLY155:BMA155"/>
    <mergeCell ref="BMH155:BMJ155"/>
    <mergeCell ref="BMK155:BMM155"/>
    <mergeCell ref="BKF155:BKH155"/>
    <mergeCell ref="BKO155:BKQ155"/>
    <mergeCell ref="BKR155:BKT155"/>
    <mergeCell ref="BKU155:BKW155"/>
    <mergeCell ref="BLD155:BLF155"/>
    <mergeCell ref="BLG155:BLI155"/>
    <mergeCell ref="BJB155:BJD155"/>
    <mergeCell ref="BJK155:BJM155"/>
    <mergeCell ref="BJN155:BJP155"/>
    <mergeCell ref="BJQ155:BJS155"/>
    <mergeCell ref="BJZ155:BKB155"/>
    <mergeCell ref="BKC155:BKE155"/>
    <mergeCell ref="BHX155:BHZ155"/>
    <mergeCell ref="BIG155:BII155"/>
    <mergeCell ref="BIJ155:BIL155"/>
    <mergeCell ref="BIM155:BIO155"/>
    <mergeCell ref="BIV155:BIX155"/>
    <mergeCell ref="BIY155:BJA155"/>
    <mergeCell ref="BGT155:BGV155"/>
    <mergeCell ref="BHC155:BHE155"/>
    <mergeCell ref="BHF155:BHH155"/>
    <mergeCell ref="BHI155:BHK155"/>
    <mergeCell ref="BHR155:BHT155"/>
    <mergeCell ref="BHU155:BHW155"/>
    <mergeCell ref="BFP155:BFR155"/>
    <mergeCell ref="BFY155:BGA155"/>
    <mergeCell ref="BGB155:BGD155"/>
    <mergeCell ref="BGE155:BGG155"/>
    <mergeCell ref="BGN155:BGP155"/>
    <mergeCell ref="BGQ155:BGS155"/>
    <mergeCell ref="BEL155:BEN155"/>
    <mergeCell ref="BEU155:BEW155"/>
    <mergeCell ref="BEX155:BEZ155"/>
    <mergeCell ref="BFA155:BFC155"/>
    <mergeCell ref="BFJ155:BFL155"/>
    <mergeCell ref="BFM155:BFO155"/>
    <mergeCell ref="BDH155:BDJ155"/>
    <mergeCell ref="BDQ155:BDS155"/>
    <mergeCell ref="BDT155:BDV155"/>
    <mergeCell ref="BDW155:BDY155"/>
    <mergeCell ref="BEF155:BEH155"/>
    <mergeCell ref="BEI155:BEK155"/>
    <mergeCell ref="BCD155:BCF155"/>
    <mergeCell ref="BCM155:BCO155"/>
    <mergeCell ref="BCP155:BCR155"/>
    <mergeCell ref="BCS155:BCU155"/>
    <mergeCell ref="BDB155:BDD155"/>
    <mergeCell ref="BDE155:BDG155"/>
    <mergeCell ref="BAZ155:BBB155"/>
    <mergeCell ref="BBI155:BBK155"/>
    <mergeCell ref="BBL155:BBN155"/>
    <mergeCell ref="BBO155:BBQ155"/>
    <mergeCell ref="BBX155:BBZ155"/>
    <mergeCell ref="BCA155:BCC155"/>
    <mergeCell ref="AZV155:AZX155"/>
    <mergeCell ref="BAE155:BAG155"/>
    <mergeCell ref="BAH155:BAJ155"/>
    <mergeCell ref="BAK155:BAM155"/>
    <mergeCell ref="BAT155:BAV155"/>
    <mergeCell ref="BAW155:BAY155"/>
    <mergeCell ref="AYR155:AYT155"/>
    <mergeCell ref="AZA155:AZC155"/>
    <mergeCell ref="AZD155:AZF155"/>
    <mergeCell ref="AZG155:AZI155"/>
    <mergeCell ref="AZP155:AZR155"/>
    <mergeCell ref="AZS155:AZU155"/>
    <mergeCell ref="AXN155:AXP155"/>
    <mergeCell ref="AXW155:AXY155"/>
    <mergeCell ref="AXZ155:AYB155"/>
    <mergeCell ref="AYC155:AYE155"/>
    <mergeCell ref="AYL155:AYN155"/>
    <mergeCell ref="AYO155:AYQ155"/>
    <mergeCell ref="AWJ155:AWL155"/>
    <mergeCell ref="AWS155:AWU155"/>
    <mergeCell ref="AWV155:AWX155"/>
    <mergeCell ref="AWY155:AXA155"/>
    <mergeCell ref="AXH155:AXJ155"/>
    <mergeCell ref="AXK155:AXM155"/>
    <mergeCell ref="AVF155:AVH155"/>
    <mergeCell ref="AVO155:AVQ155"/>
    <mergeCell ref="AVR155:AVT155"/>
    <mergeCell ref="AVU155:AVW155"/>
    <mergeCell ref="AWD155:AWF155"/>
    <mergeCell ref="AWG155:AWI155"/>
    <mergeCell ref="AUB155:AUD155"/>
    <mergeCell ref="AUK155:AUM155"/>
    <mergeCell ref="AUN155:AUP155"/>
    <mergeCell ref="AUQ155:AUS155"/>
    <mergeCell ref="AUZ155:AVB155"/>
    <mergeCell ref="AVC155:AVE155"/>
    <mergeCell ref="ASX155:ASZ155"/>
    <mergeCell ref="ATG155:ATI155"/>
    <mergeCell ref="ATJ155:ATL155"/>
    <mergeCell ref="ATM155:ATO155"/>
    <mergeCell ref="ATV155:ATX155"/>
    <mergeCell ref="ATY155:AUA155"/>
    <mergeCell ref="ART155:ARV155"/>
    <mergeCell ref="ASC155:ASE155"/>
    <mergeCell ref="ASF155:ASH155"/>
    <mergeCell ref="ASI155:ASK155"/>
    <mergeCell ref="ASR155:AST155"/>
    <mergeCell ref="ASU155:ASW155"/>
    <mergeCell ref="AQP155:AQR155"/>
    <mergeCell ref="AQY155:ARA155"/>
    <mergeCell ref="ARB155:ARD155"/>
    <mergeCell ref="ARE155:ARG155"/>
    <mergeCell ref="ARN155:ARP155"/>
    <mergeCell ref="ARQ155:ARS155"/>
    <mergeCell ref="APL155:APN155"/>
    <mergeCell ref="APU155:APW155"/>
    <mergeCell ref="APX155:APZ155"/>
    <mergeCell ref="AQA155:AQC155"/>
    <mergeCell ref="AQJ155:AQL155"/>
    <mergeCell ref="AQM155:AQO155"/>
    <mergeCell ref="AOH155:AOJ155"/>
    <mergeCell ref="AOQ155:AOS155"/>
    <mergeCell ref="AOT155:AOV155"/>
    <mergeCell ref="AOW155:AOY155"/>
    <mergeCell ref="APF155:APH155"/>
    <mergeCell ref="API155:APK155"/>
    <mergeCell ref="AND155:ANF155"/>
    <mergeCell ref="ANM155:ANO155"/>
    <mergeCell ref="ANP155:ANR155"/>
    <mergeCell ref="ANS155:ANU155"/>
    <mergeCell ref="AOB155:AOD155"/>
    <mergeCell ref="AOE155:AOG155"/>
    <mergeCell ref="ALZ155:AMB155"/>
    <mergeCell ref="AMI155:AMK155"/>
    <mergeCell ref="AML155:AMN155"/>
    <mergeCell ref="AMO155:AMQ155"/>
    <mergeCell ref="AMX155:AMZ155"/>
    <mergeCell ref="ANA155:ANC155"/>
    <mergeCell ref="AKV155:AKX155"/>
    <mergeCell ref="ALE155:ALG155"/>
    <mergeCell ref="ALH155:ALJ155"/>
    <mergeCell ref="ALK155:ALM155"/>
    <mergeCell ref="ALT155:ALV155"/>
    <mergeCell ref="ALW155:ALY155"/>
    <mergeCell ref="AJR155:AJT155"/>
    <mergeCell ref="AKA155:AKC155"/>
    <mergeCell ref="AKD155:AKF155"/>
    <mergeCell ref="AKG155:AKI155"/>
    <mergeCell ref="AKP155:AKR155"/>
    <mergeCell ref="AKS155:AKU155"/>
    <mergeCell ref="AIN155:AIP155"/>
    <mergeCell ref="AIW155:AIY155"/>
    <mergeCell ref="AIZ155:AJB155"/>
    <mergeCell ref="AJC155:AJE155"/>
    <mergeCell ref="AJL155:AJN155"/>
    <mergeCell ref="AJO155:AJQ155"/>
    <mergeCell ref="AHJ155:AHL155"/>
    <mergeCell ref="AHS155:AHU155"/>
    <mergeCell ref="AHV155:AHX155"/>
    <mergeCell ref="AHY155:AIA155"/>
    <mergeCell ref="AIH155:AIJ155"/>
    <mergeCell ref="AIK155:AIM155"/>
    <mergeCell ref="AGF155:AGH155"/>
    <mergeCell ref="AGO155:AGQ155"/>
    <mergeCell ref="AGR155:AGT155"/>
    <mergeCell ref="AGU155:AGW155"/>
    <mergeCell ref="AHD155:AHF155"/>
    <mergeCell ref="AHG155:AHI155"/>
    <mergeCell ref="AFB155:AFD155"/>
    <mergeCell ref="AFK155:AFM155"/>
    <mergeCell ref="AFN155:AFP155"/>
    <mergeCell ref="AFQ155:AFS155"/>
    <mergeCell ref="AFZ155:AGB155"/>
    <mergeCell ref="AGC155:AGE155"/>
    <mergeCell ref="ADX155:ADZ155"/>
    <mergeCell ref="AEG155:AEI155"/>
    <mergeCell ref="AEJ155:AEL155"/>
    <mergeCell ref="AEM155:AEO155"/>
    <mergeCell ref="AEV155:AEX155"/>
    <mergeCell ref="AEY155:AFA155"/>
    <mergeCell ref="ACT155:ACV155"/>
    <mergeCell ref="ADC155:ADE155"/>
    <mergeCell ref="ADF155:ADH155"/>
    <mergeCell ref="ADI155:ADK155"/>
    <mergeCell ref="ADR155:ADT155"/>
    <mergeCell ref="ADU155:ADW155"/>
    <mergeCell ref="ABP155:ABR155"/>
    <mergeCell ref="ABY155:ACA155"/>
    <mergeCell ref="ACB155:ACD155"/>
    <mergeCell ref="ACE155:ACG155"/>
    <mergeCell ref="ACN155:ACP155"/>
    <mergeCell ref="ACQ155:ACS155"/>
    <mergeCell ref="AAL155:AAN155"/>
    <mergeCell ref="AAU155:AAW155"/>
    <mergeCell ref="AAX155:AAZ155"/>
    <mergeCell ref="ABA155:ABC155"/>
    <mergeCell ref="ABJ155:ABL155"/>
    <mergeCell ref="ABM155:ABO155"/>
    <mergeCell ref="ZH155:ZJ155"/>
    <mergeCell ref="ZQ155:ZS155"/>
    <mergeCell ref="ZT155:ZV155"/>
    <mergeCell ref="ZW155:ZY155"/>
    <mergeCell ref="AAF155:AAH155"/>
    <mergeCell ref="AAI155:AAK155"/>
    <mergeCell ref="YD155:YF155"/>
    <mergeCell ref="YM155:YO155"/>
    <mergeCell ref="YP155:YR155"/>
    <mergeCell ref="YS155:YU155"/>
    <mergeCell ref="ZB155:ZD155"/>
    <mergeCell ref="ZE155:ZG155"/>
    <mergeCell ref="WZ155:XB155"/>
    <mergeCell ref="XI155:XK155"/>
    <mergeCell ref="XL155:XN155"/>
    <mergeCell ref="XO155:XQ155"/>
    <mergeCell ref="XX155:XZ155"/>
    <mergeCell ref="YA155:YC155"/>
    <mergeCell ref="VV155:VX155"/>
    <mergeCell ref="WE155:WG155"/>
    <mergeCell ref="WH155:WJ155"/>
    <mergeCell ref="WK155:WM155"/>
    <mergeCell ref="WT155:WV155"/>
    <mergeCell ref="WW155:WY155"/>
    <mergeCell ref="UR155:UT155"/>
    <mergeCell ref="VA155:VC155"/>
    <mergeCell ref="VD155:VF155"/>
    <mergeCell ref="VG155:VI155"/>
    <mergeCell ref="VP155:VR155"/>
    <mergeCell ref="VS155:VU155"/>
    <mergeCell ref="TN155:TP155"/>
    <mergeCell ref="TW155:TY155"/>
    <mergeCell ref="TZ155:UB155"/>
    <mergeCell ref="UC155:UE155"/>
    <mergeCell ref="UL155:UN155"/>
    <mergeCell ref="UO155:UQ155"/>
    <mergeCell ref="SJ155:SL155"/>
    <mergeCell ref="SS155:SU155"/>
    <mergeCell ref="SV155:SX155"/>
    <mergeCell ref="SY155:TA155"/>
    <mergeCell ref="TH155:TJ155"/>
    <mergeCell ref="TK155:TM155"/>
    <mergeCell ref="RF155:RH155"/>
    <mergeCell ref="RO155:RQ155"/>
    <mergeCell ref="RR155:RT155"/>
    <mergeCell ref="RU155:RW155"/>
    <mergeCell ref="SD155:SF155"/>
    <mergeCell ref="SG155:SI155"/>
    <mergeCell ref="QB155:QD155"/>
    <mergeCell ref="QK155:QM155"/>
    <mergeCell ref="QN155:QP155"/>
    <mergeCell ref="QQ155:QS155"/>
    <mergeCell ref="QZ155:RB155"/>
    <mergeCell ref="RC155:RE155"/>
    <mergeCell ref="OX155:OZ155"/>
    <mergeCell ref="PG155:PI155"/>
    <mergeCell ref="PJ155:PL155"/>
    <mergeCell ref="PM155:PO155"/>
    <mergeCell ref="PV155:PX155"/>
    <mergeCell ref="PY155:QA155"/>
    <mergeCell ref="NT155:NV155"/>
    <mergeCell ref="OC155:OE155"/>
    <mergeCell ref="OF155:OH155"/>
    <mergeCell ref="OI155:OK155"/>
    <mergeCell ref="OR155:OT155"/>
    <mergeCell ref="OU155:OW155"/>
    <mergeCell ref="MJR154:MJT154"/>
    <mergeCell ref="MJU154:MJW154"/>
    <mergeCell ref="MKD154:MKF154"/>
    <mergeCell ref="C155:E155"/>
    <mergeCell ref="F155:H155"/>
    <mergeCell ref="I155:K155"/>
    <mergeCell ref="NB155:ND155"/>
    <mergeCell ref="NE155:NG155"/>
    <mergeCell ref="NN155:NP155"/>
    <mergeCell ref="NQ155:NS155"/>
    <mergeCell ref="MIN154:MIP154"/>
    <mergeCell ref="MIQ154:MIS154"/>
    <mergeCell ref="MIZ154:MJB154"/>
    <mergeCell ref="MJC154:MJE154"/>
    <mergeCell ref="MJF154:MJH154"/>
    <mergeCell ref="MJO154:MJQ154"/>
    <mergeCell ref="MHJ154:MHL154"/>
    <mergeCell ref="MHM154:MHO154"/>
    <mergeCell ref="MHV154:MHX154"/>
    <mergeCell ref="MHY154:MIA154"/>
    <mergeCell ref="MIB154:MID154"/>
    <mergeCell ref="MIK154:MIM154"/>
    <mergeCell ref="MGF154:MGH154"/>
    <mergeCell ref="MGI154:MGK154"/>
    <mergeCell ref="MGR154:MGT154"/>
    <mergeCell ref="MGU154:MGW154"/>
    <mergeCell ref="MGX154:MGZ154"/>
    <mergeCell ref="MHG154:MHI154"/>
    <mergeCell ref="MFB154:MFD154"/>
    <mergeCell ref="MFE154:MFG154"/>
    <mergeCell ref="MFN154:MFP154"/>
    <mergeCell ref="MFQ154:MFS154"/>
    <mergeCell ref="MFT154:MFV154"/>
    <mergeCell ref="MGC154:MGE154"/>
    <mergeCell ref="MDX154:MDZ154"/>
    <mergeCell ref="MEA154:MEC154"/>
    <mergeCell ref="MEJ154:MEL154"/>
    <mergeCell ref="MEM154:MEO154"/>
    <mergeCell ref="MEP154:MER154"/>
    <mergeCell ref="MEY154:MFA154"/>
    <mergeCell ref="MCT154:MCV154"/>
    <mergeCell ref="MCW154:MCY154"/>
    <mergeCell ref="MDF154:MDH154"/>
    <mergeCell ref="MDI154:MDK154"/>
    <mergeCell ref="MDL154:MDN154"/>
    <mergeCell ref="MDU154:MDW154"/>
    <mergeCell ref="MBP154:MBR154"/>
    <mergeCell ref="MBS154:MBU154"/>
    <mergeCell ref="MCB154:MCD154"/>
    <mergeCell ref="MCE154:MCG154"/>
    <mergeCell ref="MCH154:MCJ154"/>
    <mergeCell ref="MCQ154:MCS154"/>
    <mergeCell ref="MAL154:MAN154"/>
    <mergeCell ref="MAO154:MAQ154"/>
    <mergeCell ref="MAX154:MAZ154"/>
    <mergeCell ref="MBA154:MBC154"/>
    <mergeCell ref="MBD154:MBF154"/>
    <mergeCell ref="MBM154:MBO154"/>
    <mergeCell ref="LZH154:LZJ154"/>
    <mergeCell ref="LZK154:LZM154"/>
    <mergeCell ref="LZT154:LZV154"/>
    <mergeCell ref="LZW154:LZY154"/>
    <mergeCell ref="LZZ154:MAB154"/>
    <mergeCell ref="MAI154:MAK154"/>
    <mergeCell ref="LYD154:LYF154"/>
    <mergeCell ref="LYG154:LYI154"/>
    <mergeCell ref="LYP154:LYR154"/>
    <mergeCell ref="LYS154:LYU154"/>
    <mergeCell ref="LYV154:LYX154"/>
    <mergeCell ref="LZE154:LZG154"/>
    <mergeCell ref="LWZ154:LXB154"/>
    <mergeCell ref="LXC154:LXE154"/>
    <mergeCell ref="LXL154:LXN154"/>
    <mergeCell ref="LXO154:LXQ154"/>
    <mergeCell ref="LXR154:LXT154"/>
    <mergeCell ref="LYA154:LYC154"/>
    <mergeCell ref="LVV154:LVX154"/>
    <mergeCell ref="LVY154:LWA154"/>
    <mergeCell ref="LWH154:LWJ154"/>
    <mergeCell ref="LWK154:LWM154"/>
    <mergeCell ref="LWN154:LWP154"/>
    <mergeCell ref="LWW154:LWY154"/>
    <mergeCell ref="LUR154:LUT154"/>
    <mergeCell ref="LUU154:LUW154"/>
    <mergeCell ref="LVD154:LVF154"/>
    <mergeCell ref="LVG154:LVI154"/>
    <mergeCell ref="LVJ154:LVL154"/>
    <mergeCell ref="LVS154:LVU154"/>
    <mergeCell ref="LTN154:LTP154"/>
    <mergeCell ref="LTQ154:LTS154"/>
    <mergeCell ref="LTZ154:LUB154"/>
    <mergeCell ref="LUC154:LUE154"/>
    <mergeCell ref="LUF154:LUH154"/>
    <mergeCell ref="LUO154:LUQ154"/>
    <mergeCell ref="LSJ154:LSL154"/>
    <mergeCell ref="LSM154:LSO154"/>
    <mergeCell ref="LSV154:LSX154"/>
    <mergeCell ref="LSY154:LTA154"/>
    <mergeCell ref="LTB154:LTD154"/>
    <mergeCell ref="LTK154:LTM154"/>
    <mergeCell ref="LRF154:LRH154"/>
    <mergeCell ref="LRI154:LRK154"/>
    <mergeCell ref="LRR154:LRT154"/>
    <mergeCell ref="LRU154:LRW154"/>
    <mergeCell ref="LRX154:LRZ154"/>
    <mergeCell ref="LSG154:LSI154"/>
    <mergeCell ref="LQB154:LQD154"/>
    <mergeCell ref="LQE154:LQG154"/>
    <mergeCell ref="LQN154:LQP154"/>
    <mergeCell ref="LQQ154:LQS154"/>
    <mergeCell ref="LQT154:LQV154"/>
    <mergeCell ref="LRC154:LRE154"/>
    <mergeCell ref="LOX154:LOZ154"/>
    <mergeCell ref="LPA154:LPC154"/>
    <mergeCell ref="LPJ154:LPL154"/>
    <mergeCell ref="LPM154:LPO154"/>
    <mergeCell ref="LPP154:LPR154"/>
    <mergeCell ref="LPY154:LQA154"/>
    <mergeCell ref="LNT154:LNV154"/>
    <mergeCell ref="LNW154:LNY154"/>
    <mergeCell ref="LOF154:LOH154"/>
    <mergeCell ref="LOI154:LOK154"/>
    <mergeCell ref="LOL154:LON154"/>
    <mergeCell ref="LOU154:LOW154"/>
    <mergeCell ref="LMP154:LMR154"/>
    <mergeCell ref="LMS154:LMU154"/>
    <mergeCell ref="LNB154:LND154"/>
    <mergeCell ref="LNE154:LNG154"/>
    <mergeCell ref="LNH154:LNJ154"/>
    <mergeCell ref="LNQ154:LNS154"/>
    <mergeCell ref="LLL154:LLN154"/>
    <mergeCell ref="LLO154:LLQ154"/>
    <mergeCell ref="LLX154:LLZ154"/>
    <mergeCell ref="LMA154:LMC154"/>
    <mergeCell ref="LMD154:LMF154"/>
    <mergeCell ref="LMM154:LMO154"/>
    <mergeCell ref="LKH154:LKJ154"/>
    <mergeCell ref="LKK154:LKM154"/>
    <mergeCell ref="LKT154:LKV154"/>
    <mergeCell ref="LKW154:LKY154"/>
    <mergeCell ref="LKZ154:LLB154"/>
    <mergeCell ref="LLI154:LLK154"/>
    <mergeCell ref="LJD154:LJF154"/>
    <mergeCell ref="LJG154:LJI154"/>
    <mergeCell ref="LJP154:LJR154"/>
    <mergeCell ref="LJS154:LJU154"/>
    <mergeCell ref="LJV154:LJX154"/>
    <mergeCell ref="LKE154:LKG154"/>
    <mergeCell ref="LHZ154:LIB154"/>
    <mergeCell ref="LIC154:LIE154"/>
    <mergeCell ref="LIL154:LIN154"/>
    <mergeCell ref="LIO154:LIQ154"/>
    <mergeCell ref="LIR154:LIT154"/>
    <mergeCell ref="LJA154:LJC154"/>
    <mergeCell ref="LGV154:LGX154"/>
    <mergeCell ref="LGY154:LHA154"/>
    <mergeCell ref="LHH154:LHJ154"/>
    <mergeCell ref="LHK154:LHM154"/>
    <mergeCell ref="LHN154:LHP154"/>
    <mergeCell ref="LHW154:LHY154"/>
    <mergeCell ref="LFR154:LFT154"/>
    <mergeCell ref="LFU154:LFW154"/>
    <mergeCell ref="LGD154:LGF154"/>
    <mergeCell ref="LGG154:LGI154"/>
    <mergeCell ref="LGJ154:LGL154"/>
    <mergeCell ref="LGS154:LGU154"/>
    <mergeCell ref="LEN154:LEP154"/>
    <mergeCell ref="LEQ154:LES154"/>
    <mergeCell ref="LEZ154:LFB154"/>
    <mergeCell ref="LFC154:LFE154"/>
    <mergeCell ref="LFF154:LFH154"/>
    <mergeCell ref="LFO154:LFQ154"/>
    <mergeCell ref="LDJ154:LDL154"/>
    <mergeCell ref="LDM154:LDO154"/>
    <mergeCell ref="LDV154:LDX154"/>
    <mergeCell ref="LDY154:LEA154"/>
    <mergeCell ref="LEB154:LED154"/>
    <mergeCell ref="LEK154:LEM154"/>
    <mergeCell ref="LCF154:LCH154"/>
    <mergeCell ref="LCI154:LCK154"/>
    <mergeCell ref="LCR154:LCT154"/>
    <mergeCell ref="LCU154:LCW154"/>
    <mergeCell ref="LCX154:LCZ154"/>
    <mergeCell ref="LDG154:LDI154"/>
    <mergeCell ref="LBB154:LBD154"/>
    <mergeCell ref="LBE154:LBG154"/>
    <mergeCell ref="LBN154:LBP154"/>
    <mergeCell ref="LBQ154:LBS154"/>
    <mergeCell ref="LBT154:LBV154"/>
    <mergeCell ref="LCC154:LCE154"/>
    <mergeCell ref="KZX154:KZZ154"/>
    <mergeCell ref="LAA154:LAC154"/>
    <mergeCell ref="LAJ154:LAL154"/>
    <mergeCell ref="LAM154:LAO154"/>
    <mergeCell ref="LAP154:LAR154"/>
    <mergeCell ref="LAY154:LBA154"/>
    <mergeCell ref="KYT154:KYV154"/>
    <mergeCell ref="KYW154:KYY154"/>
    <mergeCell ref="KZF154:KZH154"/>
    <mergeCell ref="KZI154:KZK154"/>
    <mergeCell ref="KZL154:KZN154"/>
    <mergeCell ref="KZU154:KZW154"/>
    <mergeCell ref="KXP154:KXR154"/>
    <mergeCell ref="KXS154:KXU154"/>
    <mergeCell ref="KYB154:KYD154"/>
    <mergeCell ref="KYE154:KYG154"/>
    <mergeCell ref="KYH154:KYJ154"/>
    <mergeCell ref="KYQ154:KYS154"/>
    <mergeCell ref="KWL154:KWN154"/>
    <mergeCell ref="KWO154:KWQ154"/>
    <mergeCell ref="KWX154:KWZ154"/>
    <mergeCell ref="KXA154:KXC154"/>
    <mergeCell ref="KXD154:KXF154"/>
    <mergeCell ref="KXM154:KXO154"/>
    <mergeCell ref="KVH154:KVJ154"/>
    <mergeCell ref="KVK154:KVM154"/>
    <mergeCell ref="KVT154:KVV154"/>
    <mergeCell ref="KVW154:KVY154"/>
    <mergeCell ref="KVZ154:KWB154"/>
    <mergeCell ref="KWI154:KWK154"/>
    <mergeCell ref="KUD154:KUF154"/>
    <mergeCell ref="KUG154:KUI154"/>
    <mergeCell ref="KUP154:KUR154"/>
    <mergeCell ref="KUS154:KUU154"/>
    <mergeCell ref="KUV154:KUX154"/>
    <mergeCell ref="KVE154:KVG154"/>
    <mergeCell ref="KSZ154:KTB154"/>
    <mergeCell ref="KTC154:KTE154"/>
    <mergeCell ref="KTL154:KTN154"/>
    <mergeCell ref="KTO154:KTQ154"/>
    <mergeCell ref="KTR154:KTT154"/>
    <mergeCell ref="KUA154:KUC154"/>
    <mergeCell ref="KRV154:KRX154"/>
    <mergeCell ref="KRY154:KSA154"/>
    <mergeCell ref="KSH154:KSJ154"/>
    <mergeCell ref="KSK154:KSM154"/>
    <mergeCell ref="KSN154:KSP154"/>
    <mergeCell ref="KSW154:KSY154"/>
    <mergeCell ref="KQR154:KQT154"/>
    <mergeCell ref="KQU154:KQW154"/>
    <mergeCell ref="KRD154:KRF154"/>
    <mergeCell ref="KRG154:KRI154"/>
    <mergeCell ref="KRJ154:KRL154"/>
    <mergeCell ref="KRS154:KRU154"/>
    <mergeCell ref="KPN154:KPP154"/>
    <mergeCell ref="KPQ154:KPS154"/>
    <mergeCell ref="KPZ154:KQB154"/>
    <mergeCell ref="KQC154:KQE154"/>
    <mergeCell ref="KQF154:KQH154"/>
    <mergeCell ref="KQO154:KQQ154"/>
    <mergeCell ref="KOJ154:KOL154"/>
    <mergeCell ref="KOM154:KOO154"/>
    <mergeCell ref="KOV154:KOX154"/>
    <mergeCell ref="KOY154:KPA154"/>
    <mergeCell ref="KPB154:KPD154"/>
    <mergeCell ref="KPK154:KPM154"/>
    <mergeCell ref="KNF154:KNH154"/>
    <mergeCell ref="KNI154:KNK154"/>
    <mergeCell ref="KNR154:KNT154"/>
    <mergeCell ref="KNU154:KNW154"/>
    <mergeCell ref="KNX154:KNZ154"/>
    <mergeCell ref="KOG154:KOI154"/>
    <mergeCell ref="KMB154:KMD154"/>
    <mergeCell ref="KME154:KMG154"/>
    <mergeCell ref="KMN154:KMP154"/>
    <mergeCell ref="KMQ154:KMS154"/>
    <mergeCell ref="KMT154:KMV154"/>
    <mergeCell ref="KNC154:KNE154"/>
    <mergeCell ref="KKX154:KKZ154"/>
    <mergeCell ref="KLA154:KLC154"/>
    <mergeCell ref="KLJ154:KLL154"/>
    <mergeCell ref="KLM154:KLO154"/>
    <mergeCell ref="KLP154:KLR154"/>
    <mergeCell ref="KLY154:KMA154"/>
    <mergeCell ref="KJT154:KJV154"/>
    <mergeCell ref="KJW154:KJY154"/>
    <mergeCell ref="KKF154:KKH154"/>
    <mergeCell ref="KKI154:KKK154"/>
    <mergeCell ref="KKL154:KKN154"/>
    <mergeCell ref="KKU154:KKW154"/>
    <mergeCell ref="KIP154:KIR154"/>
    <mergeCell ref="KIS154:KIU154"/>
    <mergeCell ref="KJB154:KJD154"/>
    <mergeCell ref="KJE154:KJG154"/>
    <mergeCell ref="KJH154:KJJ154"/>
    <mergeCell ref="KJQ154:KJS154"/>
    <mergeCell ref="KHL154:KHN154"/>
    <mergeCell ref="KHO154:KHQ154"/>
    <mergeCell ref="KHX154:KHZ154"/>
    <mergeCell ref="KIA154:KIC154"/>
    <mergeCell ref="KID154:KIF154"/>
    <mergeCell ref="KIM154:KIO154"/>
    <mergeCell ref="KGH154:KGJ154"/>
    <mergeCell ref="KGK154:KGM154"/>
    <mergeCell ref="KGT154:KGV154"/>
    <mergeCell ref="KGW154:KGY154"/>
    <mergeCell ref="KGZ154:KHB154"/>
    <mergeCell ref="KHI154:KHK154"/>
    <mergeCell ref="KFD154:KFF154"/>
    <mergeCell ref="KFG154:KFI154"/>
    <mergeCell ref="KFP154:KFR154"/>
    <mergeCell ref="KFS154:KFU154"/>
    <mergeCell ref="KFV154:KFX154"/>
    <mergeCell ref="KGE154:KGG154"/>
    <mergeCell ref="KDZ154:KEB154"/>
    <mergeCell ref="KEC154:KEE154"/>
    <mergeCell ref="KEL154:KEN154"/>
    <mergeCell ref="KEO154:KEQ154"/>
    <mergeCell ref="KER154:KET154"/>
    <mergeCell ref="KFA154:KFC154"/>
    <mergeCell ref="KCV154:KCX154"/>
    <mergeCell ref="KCY154:KDA154"/>
    <mergeCell ref="KDH154:KDJ154"/>
    <mergeCell ref="KDK154:KDM154"/>
    <mergeCell ref="KDN154:KDP154"/>
    <mergeCell ref="KDW154:KDY154"/>
    <mergeCell ref="KBR154:KBT154"/>
    <mergeCell ref="KBU154:KBW154"/>
    <mergeCell ref="KCD154:KCF154"/>
    <mergeCell ref="KCG154:KCI154"/>
    <mergeCell ref="KCJ154:KCL154"/>
    <mergeCell ref="KCS154:KCU154"/>
    <mergeCell ref="KAN154:KAP154"/>
    <mergeCell ref="KAQ154:KAS154"/>
    <mergeCell ref="KAZ154:KBB154"/>
    <mergeCell ref="KBC154:KBE154"/>
    <mergeCell ref="KBF154:KBH154"/>
    <mergeCell ref="KBO154:KBQ154"/>
    <mergeCell ref="JZJ154:JZL154"/>
    <mergeCell ref="JZM154:JZO154"/>
    <mergeCell ref="JZV154:JZX154"/>
    <mergeCell ref="JZY154:KAA154"/>
    <mergeCell ref="KAB154:KAD154"/>
    <mergeCell ref="KAK154:KAM154"/>
    <mergeCell ref="JYF154:JYH154"/>
    <mergeCell ref="JYI154:JYK154"/>
    <mergeCell ref="JYR154:JYT154"/>
    <mergeCell ref="JYU154:JYW154"/>
    <mergeCell ref="JYX154:JYZ154"/>
    <mergeCell ref="JZG154:JZI154"/>
    <mergeCell ref="JXB154:JXD154"/>
    <mergeCell ref="JXE154:JXG154"/>
    <mergeCell ref="JXN154:JXP154"/>
    <mergeCell ref="JXQ154:JXS154"/>
    <mergeCell ref="JXT154:JXV154"/>
    <mergeCell ref="JYC154:JYE154"/>
    <mergeCell ref="JVX154:JVZ154"/>
    <mergeCell ref="JWA154:JWC154"/>
    <mergeCell ref="JWJ154:JWL154"/>
    <mergeCell ref="JWM154:JWO154"/>
    <mergeCell ref="JWP154:JWR154"/>
    <mergeCell ref="JWY154:JXA154"/>
    <mergeCell ref="JUT154:JUV154"/>
    <mergeCell ref="JUW154:JUY154"/>
    <mergeCell ref="JVF154:JVH154"/>
    <mergeCell ref="JVI154:JVK154"/>
    <mergeCell ref="JVL154:JVN154"/>
    <mergeCell ref="JVU154:JVW154"/>
    <mergeCell ref="JTP154:JTR154"/>
    <mergeCell ref="JTS154:JTU154"/>
    <mergeCell ref="JUB154:JUD154"/>
    <mergeCell ref="JUE154:JUG154"/>
    <mergeCell ref="JUH154:JUJ154"/>
    <mergeCell ref="JUQ154:JUS154"/>
    <mergeCell ref="JSL154:JSN154"/>
    <mergeCell ref="JSO154:JSQ154"/>
    <mergeCell ref="JSX154:JSZ154"/>
    <mergeCell ref="JTA154:JTC154"/>
    <mergeCell ref="JTD154:JTF154"/>
    <mergeCell ref="JTM154:JTO154"/>
    <mergeCell ref="JRH154:JRJ154"/>
    <mergeCell ref="JRK154:JRM154"/>
    <mergeCell ref="JRT154:JRV154"/>
    <mergeCell ref="JRW154:JRY154"/>
    <mergeCell ref="JRZ154:JSB154"/>
    <mergeCell ref="JSI154:JSK154"/>
    <mergeCell ref="JQD154:JQF154"/>
    <mergeCell ref="JQG154:JQI154"/>
    <mergeCell ref="JQP154:JQR154"/>
    <mergeCell ref="JQS154:JQU154"/>
    <mergeCell ref="JQV154:JQX154"/>
    <mergeCell ref="JRE154:JRG154"/>
    <mergeCell ref="JOZ154:JPB154"/>
    <mergeCell ref="JPC154:JPE154"/>
    <mergeCell ref="JPL154:JPN154"/>
    <mergeCell ref="JPO154:JPQ154"/>
    <mergeCell ref="JPR154:JPT154"/>
    <mergeCell ref="JQA154:JQC154"/>
    <mergeCell ref="JNV154:JNX154"/>
    <mergeCell ref="JNY154:JOA154"/>
    <mergeCell ref="JOH154:JOJ154"/>
    <mergeCell ref="JOK154:JOM154"/>
    <mergeCell ref="JON154:JOP154"/>
    <mergeCell ref="JOW154:JOY154"/>
    <mergeCell ref="JMR154:JMT154"/>
    <mergeCell ref="JMU154:JMW154"/>
    <mergeCell ref="JND154:JNF154"/>
    <mergeCell ref="JNG154:JNI154"/>
    <mergeCell ref="JNJ154:JNL154"/>
    <mergeCell ref="JNS154:JNU154"/>
    <mergeCell ref="JLN154:JLP154"/>
    <mergeCell ref="JLQ154:JLS154"/>
    <mergeCell ref="JLZ154:JMB154"/>
    <mergeCell ref="JMC154:JME154"/>
    <mergeCell ref="JMF154:JMH154"/>
    <mergeCell ref="JMO154:JMQ154"/>
    <mergeCell ref="JKJ154:JKL154"/>
    <mergeCell ref="JKM154:JKO154"/>
    <mergeCell ref="JKV154:JKX154"/>
    <mergeCell ref="JKY154:JLA154"/>
    <mergeCell ref="JLB154:JLD154"/>
    <mergeCell ref="JLK154:JLM154"/>
    <mergeCell ref="JJF154:JJH154"/>
    <mergeCell ref="JJI154:JJK154"/>
    <mergeCell ref="JJR154:JJT154"/>
    <mergeCell ref="JJU154:JJW154"/>
    <mergeCell ref="JJX154:JJZ154"/>
    <mergeCell ref="JKG154:JKI154"/>
    <mergeCell ref="JIB154:JID154"/>
    <mergeCell ref="JIE154:JIG154"/>
    <mergeCell ref="JIN154:JIP154"/>
    <mergeCell ref="JIQ154:JIS154"/>
    <mergeCell ref="JIT154:JIV154"/>
    <mergeCell ref="JJC154:JJE154"/>
    <mergeCell ref="JGX154:JGZ154"/>
    <mergeCell ref="JHA154:JHC154"/>
    <mergeCell ref="JHJ154:JHL154"/>
    <mergeCell ref="JHM154:JHO154"/>
    <mergeCell ref="JHP154:JHR154"/>
    <mergeCell ref="JHY154:JIA154"/>
    <mergeCell ref="JFT154:JFV154"/>
    <mergeCell ref="JFW154:JFY154"/>
    <mergeCell ref="JGF154:JGH154"/>
    <mergeCell ref="JGI154:JGK154"/>
    <mergeCell ref="JGL154:JGN154"/>
    <mergeCell ref="JGU154:JGW154"/>
    <mergeCell ref="JEP154:JER154"/>
    <mergeCell ref="JES154:JEU154"/>
    <mergeCell ref="JFB154:JFD154"/>
    <mergeCell ref="JFE154:JFG154"/>
    <mergeCell ref="JFH154:JFJ154"/>
    <mergeCell ref="JFQ154:JFS154"/>
    <mergeCell ref="JDL154:JDN154"/>
    <mergeCell ref="JDO154:JDQ154"/>
    <mergeCell ref="JDX154:JDZ154"/>
    <mergeCell ref="JEA154:JEC154"/>
    <mergeCell ref="JED154:JEF154"/>
    <mergeCell ref="JEM154:JEO154"/>
    <mergeCell ref="JCH154:JCJ154"/>
    <mergeCell ref="JCK154:JCM154"/>
    <mergeCell ref="JCT154:JCV154"/>
    <mergeCell ref="JCW154:JCY154"/>
    <mergeCell ref="JCZ154:JDB154"/>
    <mergeCell ref="JDI154:JDK154"/>
    <mergeCell ref="JBD154:JBF154"/>
    <mergeCell ref="JBG154:JBI154"/>
    <mergeCell ref="JBP154:JBR154"/>
    <mergeCell ref="JBS154:JBU154"/>
    <mergeCell ref="JBV154:JBX154"/>
    <mergeCell ref="JCE154:JCG154"/>
    <mergeCell ref="IZZ154:JAB154"/>
    <mergeCell ref="JAC154:JAE154"/>
    <mergeCell ref="JAL154:JAN154"/>
    <mergeCell ref="JAO154:JAQ154"/>
    <mergeCell ref="JAR154:JAT154"/>
    <mergeCell ref="JBA154:JBC154"/>
    <mergeCell ref="IYV154:IYX154"/>
    <mergeCell ref="IYY154:IZA154"/>
    <mergeCell ref="IZH154:IZJ154"/>
    <mergeCell ref="IZK154:IZM154"/>
    <mergeCell ref="IZN154:IZP154"/>
    <mergeCell ref="IZW154:IZY154"/>
    <mergeCell ref="IXR154:IXT154"/>
    <mergeCell ref="IXU154:IXW154"/>
    <mergeCell ref="IYD154:IYF154"/>
    <mergeCell ref="IYG154:IYI154"/>
    <mergeCell ref="IYJ154:IYL154"/>
    <mergeCell ref="IYS154:IYU154"/>
    <mergeCell ref="IWN154:IWP154"/>
    <mergeCell ref="IWQ154:IWS154"/>
    <mergeCell ref="IWZ154:IXB154"/>
    <mergeCell ref="IXC154:IXE154"/>
    <mergeCell ref="IXF154:IXH154"/>
    <mergeCell ref="IXO154:IXQ154"/>
    <mergeCell ref="IVJ154:IVL154"/>
    <mergeCell ref="IVM154:IVO154"/>
    <mergeCell ref="IVV154:IVX154"/>
    <mergeCell ref="IVY154:IWA154"/>
    <mergeCell ref="IWB154:IWD154"/>
    <mergeCell ref="IWK154:IWM154"/>
    <mergeCell ref="IUF154:IUH154"/>
    <mergeCell ref="IUI154:IUK154"/>
    <mergeCell ref="IUR154:IUT154"/>
    <mergeCell ref="IUU154:IUW154"/>
    <mergeCell ref="IUX154:IUZ154"/>
    <mergeCell ref="IVG154:IVI154"/>
    <mergeCell ref="ITB154:ITD154"/>
    <mergeCell ref="ITE154:ITG154"/>
    <mergeCell ref="ITN154:ITP154"/>
    <mergeCell ref="ITQ154:ITS154"/>
    <mergeCell ref="ITT154:ITV154"/>
    <mergeCell ref="IUC154:IUE154"/>
    <mergeCell ref="IRX154:IRZ154"/>
    <mergeCell ref="ISA154:ISC154"/>
    <mergeCell ref="ISJ154:ISL154"/>
    <mergeCell ref="ISM154:ISO154"/>
    <mergeCell ref="ISP154:ISR154"/>
    <mergeCell ref="ISY154:ITA154"/>
    <mergeCell ref="IQT154:IQV154"/>
    <mergeCell ref="IQW154:IQY154"/>
    <mergeCell ref="IRF154:IRH154"/>
    <mergeCell ref="IRI154:IRK154"/>
    <mergeCell ref="IRL154:IRN154"/>
    <mergeCell ref="IRU154:IRW154"/>
    <mergeCell ref="IPP154:IPR154"/>
    <mergeCell ref="IPS154:IPU154"/>
    <mergeCell ref="IQB154:IQD154"/>
    <mergeCell ref="IQE154:IQG154"/>
    <mergeCell ref="IQH154:IQJ154"/>
    <mergeCell ref="IQQ154:IQS154"/>
    <mergeCell ref="IOL154:ION154"/>
    <mergeCell ref="IOO154:IOQ154"/>
    <mergeCell ref="IOX154:IOZ154"/>
    <mergeCell ref="IPA154:IPC154"/>
    <mergeCell ref="IPD154:IPF154"/>
    <mergeCell ref="IPM154:IPO154"/>
    <mergeCell ref="INH154:INJ154"/>
    <mergeCell ref="INK154:INM154"/>
    <mergeCell ref="INT154:INV154"/>
    <mergeCell ref="INW154:INY154"/>
    <mergeCell ref="INZ154:IOB154"/>
    <mergeCell ref="IOI154:IOK154"/>
    <mergeCell ref="IMD154:IMF154"/>
    <mergeCell ref="IMG154:IMI154"/>
    <mergeCell ref="IMP154:IMR154"/>
    <mergeCell ref="IMS154:IMU154"/>
    <mergeCell ref="IMV154:IMX154"/>
    <mergeCell ref="INE154:ING154"/>
    <mergeCell ref="IKZ154:ILB154"/>
    <mergeCell ref="ILC154:ILE154"/>
    <mergeCell ref="ILL154:ILN154"/>
    <mergeCell ref="ILO154:ILQ154"/>
    <mergeCell ref="ILR154:ILT154"/>
    <mergeCell ref="IMA154:IMC154"/>
    <mergeCell ref="IJV154:IJX154"/>
    <mergeCell ref="IJY154:IKA154"/>
    <mergeCell ref="IKH154:IKJ154"/>
    <mergeCell ref="IKK154:IKM154"/>
    <mergeCell ref="IKN154:IKP154"/>
    <mergeCell ref="IKW154:IKY154"/>
    <mergeCell ref="IIR154:IIT154"/>
    <mergeCell ref="IIU154:IIW154"/>
    <mergeCell ref="IJD154:IJF154"/>
    <mergeCell ref="IJG154:IJI154"/>
    <mergeCell ref="IJJ154:IJL154"/>
    <mergeCell ref="IJS154:IJU154"/>
    <mergeCell ref="IHN154:IHP154"/>
    <mergeCell ref="IHQ154:IHS154"/>
    <mergeCell ref="IHZ154:IIB154"/>
    <mergeCell ref="IIC154:IIE154"/>
    <mergeCell ref="IIF154:IIH154"/>
    <mergeCell ref="IIO154:IIQ154"/>
    <mergeCell ref="IGJ154:IGL154"/>
    <mergeCell ref="IGM154:IGO154"/>
    <mergeCell ref="IGV154:IGX154"/>
    <mergeCell ref="IGY154:IHA154"/>
    <mergeCell ref="IHB154:IHD154"/>
    <mergeCell ref="IHK154:IHM154"/>
    <mergeCell ref="IFF154:IFH154"/>
    <mergeCell ref="IFI154:IFK154"/>
    <mergeCell ref="IFR154:IFT154"/>
    <mergeCell ref="IFU154:IFW154"/>
    <mergeCell ref="IFX154:IFZ154"/>
    <mergeCell ref="IGG154:IGI154"/>
    <mergeCell ref="IEB154:IED154"/>
    <mergeCell ref="IEE154:IEG154"/>
    <mergeCell ref="IEN154:IEP154"/>
    <mergeCell ref="IEQ154:IES154"/>
    <mergeCell ref="IET154:IEV154"/>
    <mergeCell ref="IFC154:IFE154"/>
    <mergeCell ref="ICX154:ICZ154"/>
    <mergeCell ref="IDA154:IDC154"/>
    <mergeCell ref="IDJ154:IDL154"/>
    <mergeCell ref="IDM154:IDO154"/>
    <mergeCell ref="IDP154:IDR154"/>
    <mergeCell ref="IDY154:IEA154"/>
    <mergeCell ref="IBT154:IBV154"/>
    <mergeCell ref="IBW154:IBY154"/>
    <mergeCell ref="ICF154:ICH154"/>
    <mergeCell ref="ICI154:ICK154"/>
    <mergeCell ref="ICL154:ICN154"/>
    <mergeCell ref="ICU154:ICW154"/>
    <mergeCell ref="IAP154:IAR154"/>
    <mergeCell ref="IAS154:IAU154"/>
    <mergeCell ref="IBB154:IBD154"/>
    <mergeCell ref="IBE154:IBG154"/>
    <mergeCell ref="IBH154:IBJ154"/>
    <mergeCell ref="IBQ154:IBS154"/>
    <mergeCell ref="HZL154:HZN154"/>
    <mergeCell ref="HZO154:HZQ154"/>
    <mergeCell ref="HZX154:HZZ154"/>
    <mergeCell ref="IAA154:IAC154"/>
    <mergeCell ref="IAD154:IAF154"/>
    <mergeCell ref="IAM154:IAO154"/>
    <mergeCell ref="HYH154:HYJ154"/>
    <mergeCell ref="HYK154:HYM154"/>
    <mergeCell ref="HYT154:HYV154"/>
    <mergeCell ref="HYW154:HYY154"/>
    <mergeCell ref="HYZ154:HZB154"/>
    <mergeCell ref="HZI154:HZK154"/>
    <mergeCell ref="HXD154:HXF154"/>
    <mergeCell ref="HXG154:HXI154"/>
    <mergeCell ref="HXP154:HXR154"/>
    <mergeCell ref="HXS154:HXU154"/>
    <mergeCell ref="HXV154:HXX154"/>
    <mergeCell ref="HYE154:HYG154"/>
    <mergeCell ref="HVZ154:HWB154"/>
    <mergeCell ref="HWC154:HWE154"/>
    <mergeCell ref="HWL154:HWN154"/>
    <mergeCell ref="HWO154:HWQ154"/>
    <mergeCell ref="HWR154:HWT154"/>
    <mergeCell ref="HXA154:HXC154"/>
    <mergeCell ref="HUV154:HUX154"/>
    <mergeCell ref="HUY154:HVA154"/>
    <mergeCell ref="HVH154:HVJ154"/>
    <mergeCell ref="HVK154:HVM154"/>
    <mergeCell ref="HVN154:HVP154"/>
    <mergeCell ref="HVW154:HVY154"/>
    <mergeCell ref="HTR154:HTT154"/>
    <mergeCell ref="HTU154:HTW154"/>
    <mergeCell ref="HUD154:HUF154"/>
    <mergeCell ref="HUG154:HUI154"/>
    <mergeCell ref="HUJ154:HUL154"/>
    <mergeCell ref="HUS154:HUU154"/>
    <mergeCell ref="HSN154:HSP154"/>
    <mergeCell ref="HSQ154:HSS154"/>
    <mergeCell ref="HSZ154:HTB154"/>
    <mergeCell ref="HTC154:HTE154"/>
    <mergeCell ref="HTF154:HTH154"/>
    <mergeCell ref="HTO154:HTQ154"/>
    <mergeCell ref="HRJ154:HRL154"/>
    <mergeCell ref="HRM154:HRO154"/>
    <mergeCell ref="HRV154:HRX154"/>
    <mergeCell ref="HRY154:HSA154"/>
    <mergeCell ref="HSB154:HSD154"/>
    <mergeCell ref="HSK154:HSM154"/>
    <mergeCell ref="HQF154:HQH154"/>
    <mergeCell ref="HQI154:HQK154"/>
    <mergeCell ref="HQR154:HQT154"/>
    <mergeCell ref="HQU154:HQW154"/>
    <mergeCell ref="HQX154:HQZ154"/>
    <mergeCell ref="HRG154:HRI154"/>
    <mergeCell ref="HPB154:HPD154"/>
    <mergeCell ref="HPE154:HPG154"/>
    <mergeCell ref="HPN154:HPP154"/>
    <mergeCell ref="HPQ154:HPS154"/>
    <mergeCell ref="HPT154:HPV154"/>
    <mergeCell ref="HQC154:HQE154"/>
    <mergeCell ref="HNX154:HNZ154"/>
    <mergeCell ref="HOA154:HOC154"/>
    <mergeCell ref="HOJ154:HOL154"/>
    <mergeCell ref="HOM154:HOO154"/>
    <mergeCell ref="HOP154:HOR154"/>
    <mergeCell ref="HOY154:HPA154"/>
    <mergeCell ref="HMT154:HMV154"/>
    <mergeCell ref="HMW154:HMY154"/>
    <mergeCell ref="HNF154:HNH154"/>
    <mergeCell ref="HNI154:HNK154"/>
    <mergeCell ref="HNL154:HNN154"/>
    <mergeCell ref="HNU154:HNW154"/>
    <mergeCell ref="HLP154:HLR154"/>
    <mergeCell ref="HLS154:HLU154"/>
    <mergeCell ref="HMB154:HMD154"/>
    <mergeCell ref="HME154:HMG154"/>
    <mergeCell ref="HMH154:HMJ154"/>
    <mergeCell ref="HMQ154:HMS154"/>
    <mergeCell ref="HKL154:HKN154"/>
    <mergeCell ref="HKO154:HKQ154"/>
    <mergeCell ref="HKX154:HKZ154"/>
    <mergeCell ref="HLA154:HLC154"/>
    <mergeCell ref="HLD154:HLF154"/>
    <mergeCell ref="HLM154:HLO154"/>
    <mergeCell ref="HJH154:HJJ154"/>
    <mergeCell ref="HJK154:HJM154"/>
    <mergeCell ref="HJT154:HJV154"/>
    <mergeCell ref="HJW154:HJY154"/>
    <mergeCell ref="HJZ154:HKB154"/>
    <mergeCell ref="HKI154:HKK154"/>
    <mergeCell ref="HID154:HIF154"/>
    <mergeCell ref="HIG154:HII154"/>
    <mergeCell ref="HIP154:HIR154"/>
    <mergeCell ref="HIS154:HIU154"/>
    <mergeCell ref="HIV154:HIX154"/>
    <mergeCell ref="HJE154:HJG154"/>
    <mergeCell ref="HGZ154:HHB154"/>
    <mergeCell ref="HHC154:HHE154"/>
    <mergeCell ref="HHL154:HHN154"/>
    <mergeCell ref="HHO154:HHQ154"/>
    <mergeCell ref="HHR154:HHT154"/>
    <mergeCell ref="HIA154:HIC154"/>
    <mergeCell ref="HFV154:HFX154"/>
    <mergeCell ref="HFY154:HGA154"/>
    <mergeCell ref="HGH154:HGJ154"/>
    <mergeCell ref="HGK154:HGM154"/>
    <mergeCell ref="HGN154:HGP154"/>
    <mergeCell ref="HGW154:HGY154"/>
    <mergeCell ref="HER154:HET154"/>
    <mergeCell ref="HEU154:HEW154"/>
    <mergeCell ref="HFD154:HFF154"/>
    <mergeCell ref="HFG154:HFI154"/>
    <mergeCell ref="HFJ154:HFL154"/>
    <mergeCell ref="HFS154:HFU154"/>
    <mergeCell ref="HDN154:HDP154"/>
    <mergeCell ref="HDQ154:HDS154"/>
    <mergeCell ref="HDZ154:HEB154"/>
    <mergeCell ref="HEC154:HEE154"/>
    <mergeCell ref="HEF154:HEH154"/>
    <mergeCell ref="HEO154:HEQ154"/>
    <mergeCell ref="HCJ154:HCL154"/>
    <mergeCell ref="HCM154:HCO154"/>
    <mergeCell ref="HCV154:HCX154"/>
    <mergeCell ref="HCY154:HDA154"/>
    <mergeCell ref="HDB154:HDD154"/>
    <mergeCell ref="HDK154:HDM154"/>
    <mergeCell ref="HBF154:HBH154"/>
    <mergeCell ref="HBI154:HBK154"/>
    <mergeCell ref="HBR154:HBT154"/>
    <mergeCell ref="HBU154:HBW154"/>
    <mergeCell ref="HBX154:HBZ154"/>
    <mergeCell ref="HCG154:HCI154"/>
    <mergeCell ref="HAB154:HAD154"/>
    <mergeCell ref="HAE154:HAG154"/>
    <mergeCell ref="HAN154:HAP154"/>
    <mergeCell ref="HAQ154:HAS154"/>
    <mergeCell ref="HAT154:HAV154"/>
    <mergeCell ref="HBC154:HBE154"/>
    <mergeCell ref="GYX154:GYZ154"/>
    <mergeCell ref="GZA154:GZC154"/>
    <mergeCell ref="GZJ154:GZL154"/>
    <mergeCell ref="GZM154:GZO154"/>
    <mergeCell ref="GZP154:GZR154"/>
    <mergeCell ref="GZY154:HAA154"/>
    <mergeCell ref="GXT154:GXV154"/>
    <mergeCell ref="GXW154:GXY154"/>
    <mergeCell ref="GYF154:GYH154"/>
    <mergeCell ref="GYI154:GYK154"/>
    <mergeCell ref="GYL154:GYN154"/>
    <mergeCell ref="GYU154:GYW154"/>
    <mergeCell ref="GWP154:GWR154"/>
    <mergeCell ref="GWS154:GWU154"/>
    <mergeCell ref="GXB154:GXD154"/>
    <mergeCell ref="GXE154:GXG154"/>
    <mergeCell ref="GXH154:GXJ154"/>
    <mergeCell ref="GXQ154:GXS154"/>
    <mergeCell ref="GVL154:GVN154"/>
    <mergeCell ref="GVO154:GVQ154"/>
    <mergeCell ref="GVX154:GVZ154"/>
    <mergeCell ref="GWA154:GWC154"/>
    <mergeCell ref="GWD154:GWF154"/>
    <mergeCell ref="GWM154:GWO154"/>
    <mergeCell ref="GUH154:GUJ154"/>
    <mergeCell ref="GUK154:GUM154"/>
    <mergeCell ref="GUT154:GUV154"/>
    <mergeCell ref="GUW154:GUY154"/>
    <mergeCell ref="GUZ154:GVB154"/>
    <mergeCell ref="GVI154:GVK154"/>
    <mergeCell ref="GTD154:GTF154"/>
    <mergeCell ref="GTG154:GTI154"/>
    <mergeCell ref="GTP154:GTR154"/>
    <mergeCell ref="GTS154:GTU154"/>
    <mergeCell ref="GTV154:GTX154"/>
    <mergeCell ref="GUE154:GUG154"/>
    <mergeCell ref="GRZ154:GSB154"/>
    <mergeCell ref="GSC154:GSE154"/>
    <mergeCell ref="GSL154:GSN154"/>
    <mergeCell ref="GSO154:GSQ154"/>
    <mergeCell ref="GSR154:GST154"/>
    <mergeCell ref="GTA154:GTC154"/>
    <mergeCell ref="GQV154:GQX154"/>
    <mergeCell ref="GQY154:GRA154"/>
    <mergeCell ref="GRH154:GRJ154"/>
    <mergeCell ref="GRK154:GRM154"/>
    <mergeCell ref="GRN154:GRP154"/>
    <mergeCell ref="GRW154:GRY154"/>
    <mergeCell ref="GPR154:GPT154"/>
    <mergeCell ref="GPU154:GPW154"/>
    <mergeCell ref="GQD154:GQF154"/>
    <mergeCell ref="GQG154:GQI154"/>
    <mergeCell ref="GQJ154:GQL154"/>
    <mergeCell ref="GQS154:GQU154"/>
    <mergeCell ref="GON154:GOP154"/>
    <mergeCell ref="GOQ154:GOS154"/>
    <mergeCell ref="GOZ154:GPB154"/>
    <mergeCell ref="GPC154:GPE154"/>
    <mergeCell ref="GPF154:GPH154"/>
    <mergeCell ref="GPO154:GPQ154"/>
    <mergeCell ref="GNJ154:GNL154"/>
    <mergeCell ref="GNM154:GNO154"/>
    <mergeCell ref="GNV154:GNX154"/>
    <mergeCell ref="GNY154:GOA154"/>
    <mergeCell ref="GOB154:GOD154"/>
    <mergeCell ref="GOK154:GOM154"/>
    <mergeCell ref="GMF154:GMH154"/>
    <mergeCell ref="GMI154:GMK154"/>
    <mergeCell ref="GMR154:GMT154"/>
    <mergeCell ref="GMU154:GMW154"/>
    <mergeCell ref="GMX154:GMZ154"/>
    <mergeCell ref="GNG154:GNI154"/>
    <mergeCell ref="GLB154:GLD154"/>
    <mergeCell ref="GLE154:GLG154"/>
    <mergeCell ref="GLN154:GLP154"/>
    <mergeCell ref="GLQ154:GLS154"/>
    <mergeCell ref="GLT154:GLV154"/>
    <mergeCell ref="GMC154:GME154"/>
    <mergeCell ref="GJX154:GJZ154"/>
    <mergeCell ref="GKA154:GKC154"/>
    <mergeCell ref="GKJ154:GKL154"/>
    <mergeCell ref="GKM154:GKO154"/>
    <mergeCell ref="GKP154:GKR154"/>
    <mergeCell ref="GKY154:GLA154"/>
    <mergeCell ref="GIT154:GIV154"/>
    <mergeCell ref="GIW154:GIY154"/>
    <mergeCell ref="GJF154:GJH154"/>
    <mergeCell ref="GJI154:GJK154"/>
    <mergeCell ref="GJL154:GJN154"/>
    <mergeCell ref="GJU154:GJW154"/>
    <mergeCell ref="GHP154:GHR154"/>
    <mergeCell ref="GHS154:GHU154"/>
    <mergeCell ref="GIB154:GID154"/>
    <mergeCell ref="GIE154:GIG154"/>
    <mergeCell ref="GIH154:GIJ154"/>
    <mergeCell ref="GIQ154:GIS154"/>
    <mergeCell ref="GGL154:GGN154"/>
    <mergeCell ref="GGO154:GGQ154"/>
    <mergeCell ref="GGX154:GGZ154"/>
    <mergeCell ref="GHA154:GHC154"/>
    <mergeCell ref="GHD154:GHF154"/>
    <mergeCell ref="GHM154:GHO154"/>
    <mergeCell ref="GFH154:GFJ154"/>
    <mergeCell ref="GFK154:GFM154"/>
    <mergeCell ref="GFT154:GFV154"/>
    <mergeCell ref="GFW154:GFY154"/>
    <mergeCell ref="GFZ154:GGB154"/>
    <mergeCell ref="GGI154:GGK154"/>
    <mergeCell ref="GED154:GEF154"/>
    <mergeCell ref="GEG154:GEI154"/>
    <mergeCell ref="GEP154:GER154"/>
    <mergeCell ref="GES154:GEU154"/>
    <mergeCell ref="GEV154:GEX154"/>
    <mergeCell ref="GFE154:GFG154"/>
    <mergeCell ref="GCZ154:GDB154"/>
    <mergeCell ref="GDC154:GDE154"/>
    <mergeCell ref="GDL154:GDN154"/>
    <mergeCell ref="GDO154:GDQ154"/>
    <mergeCell ref="GDR154:GDT154"/>
    <mergeCell ref="GEA154:GEC154"/>
    <mergeCell ref="GBV154:GBX154"/>
    <mergeCell ref="GBY154:GCA154"/>
    <mergeCell ref="GCH154:GCJ154"/>
    <mergeCell ref="GCK154:GCM154"/>
    <mergeCell ref="GCN154:GCP154"/>
    <mergeCell ref="GCW154:GCY154"/>
    <mergeCell ref="GAR154:GAT154"/>
    <mergeCell ref="GAU154:GAW154"/>
    <mergeCell ref="GBD154:GBF154"/>
    <mergeCell ref="GBG154:GBI154"/>
    <mergeCell ref="GBJ154:GBL154"/>
    <mergeCell ref="GBS154:GBU154"/>
    <mergeCell ref="FZN154:FZP154"/>
    <mergeCell ref="FZQ154:FZS154"/>
    <mergeCell ref="FZZ154:GAB154"/>
    <mergeCell ref="GAC154:GAE154"/>
    <mergeCell ref="GAF154:GAH154"/>
    <mergeCell ref="GAO154:GAQ154"/>
    <mergeCell ref="FYJ154:FYL154"/>
    <mergeCell ref="FYM154:FYO154"/>
    <mergeCell ref="FYV154:FYX154"/>
    <mergeCell ref="FYY154:FZA154"/>
    <mergeCell ref="FZB154:FZD154"/>
    <mergeCell ref="FZK154:FZM154"/>
    <mergeCell ref="FXF154:FXH154"/>
    <mergeCell ref="FXI154:FXK154"/>
    <mergeCell ref="FXR154:FXT154"/>
    <mergeCell ref="FXU154:FXW154"/>
    <mergeCell ref="FXX154:FXZ154"/>
    <mergeCell ref="FYG154:FYI154"/>
    <mergeCell ref="FWB154:FWD154"/>
    <mergeCell ref="FWE154:FWG154"/>
    <mergeCell ref="FWN154:FWP154"/>
    <mergeCell ref="FWQ154:FWS154"/>
    <mergeCell ref="FWT154:FWV154"/>
    <mergeCell ref="FXC154:FXE154"/>
    <mergeCell ref="FUX154:FUZ154"/>
    <mergeCell ref="FVA154:FVC154"/>
    <mergeCell ref="FVJ154:FVL154"/>
    <mergeCell ref="FVM154:FVO154"/>
    <mergeCell ref="FVP154:FVR154"/>
    <mergeCell ref="FVY154:FWA154"/>
    <mergeCell ref="FTT154:FTV154"/>
    <mergeCell ref="FTW154:FTY154"/>
    <mergeCell ref="FUF154:FUH154"/>
    <mergeCell ref="FUI154:FUK154"/>
    <mergeCell ref="FUL154:FUN154"/>
    <mergeCell ref="FUU154:FUW154"/>
    <mergeCell ref="FSP154:FSR154"/>
    <mergeCell ref="FSS154:FSU154"/>
    <mergeCell ref="FTB154:FTD154"/>
    <mergeCell ref="FTE154:FTG154"/>
    <mergeCell ref="FTH154:FTJ154"/>
    <mergeCell ref="FTQ154:FTS154"/>
    <mergeCell ref="FRL154:FRN154"/>
    <mergeCell ref="FRO154:FRQ154"/>
    <mergeCell ref="FRX154:FRZ154"/>
    <mergeCell ref="FSA154:FSC154"/>
    <mergeCell ref="FSD154:FSF154"/>
    <mergeCell ref="FSM154:FSO154"/>
    <mergeCell ref="FQH154:FQJ154"/>
    <mergeCell ref="FQK154:FQM154"/>
    <mergeCell ref="FQT154:FQV154"/>
    <mergeCell ref="FQW154:FQY154"/>
    <mergeCell ref="FQZ154:FRB154"/>
    <mergeCell ref="FRI154:FRK154"/>
    <mergeCell ref="FPD154:FPF154"/>
    <mergeCell ref="FPG154:FPI154"/>
    <mergeCell ref="FPP154:FPR154"/>
    <mergeCell ref="FPS154:FPU154"/>
    <mergeCell ref="FPV154:FPX154"/>
    <mergeCell ref="FQE154:FQG154"/>
    <mergeCell ref="FNZ154:FOB154"/>
    <mergeCell ref="FOC154:FOE154"/>
    <mergeCell ref="FOL154:FON154"/>
    <mergeCell ref="FOO154:FOQ154"/>
    <mergeCell ref="FOR154:FOT154"/>
    <mergeCell ref="FPA154:FPC154"/>
    <mergeCell ref="FMV154:FMX154"/>
    <mergeCell ref="FMY154:FNA154"/>
    <mergeCell ref="FNH154:FNJ154"/>
    <mergeCell ref="FNK154:FNM154"/>
    <mergeCell ref="FNN154:FNP154"/>
    <mergeCell ref="FNW154:FNY154"/>
    <mergeCell ref="FLR154:FLT154"/>
    <mergeCell ref="FLU154:FLW154"/>
    <mergeCell ref="FMD154:FMF154"/>
    <mergeCell ref="FMG154:FMI154"/>
    <mergeCell ref="FMJ154:FML154"/>
    <mergeCell ref="FMS154:FMU154"/>
    <mergeCell ref="FKN154:FKP154"/>
    <mergeCell ref="FKQ154:FKS154"/>
    <mergeCell ref="FKZ154:FLB154"/>
    <mergeCell ref="FLC154:FLE154"/>
    <mergeCell ref="FLF154:FLH154"/>
    <mergeCell ref="FLO154:FLQ154"/>
    <mergeCell ref="FJJ154:FJL154"/>
    <mergeCell ref="FJM154:FJO154"/>
    <mergeCell ref="FJV154:FJX154"/>
    <mergeCell ref="FJY154:FKA154"/>
    <mergeCell ref="FKB154:FKD154"/>
    <mergeCell ref="FKK154:FKM154"/>
    <mergeCell ref="FIF154:FIH154"/>
    <mergeCell ref="FII154:FIK154"/>
    <mergeCell ref="FIR154:FIT154"/>
    <mergeCell ref="FIU154:FIW154"/>
    <mergeCell ref="FIX154:FIZ154"/>
    <mergeCell ref="FJG154:FJI154"/>
    <mergeCell ref="FHB154:FHD154"/>
    <mergeCell ref="FHE154:FHG154"/>
    <mergeCell ref="FHN154:FHP154"/>
    <mergeCell ref="FHQ154:FHS154"/>
    <mergeCell ref="FHT154:FHV154"/>
    <mergeCell ref="FIC154:FIE154"/>
    <mergeCell ref="FFX154:FFZ154"/>
    <mergeCell ref="FGA154:FGC154"/>
    <mergeCell ref="FGJ154:FGL154"/>
    <mergeCell ref="FGM154:FGO154"/>
    <mergeCell ref="FGP154:FGR154"/>
    <mergeCell ref="FGY154:FHA154"/>
    <mergeCell ref="FET154:FEV154"/>
    <mergeCell ref="FEW154:FEY154"/>
    <mergeCell ref="FFF154:FFH154"/>
    <mergeCell ref="FFI154:FFK154"/>
    <mergeCell ref="FFL154:FFN154"/>
    <mergeCell ref="FFU154:FFW154"/>
    <mergeCell ref="FDP154:FDR154"/>
    <mergeCell ref="FDS154:FDU154"/>
    <mergeCell ref="FEB154:FED154"/>
    <mergeCell ref="FEE154:FEG154"/>
    <mergeCell ref="FEH154:FEJ154"/>
    <mergeCell ref="FEQ154:FES154"/>
    <mergeCell ref="FCL154:FCN154"/>
    <mergeCell ref="FCO154:FCQ154"/>
    <mergeCell ref="FCX154:FCZ154"/>
    <mergeCell ref="FDA154:FDC154"/>
    <mergeCell ref="FDD154:FDF154"/>
    <mergeCell ref="FDM154:FDO154"/>
    <mergeCell ref="FBH154:FBJ154"/>
    <mergeCell ref="FBK154:FBM154"/>
    <mergeCell ref="FBT154:FBV154"/>
    <mergeCell ref="FBW154:FBY154"/>
    <mergeCell ref="FBZ154:FCB154"/>
    <mergeCell ref="FCI154:FCK154"/>
    <mergeCell ref="FAD154:FAF154"/>
    <mergeCell ref="FAG154:FAI154"/>
    <mergeCell ref="FAP154:FAR154"/>
    <mergeCell ref="FAS154:FAU154"/>
    <mergeCell ref="FAV154:FAX154"/>
    <mergeCell ref="FBE154:FBG154"/>
    <mergeCell ref="EYZ154:EZB154"/>
    <mergeCell ref="EZC154:EZE154"/>
    <mergeCell ref="EZL154:EZN154"/>
    <mergeCell ref="EZO154:EZQ154"/>
    <mergeCell ref="EZR154:EZT154"/>
    <mergeCell ref="FAA154:FAC154"/>
    <mergeCell ref="EXV154:EXX154"/>
    <mergeCell ref="EXY154:EYA154"/>
    <mergeCell ref="EYH154:EYJ154"/>
    <mergeCell ref="EYK154:EYM154"/>
    <mergeCell ref="EYN154:EYP154"/>
    <mergeCell ref="EYW154:EYY154"/>
    <mergeCell ref="EWR154:EWT154"/>
    <mergeCell ref="EWU154:EWW154"/>
    <mergeCell ref="EXD154:EXF154"/>
    <mergeCell ref="EXG154:EXI154"/>
    <mergeCell ref="EXJ154:EXL154"/>
    <mergeCell ref="EXS154:EXU154"/>
    <mergeCell ref="EVN154:EVP154"/>
    <mergeCell ref="EVQ154:EVS154"/>
    <mergeCell ref="EVZ154:EWB154"/>
    <mergeCell ref="EWC154:EWE154"/>
    <mergeCell ref="EWF154:EWH154"/>
    <mergeCell ref="EWO154:EWQ154"/>
    <mergeCell ref="EUJ154:EUL154"/>
    <mergeCell ref="EUM154:EUO154"/>
    <mergeCell ref="EUV154:EUX154"/>
    <mergeCell ref="EUY154:EVA154"/>
    <mergeCell ref="EVB154:EVD154"/>
    <mergeCell ref="EVK154:EVM154"/>
    <mergeCell ref="ETF154:ETH154"/>
    <mergeCell ref="ETI154:ETK154"/>
    <mergeCell ref="ETR154:ETT154"/>
    <mergeCell ref="ETU154:ETW154"/>
    <mergeCell ref="ETX154:ETZ154"/>
    <mergeCell ref="EUG154:EUI154"/>
    <mergeCell ref="ESB154:ESD154"/>
    <mergeCell ref="ESE154:ESG154"/>
    <mergeCell ref="ESN154:ESP154"/>
    <mergeCell ref="ESQ154:ESS154"/>
    <mergeCell ref="EST154:ESV154"/>
    <mergeCell ref="ETC154:ETE154"/>
    <mergeCell ref="EQX154:EQZ154"/>
    <mergeCell ref="ERA154:ERC154"/>
    <mergeCell ref="ERJ154:ERL154"/>
    <mergeCell ref="ERM154:ERO154"/>
    <mergeCell ref="ERP154:ERR154"/>
    <mergeCell ref="ERY154:ESA154"/>
    <mergeCell ref="EPT154:EPV154"/>
    <mergeCell ref="EPW154:EPY154"/>
    <mergeCell ref="EQF154:EQH154"/>
    <mergeCell ref="EQI154:EQK154"/>
    <mergeCell ref="EQL154:EQN154"/>
    <mergeCell ref="EQU154:EQW154"/>
    <mergeCell ref="EOP154:EOR154"/>
    <mergeCell ref="EOS154:EOU154"/>
    <mergeCell ref="EPB154:EPD154"/>
    <mergeCell ref="EPE154:EPG154"/>
    <mergeCell ref="EPH154:EPJ154"/>
    <mergeCell ref="EPQ154:EPS154"/>
    <mergeCell ref="ENL154:ENN154"/>
    <mergeCell ref="ENO154:ENQ154"/>
    <mergeCell ref="ENX154:ENZ154"/>
    <mergeCell ref="EOA154:EOC154"/>
    <mergeCell ref="EOD154:EOF154"/>
    <mergeCell ref="EOM154:EOO154"/>
    <mergeCell ref="EMH154:EMJ154"/>
    <mergeCell ref="EMK154:EMM154"/>
    <mergeCell ref="EMT154:EMV154"/>
    <mergeCell ref="EMW154:EMY154"/>
    <mergeCell ref="EMZ154:ENB154"/>
    <mergeCell ref="ENI154:ENK154"/>
    <mergeCell ref="ELD154:ELF154"/>
    <mergeCell ref="ELG154:ELI154"/>
    <mergeCell ref="ELP154:ELR154"/>
    <mergeCell ref="ELS154:ELU154"/>
    <mergeCell ref="ELV154:ELX154"/>
    <mergeCell ref="EME154:EMG154"/>
    <mergeCell ref="EJZ154:EKB154"/>
    <mergeCell ref="EKC154:EKE154"/>
    <mergeCell ref="EKL154:EKN154"/>
    <mergeCell ref="EKO154:EKQ154"/>
    <mergeCell ref="EKR154:EKT154"/>
    <mergeCell ref="ELA154:ELC154"/>
    <mergeCell ref="EIV154:EIX154"/>
    <mergeCell ref="EIY154:EJA154"/>
    <mergeCell ref="EJH154:EJJ154"/>
    <mergeCell ref="EJK154:EJM154"/>
    <mergeCell ref="EJN154:EJP154"/>
    <mergeCell ref="EJW154:EJY154"/>
    <mergeCell ref="EHR154:EHT154"/>
    <mergeCell ref="EHU154:EHW154"/>
    <mergeCell ref="EID154:EIF154"/>
    <mergeCell ref="EIG154:EII154"/>
    <mergeCell ref="EIJ154:EIL154"/>
    <mergeCell ref="EIS154:EIU154"/>
    <mergeCell ref="EGN154:EGP154"/>
    <mergeCell ref="EGQ154:EGS154"/>
    <mergeCell ref="EGZ154:EHB154"/>
    <mergeCell ref="EHC154:EHE154"/>
    <mergeCell ref="EHF154:EHH154"/>
    <mergeCell ref="EHO154:EHQ154"/>
    <mergeCell ref="EFJ154:EFL154"/>
    <mergeCell ref="EFM154:EFO154"/>
    <mergeCell ref="EFV154:EFX154"/>
    <mergeCell ref="EFY154:EGA154"/>
    <mergeCell ref="EGB154:EGD154"/>
    <mergeCell ref="EGK154:EGM154"/>
    <mergeCell ref="EEF154:EEH154"/>
    <mergeCell ref="EEI154:EEK154"/>
    <mergeCell ref="EER154:EET154"/>
    <mergeCell ref="EEU154:EEW154"/>
    <mergeCell ref="EEX154:EEZ154"/>
    <mergeCell ref="EFG154:EFI154"/>
    <mergeCell ref="EDB154:EDD154"/>
    <mergeCell ref="EDE154:EDG154"/>
    <mergeCell ref="EDN154:EDP154"/>
    <mergeCell ref="EDQ154:EDS154"/>
    <mergeCell ref="EDT154:EDV154"/>
    <mergeCell ref="EEC154:EEE154"/>
    <mergeCell ref="EBX154:EBZ154"/>
    <mergeCell ref="ECA154:ECC154"/>
    <mergeCell ref="ECJ154:ECL154"/>
    <mergeCell ref="ECM154:ECO154"/>
    <mergeCell ref="ECP154:ECR154"/>
    <mergeCell ref="ECY154:EDA154"/>
    <mergeCell ref="EAT154:EAV154"/>
    <mergeCell ref="EAW154:EAY154"/>
    <mergeCell ref="EBF154:EBH154"/>
    <mergeCell ref="EBI154:EBK154"/>
    <mergeCell ref="EBL154:EBN154"/>
    <mergeCell ref="EBU154:EBW154"/>
    <mergeCell ref="DZP154:DZR154"/>
    <mergeCell ref="DZS154:DZU154"/>
    <mergeCell ref="EAB154:EAD154"/>
    <mergeCell ref="EAE154:EAG154"/>
    <mergeCell ref="EAH154:EAJ154"/>
    <mergeCell ref="EAQ154:EAS154"/>
    <mergeCell ref="DYL154:DYN154"/>
    <mergeCell ref="DYO154:DYQ154"/>
    <mergeCell ref="DYX154:DYZ154"/>
    <mergeCell ref="DZA154:DZC154"/>
    <mergeCell ref="DZD154:DZF154"/>
    <mergeCell ref="DZM154:DZO154"/>
    <mergeCell ref="DXH154:DXJ154"/>
    <mergeCell ref="DXK154:DXM154"/>
    <mergeCell ref="DXT154:DXV154"/>
    <mergeCell ref="DXW154:DXY154"/>
    <mergeCell ref="DXZ154:DYB154"/>
    <mergeCell ref="DYI154:DYK154"/>
    <mergeCell ref="DWD154:DWF154"/>
    <mergeCell ref="DWG154:DWI154"/>
    <mergeCell ref="DWP154:DWR154"/>
    <mergeCell ref="DWS154:DWU154"/>
    <mergeCell ref="DWV154:DWX154"/>
    <mergeCell ref="DXE154:DXG154"/>
    <mergeCell ref="DUZ154:DVB154"/>
    <mergeCell ref="DVC154:DVE154"/>
    <mergeCell ref="DVL154:DVN154"/>
    <mergeCell ref="DVO154:DVQ154"/>
    <mergeCell ref="DVR154:DVT154"/>
    <mergeCell ref="DWA154:DWC154"/>
    <mergeCell ref="DTV154:DTX154"/>
    <mergeCell ref="DTY154:DUA154"/>
    <mergeCell ref="DUH154:DUJ154"/>
    <mergeCell ref="DUK154:DUM154"/>
    <mergeCell ref="DUN154:DUP154"/>
    <mergeCell ref="DUW154:DUY154"/>
    <mergeCell ref="DSR154:DST154"/>
    <mergeCell ref="DSU154:DSW154"/>
    <mergeCell ref="DTD154:DTF154"/>
    <mergeCell ref="DTG154:DTI154"/>
    <mergeCell ref="DTJ154:DTL154"/>
    <mergeCell ref="DTS154:DTU154"/>
    <mergeCell ref="DRN154:DRP154"/>
    <mergeCell ref="DRQ154:DRS154"/>
    <mergeCell ref="DRZ154:DSB154"/>
    <mergeCell ref="DSC154:DSE154"/>
    <mergeCell ref="DSF154:DSH154"/>
    <mergeCell ref="DSO154:DSQ154"/>
    <mergeCell ref="DQJ154:DQL154"/>
    <mergeCell ref="DQM154:DQO154"/>
    <mergeCell ref="DQV154:DQX154"/>
    <mergeCell ref="DQY154:DRA154"/>
    <mergeCell ref="DRB154:DRD154"/>
    <mergeCell ref="DRK154:DRM154"/>
    <mergeCell ref="DPF154:DPH154"/>
    <mergeCell ref="DPI154:DPK154"/>
    <mergeCell ref="DPR154:DPT154"/>
    <mergeCell ref="DPU154:DPW154"/>
    <mergeCell ref="DPX154:DPZ154"/>
    <mergeCell ref="DQG154:DQI154"/>
    <mergeCell ref="DOB154:DOD154"/>
    <mergeCell ref="DOE154:DOG154"/>
    <mergeCell ref="DON154:DOP154"/>
    <mergeCell ref="DOQ154:DOS154"/>
    <mergeCell ref="DOT154:DOV154"/>
    <mergeCell ref="DPC154:DPE154"/>
    <mergeCell ref="DMX154:DMZ154"/>
    <mergeCell ref="DNA154:DNC154"/>
    <mergeCell ref="DNJ154:DNL154"/>
    <mergeCell ref="DNM154:DNO154"/>
    <mergeCell ref="DNP154:DNR154"/>
    <mergeCell ref="DNY154:DOA154"/>
    <mergeCell ref="DLT154:DLV154"/>
    <mergeCell ref="DLW154:DLY154"/>
    <mergeCell ref="DMF154:DMH154"/>
    <mergeCell ref="DMI154:DMK154"/>
    <mergeCell ref="DML154:DMN154"/>
    <mergeCell ref="DMU154:DMW154"/>
    <mergeCell ref="DKP154:DKR154"/>
    <mergeCell ref="DKS154:DKU154"/>
    <mergeCell ref="DLB154:DLD154"/>
    <mergeCell ref="DLE154:DLG154"/>
    <mergeCell ref="DLH154:DLJ154"/>
    <mergeCell ref="DLQ154:DLS154"/>
    <mergeCell ref="DJL154:DJN154"/>
    <mergeCell ref="DJO154:DJQ154"/>
    <mergeCell ref="DJX154:DJZ154"/>
    <mergeCell ref="DKA154:DKC154"/>
    <mergeCell ref="DKD154:DKF154"/>
    <mergeCell ref="DKM154:DKO154"/>
    <mergeCell ref="DIH154:DIJ154"/>
    <mergeCell ref="DIK154:DIM154"/>
    <mergeCell ref="DIT154:DIV154"/>
    <mergeCell ref="DIW154:DIY154"/>
    <mergeCell ref="DIZ154:DJB154"/>
    <mergeCell ref="DJI154:DJK154"/>
    <mergeCell ref="DHD154:DHF154"/>
    <mergeCell ref="DHG154:DHI154"/>
    <mergeCell ref="DHP154:DHR154"/>
    <mergeCell ref="DHS154:DHU154"/>
    <mergeCell ref="DHV154:DHX154"/>
    <mergeCell ref="DIE154:DIG154"/>
    <mergeCell ref="DFZ154:DGB154"/>
    <mergeCell ref="DGC154:DGE154"/>
    <mergeCell ref="DGL154:DGN154"/>
    <mergeCell ref="DGO154:DGQ154"/>
    <mergeCell ref="DGR154:DGT154"/>
    <mergeCell ref="DHA154:DHC154"/>
    <mergeCell ref="DEV154:DEX154"/>
    <mergeCell ref="DEY154:DFA154"/>
    <mergeCell ref="DFH154:DFJ154"/>
    <mergeCell ref="DFK154:DFM154"/>
    <mergeCell ref="DFN154:DFP154"/>
    <mergeCell ref="DFW154:DFY154"/>
    <mergeCell ref="DDR154:DDT154"/>
    <mergeCell ref="DDU154:DDW154"/>
    <mergeCell ref="DED154:DEF154"/>
    <mergeCell ref="DEG154:DEI154"/>
    <mergeCell ref="DEJ154:DEL154"/>
    <mergeCell ref="DES154:DEU154"/>
    <mergeCell ref="DCN154:DCP154"/>
    <mergeCell ref="DCQ154:DCS154"/>
    <mergeCell ref="DCZ154:DDB154"/>
    <mergeCell ref="DDC154:DDE154"/>
    <mergeCell ref="DDF154:DDH154"/>
    <mergeCell ref="DDO154:DDQ154"/>
    <mergeCell ref="DBJ154:DBL154"/>
    <mergeCell ref="DBM154:DBO154"/>
    <mergeCell ref="DBV154:DBX154"/>
    <mergeCell ref="DBY154:DCA154"/>
    <mergeCell ref="DCB154:DCD154"/>
    <mergeCell ref="DCK154:DCM154"/>
    <mergeCell ref="DAF154:DAH154"/>
    <mergeCell ref="DAI154:DAK154"/>
    <mergeCell ref="DAR154:DAT154"/>
    <mergeCell ref="DAU154:DAW154"/>
    <mergeCell ref="DAX154:DAZ154"/>
    <mergeCell ref="DBG154:DBI154"/>
    <mergeCell ref="CZB154:CZD154"/>
    <mergeCell ref="CZE154:CZG154"/>
    <mergeCell ref="CZN154:CZP154"/>
    <mergeCell ref="CZQ154:CZS154"/>
    <mergeCell ref="CZT154:CZV154"/>
    <mergeCell ref="DAC154:DAE154"/>
    <mergeCell ref="CXX154:CXZ154"/>
    <mergeCell ref="CYA154:CYC154"/>
    <mergeCell ref="CYJ154:CYL154"/>
    <mergeCell ref="CYM154:CYO154"/>
    <mergeCell ref="CYP154:CYR154"/>
    <mergeCell ref="CYY154:CZA154"/>
    <mergeCell ref="CWT154:CWV154"/>
    <mergeCell ref="CWW154:CWY154"/>
    <mergeCell ref="CXF154:CXH154"/>
    <mergeCell ref="CXI154:CXK154"/>
    <mergeCell ref="CXL154:CXN154"/>
    <mergeCell ref="CXU154:CXW154"/>
    <mergeCell ref="CVP154:CVR154"/>
    <mergeCell ref="CVS154:CVU154"/>
    <mergeCell ref="CWB154:CWD154"/>
    <mergeCell ref="CWE154:CWG154"/>
    <mergeCell ref="CWH154:CWJ154"/>
    <mergeCell ref="CWQ154:CWS154"/>
    <mergeCell ref="CUL154:CUN154"/>
    <mergeCell ref="CUO154:CUQ154"/>
    <mergeCell ref="CUX154:CUZ154"/>
    <mergeCell ref="CVA154:CVC154"/>
    <mergeCell ref="CVD154:CVF154"/>
    <mergeCell ref="CVM154:CVO154"/>
    <mergeCell ref="CTH154:CTJ154"/>
    <mergeCell ref="CTK154:CTM154"/>
    <mergeCell ref="CTT154:CTV154"/>
    <mergeCell ref="CTW154:CTY154"/>
    <mergeCell ref="CTZ154:CUB154"/>
    <mergeCell ref="CUI154:CUK154"/>
    <mergeCell ref="CSD154:CSF154"/>
    <mergeCell ref="CSG154:CSI154"/>
    <mergeCell ref="CSP154:CSR154"/>
    <mergeCell ref="CSS154:CSU154"/>
    <mergeCell ref="CSV154:CSX154"/>
    <mergeCell ref="CTE154:CTG154"/>
    <mergeCell ref="CQZ154:CRB154"/>
    <mergeCell ref="CRC154:CRE154"/>
    <mergeCell ref="CRL154:CRN154"/>
    <mergeCell ref="CRO154:CRQ154"/>
    <mergeCell ref="CRR154:CRT154"/>
    <mergeCell ref="CSA154:CSC154"/>
    <mergeCell ref="CPV154:CPX154"/>
    <mergeCell ref="CPY154:CQA154"/>
    <mergeCell ref="CQH154:CQJ154"/>
    <mergeCell ref="CQK154:CQM154"/>
    <mergeCell ref="CQN154:CQP154"/>
    <mergeCell ref="CQW154:CQY154"/>
    <mergeCell ref="COR154:COT154"/>
    <mergeCell ref="COU154:COW154"/>
    <mergeCell ref="CPD154:CPF154"/>
    <mergeCell ref="CPG154:CPI154"/>
    <mergeCell ref="CPJ154:CPL154"/>
    <mergeCell ref="CPS154:CPU154"/>
    <mergeCell ref="CNN154:CNP154"/>
    <mergeCell ref="CNQ154:CNS154"/>
    <mergeCell ref="CNZ154:COB154"/>
    <mergeCell ref="COC154:COE154"/>
    <mergeCell ref="COF154:COH154"/>
    <mergeCell ref="COO154:COQ154"/>
    <mergeCell ref="CMJ154:CML154"/>
    <mergeCell ref="CMM154:CMO154"/>
    <mergeCell ref="CMV154:CMX154"/>
    <mergeCell ref="CMY154:CNA154"/>
    <mergeCell ref="CNB154:CND154"/>
    <mergeCell ref="CNK154:CNM154"/>
    <mergeCell ref="CLF154:CLH154"/>
    <mergeCell ref="CLI154:CLK154"/>
    <mergeCell ref="CLR154:CLT154"/>
    <mergeCell ref="CLU154:CLW154"/>
    <mergeCell ref="CLX154:CLZ154"/>
    <mergeCell ref="CMG154:CMI154"/>
    <mergeCell ref="CKB154:CKD154"/>
    <mergeCell ref="CKE154:CKG154"/>
    <mergeCell ref="CKN154:CKP154"/>
    <mergeCell ref="CKQ154:CKS154"/>
    <mergeCell ref="CKT154:CKV154"/>
    <mergeCell ref="CLC154:CLE154"/>
    <mergeCell ref="CIX154:CIZ154"/>
    <mergeCell ref="CJA154:CJC154"/>
    <mergeCell ref="CJJ154:CJL154"/>
    <mergeCell ref="CJM154:CJO154"/>
    <mergeCell ref="CJP154:CJR154"/>
    <mergeCell ref="CJY154:CKA154"/>
    <mergeCell ref="CHT154:CHV154"/>
    <mergeCell ref="CHW154:CHY154"/>
    <mergeCell ref="CIF154:CIH154"/>
    <mergeCell ref="CII154:CIK154"/>
    <mergeCell ref="CIL154:CIN154"/>
    <mergeCell ref="CIU154:CIW154"/>
    <mergeCell ref="CGP154:CGR154"/>
    <mergeCell ref="CGS154:CGU154"/>
    <mergeCell ref="CHB154:CHD154"/>
    <mergeCell ref="CHE154:CHG154"/>
    <mergeCell ref="CHH154:CHJ154"/>
    <mergeCell ref="CHQ154:CHS154"/>
    <mergeCell ref="CFL154:CFN154"/>
    <mergeCell ref="CFO154:CFQ154"/>
    <mergeCell ref="CFX154:CFZ154"/>
    <mergeCell ref="CGA154:CGC154"/>
    <mergeCell ref="CGD154:CGF154"/>
    <mergeCell ref="CGM154:CGO154"/>
    <mergeCell ref="CEH154:CEJ154"/>
    <mergeCell ref="CEK154:CEM154"/>
    <mergeCell ref="CET154:CEV154"/>
    <mergeCell ref="CEW154:CEY154"/>
    <mergeCell ref="CEZ154:CFB154"/>
    <mergeCell ref="CFI154:CFK154"/>
    <mergeCell ref="CDD154:CDF154"/>
    <mergeCell ref="CDG154:CDI154"/>
    <mergeCell ref="CDP154:CDR154"/>
    <mergeCell ref="CDS154:CDU154"/>
    <mergeCell ref="CDV154:CDX154"/>
    <mergeCell ref="CEE154:CEG154"/>
    <mergeCell ref="CBZ154:CCB154"/>
    <mergeCell ref="CCC154:CCE154"/>
    <mergeCell ref="CCL154:CCN154"/>
    <mergeCell ref="CCO154:CCQ154"/>
    <mergeCell ref="CCR154:CCT154"/>
    <mergeCell ref="CDA154:CDC154"/>
    <mergeCell ref="CAV154:CAX154"/>
    <mergeCell ref="CAY154:CBA154"/>
    <mergeCell ref="CBH154:CBJ154"/>
    <mergeCell ref="CBK154:CBM154"/>
    <mergeCell ref="CBN154:CBP154"/>
    <mergeCell ref="CBW154:CBY154"/>
    <mergeCell ref="BZR154:BZT154"/>
    <mergeCell ref="BZU154:BZW154"/>
    <mergeCell ref="CAD154:CAF154"/>
    <mergeCell ref="CAG154:CAI154"/>
    <mergeCell ref="CAJ154:CAL154"/>
    <mergeCell ref="CAS154:CAU154"/>
    <mergeCell ref="BYN154:BYP154"/>
    <mergeCell ref="BYQ154:BYS154"/>
    <mergeCell ref="BYZ154:BZB154"/>
    <mergeCell ref="BZC154:BZE154"/>
    <mergeCell ref="BZF154:BZH154"/>
    <mergeCell ref="BZO154:BZQ154"/>
    <mergeCell ref="BXJ154:BXL154"/>
    <mergeCell ref="BXM154:BXO154"/>
    <mergeCell ref="BXV154:BXX154"/>
    <mergeCell ref="BXY154:BYA154"/>
    <mergeCell ref="BYB154:BYD154"/>
    <mergeCell ref="BYK154:BYM154"/>
    <mergeCell ref="BWF154:BWH154"/>
    <mergeCell ref="BWI154:BWK154"/>
    <mergeCell ref="BWR154:BWT154"/>
    <mergeCell ref="BWU154:BWW154"/>
    <mergeCell ref="BWX154:BWZ154"/>
    <mergeCell ref="BXG154:BXI154"/>
    <mergeCell ref="BVB154:BVD154"/>
    <mergeCell ref="BVE154:BVG154"/>
    <mergeCell ref="BVN154:BVP154"/>
    <mergeCell ref="BVQ154:BVS154"/>
    <mergeCell ref="BVT154:BVV154"/>
    <mergeCell ref="BWC154:BWE154"/>
    <mergeCell ref="BTX154:BTZ154"/>
    <mergeCell ref="BUA154:BUC154"/>
    <mergeCell ref="BUJ154:BUL154"/>
    <mergeCell ref="BUM154:BUO154"/>
    <mergeCell ref="BUP154:BUR154"/>
    <mergeCell ref="BUY154:BVA154"/>
    <mergeCell ref="BST154:BSV154"/>
    <mergeCell ref="BSW154:BSY154"/>
    <mergeCell ref="BTF154:BTH154"/>
    <mergeCell ref="BTI154:BTK154"/>
    <mergeCell ref="BTL154:BTN154"/>
    <mergeCell ref="BTU154:BTW154"/>
    <mergeCell ref="BRP154:BRR154"/>
    <mergeCell ref="BRS154:BRU154"/>
    <mergeCell ref="BSB154:BSD154"/>
    <mergeCell ref="BSE154:BSG154"/>
    <mergeCell ref="BSH154:BSJ154"/>
    <mergeCell ref="BSQ154:BSS154"/>
    <mergeCell ref="BQL154:BQN154"/>
    <mergeCell ref="BQO154:BQQ154"/>
    <mergeCell ref="BQX154:BQZ154"/>
    <mergeCell ref="BRA154:BRC154"/>
    <mergeCell ref="BRD154:BRF154"/>
    <mergeCell ref="BRM154:BRO154"/>
    <mergeCell ref="BPH154:BPJ154"/>
    <mergeCell ref="BPK154:BPM154"/>
    <mergeCell ref="BPT154:BPV154"/>
    <mergeCell ref="BPW154:BPY154"/>
    <mergeCell ref="BPZ154:BQB154"/>
    <mergeCell ref="BQI154:BQK154"/>
    <mergeCell ref="BOD154:BOF154"/>
    <mergeCell ref="BOG154:BOI154"/>
    <mergeCell ref="BOP154:BOR154"/>
    <mergeCell ref="BOS154:BOU154"/>
    <mergeCell ref="BOV154:BOX154"/>
    <mergeCell ref="BPE154:BPG154"/>
    <mergeCell ref="BMZ154:BNB154"/>
    <mergeCell ref="BNC154:BNE154"/>
    <mergeCell ref="BNL154:BNN154"/>
    <mergeCell ref="BNO154:BNQ154"/>
    <mergeCell ref="BNR154:BNT154"/>
    <mergeCell ref="BOA154:BOC154"/>
    <mergeCell ref="BLV154:BLX154"/>
    <mergeCell ref="BLY154:BMA154"/>
    <mergeCell ref="BMH154:BMJ154"/>
    <mergeCell ref="BMK154:BMM154"/>
    <mergeCell ref="BMN154:BMP154"/>
    <mergeCell ref="BMW154:BMY154"/>
    <mergeCell ref="BKR154:BKT154"/>
    <mergeCell ref="BKU154:BKW154"/>
    <mergeCell ref="BLD154:BLF154"/>
    <mergeCell ref="BLG154:BLI154"/>
    <mergeCell ref="BLJ154:BLL154"/>
    <mergeCell ref="BLS154:BLU154"/>
    <mergeCell ref="BJN154:BJP154"/>
    <mergeCell ref="BJQ154:BJS154"/>
    <mergeCell ref="BJZ154:BKB154"/>
    <mergeCell ref="BKC154:BKE154"/>
    <mergeCell ref="BKF154:BKH154"/>
    <mergeCell ref="BKO154:BKQ154"/>
    <mergeCell ref="BIJ154:BIL154"/>
    <mergeCell ref="BIM154:BIO154"/>
    <mergeCell ref="BIV154:BIX154"/>
    <mergeCell ref="BIY154:BJA154"/>
    <mergeCell ref="BJB154:BJD154"/>
    <mergeCell ref="BJK154:BJM154"/>
    <mergeCell ref="BHF154:BHH154"/>
    <mergeCell ref="BHI154:BHK154"/>
    <mergeCell ref="BHR154:BHT154"/>
    <mergeCell ref="BHU154:BHW154"/>
    <mergeCell ref="BHX154:BHZ154"/>
    <mergeCell ref="BIG154:BII154"/>
    <mergeCell ref="BGB154:BGD154"/>
    <mergeCell ref="BGE154:BGG154"/>
    <mergeCell ref="BGN154:BGP154"/>
    <mergeCell ref="BGQ154:BGS154"/>
    <mergeCell ref="BGT154:BGV154"/>
    <mergeCell ref="BHC154:BHE154"/>
    <mergeCell ref="BEX154:BEZ154"/>
    <mergeCell ref="BFA154:BFC154"/>
    <mergeCell ref="BFJ154:BFL154"/>
    <mergeCell ref="BFM154:BFO154"/>
    <mergeCell ref="BFP154:BFR154"/>
    <mergeCell ref="BFY154:BGA154"/>
    <mergeCell ref="BDT154:BDV154"/>
    <mergeCell ref="BDW154:BDY154"/>
    <mergeCell ref="BEF154:BEH154"/>
    <mergeCell ref="BEI154:BEK154"/>
    <mergeCell ref="BEL154:BEN154"/>
    <mergeCell ref="BEU154:BEW154"/>
    <mergeCell ref="BCP154:BCR154"/>
    <mergeCell ref="BCS154:BCU154"/>
    <mergeCell ref="BDB154:BDD154"/>
    <mergeCell ref="BDE154:BDG154"/>
    <mergeCell ref="BDH154:BDJ154"/>
    <mergeCell ref="BDQ154:BDS154"/>
    <mergeCell ref="BBL154:BBN154"/>
    <mergeCell ref="BBO154:BBQ154"/>
    <mergeCell ref="BBX154:BBZ154"/>
    <mergeCell ref="BCA154:BCC154"/>
    <mergeCell ref="BCD154:BCF154"/>
    <mergeCell ref="BCM154:BCO154"/>
    <mergeCell ref="BAH154:BAJ154"/>
    <mergeCell ref="BAK154:BAM154"/>
    <mergeCell ref="BAT154:BAV154"/>
    <mergeCell ref="BAW154:BAY154"/>
    <mergeCell ref="BAZ154:BBB154"/>
    <mergeCell ref="BBI154:BBK154"/>
    <mergeCell ref="AZD154:AZF154"/>
    <mergeCell ref="AZG154:AZI154"/>
    <mergeCell ref="AZP154:AZR154"/>
    <mergeCell ref="AZS154:AZU154"/>
    <mergeCell ref="AZV154:AZX154"/>
    <mergeCell ref="BAE154:BAG154"/>
    <mergeCell ref="AXZ154:AYB154"/>
    <mergeCell ref="AYC154:AYE154"/>
    <mergeCell ref="AYL154:AYN154"/>
    <mergeCell ref="AYO154:AYQ154"/>
    <mergeCell ref="AYR154:AYT154"/>
    <mergeCell ref="AZA154:AZC154"/>
    <mergeCell ref="AWV154:AWX154"/>
    <mergeCell ref="AWY154:AXA154"/>
    <mergeCell ref="AXH154:AXJ154"/>
    <mergeCell ref="AXK154:AXM154"/>
    <mergeCell ref="AXN154:AXP154"/>
    <mergeCell ref="AXW154:AXY154"/>
    <mergeCell ref="AVR154:AVT154"/>
    <mergeCell ref="AVU154:AVW154"/>
    <mergeCell ref="AWD154:AWF154"/>
    <mergeCell ref="AWG154:AWI154"/>
    <mergeCell ref="AWJ154:AWL154"/>
    <mergeCell ref="AWS154:AWU154"/>
    <mergeCell ref="AUN154:AUP154"/>
    <mergeCell ref="AUQ154:AUS154"/>
    <mergeCell ref="AUZ154:AVB154"/>
    <mergeCell ref="AVC154:AVE154"/>
    <mergeCell ref="AVF154:AVH154"/>
    <mergeCell ref="AVO154:AVQ154"/>
    <mergeCell ref="ATJ154:ATL154"/>
    <mergeCell ref="ATM154:ATO154"/>
    <mergeCell ref="ATV154:ATX154"/>
    <mergeCell ref="ATY154:AUA154"/>
    <mergeCell ref="AUB154:AUD154"/>
    <mergeCell ref="AUK154:AUM154"/>
    <mergeCell ref="ASF154:ASH154"/>
    <mergeCell ref="ASI154:ASK154"/>
    <mergeCell ref="ASR154:AST154"/>
    <mergeCell ref="ASU154:ASW154"/>
    <mergeCell ref="ASX154:ASZ154"/>
    <mergeCell ref="ATG154:ATI154"/>
    <mergeCell ref="ARB154:ARD154"/>
    <mergeCell ref="ARE154:ARG154"/>
    <mergeCell ref="ARN154:ARP154"/>
    <mergeCell ref="ARQ154:ARS154"/>
    <mergeCell ref="ART154:ARV154"/>
    <mergeCell ref="ASC154:ASE154"/>
    <mergeCell ref="APX154:APZ154"/>
    <mergeCell ref="AQA154:AQC154"/>
    <mergeCell ref="AQJ154:AQL154"/>
    <mergeCell ref="AQM154:AQO154"/>
    <mergeCell ref="AQP154:AQR154"/>
    <mergeCell ref="AQY154:ARA154"/>
    <mergeCell ref="AOT154:AOV154"/>
    <mergeCell ref="AOW154:AOY154"/>
    <mergeCell ref="APF154:APH154"/>
    <mergeCell ref="API154:APK154"/>
    <mergeCell ref="APL154:APN154"/>
    <mergeCell ref="APU154:APW154"/>
    <mergeCell ref="ANP154:ANR154"/>
    <mergeCell ref="ANS154:ANU154"/>
    <mergeCell ref="AOB154:AOD154"/>
    <mergeCell ref="AOE154:AOG154"/>
    <mergeCell ref="AOH154:AOJ154"/>
    <mergeCell ref="AOQ154:AOS154"/>
    <mergeCell ref="AML154:AMN154"/>
    <mergeCell ref="AMO154:AMQ154"/>
    <mergeCell ref="AMX154:AMZ154"/>
    <mergeCell ref="ANA154:ANC154"/>
    <mergeCell ref="AND154:ANF154"/>
    <mergeCell ref="ANM154:ANO154"/>
    <mergeCell ref="ALH154:ALJ154"/>
    <mergeCell ref="ALK154:ALM154"/>
    <mergeCell ref="ALT154:ALV154"/>
    <mergeCell ref="ALW154:ALY154"/>
    <mergeCell ref="ALZ154:AMB154"/>
    <mergeCell ref="AMI154:AMK154"/>
    <mergeCell ref="AKD154:AKF154"/>
    <mergeCell ref="AKG154:AKI154"/>
    <mergeCell ref="AKP154:AKR154"/>
    <mergeCell ref="AKS154:AKU154"/>
    <mergeCell ref="AKV154:AKX154"/>
    <mergeCell ref="ALE154:ALG154"/>
    <mergeCell ref="AIZ154:AJB154"/>
    <mergeCell ref="AJC154:AJE154"/>
    <mergeCell ref="AJL154:AJN154"/>
    <mergeCell ref="AJO154:AJQ154"/>
    <mergeCell ref="AJR154:AJT154"/>
    <mergeCell ref="AKA154:AKC154"/>
    <mergeCell ref="AHV154:AHX154"/>
    <mergeCell ref="AHY154:AIA154"/>
    <mergeCell ref="AIH154:AIJ154"/>
    <mergeCell ref="AIK154:AIM154"/>
    <mergeCell ref="AIN154:AIP154"/>
    <mergeCell ref="AIW154:AIY154"/>
    <mergeCell ref="AGR154:AGT154"/>
    <mergeCell ref="AGU154:AGW154"/>
    <mergeCell ref="AHD154:AHF154"/>
    <mergeCell ref="AHG154:AHI154"/>
    <mergeCell ref="AHJ154:AHL154"/>
    <mergeCell ref="AHS154:AHU154"/>
    <mergeCell ref="AFN154:AFP154"/>
    <mergeCell ref="AFQ154:AFS154"/>
    <mergeCell ref="AFZ154:AGB154"/>
    <mergeCell ref="AGC154:AGE154"/>
    <mergeCell ref="AGF154:AGH154"/>
    <mergeCell ref="AGO154:AGQ154"/>
    <mergeCell ref="AEJ154:AEL154"/>
    <mergeCell ref="AEM154:AEO154"/>
    <mergeCell ref="AEV154:AEX154"/>
    <mergeCell ref="AEY154:AFA154"/>
    <mergeCell ref="AFB154:AFD154"/>
    <mergeCell ref="AFK154:AFM154"/>
    <mergeCell ref="ADF154:ADH154"/>
    <mergeCell ref="ADI154:ADK154"/>
    <mergeCell ref="ADR154:ADT154"/>
    <mergeCell ref="ADU154:ADW154"/>
    <mergeCell ref="ADX154:ADZ154"/>
    <mergeCell ref="AEG154:AEI154"/>
    <mergeCell ref="ACB154:ACD154"/>
    <mergeCell ref="ACE154:ACG154"/>
    <mergeCell ref="ACN154:ACP154"/>
    <mergeCell ref="ACQ154:ACS154"/>
    <mergeCell ref="ACT154:ACV154"/>
    <mergeCell ref="ADC154:ADE154"/>
    <mergeCell ref="AAX154:AAZ154"/>
    <mergeCell ref="ABA154:ABC154"/>
    <mergeCell ref="ABJ154:ABL154"/>
    <mergeCell ref="ABM154:ABO154"/>
    <mergeCell ref="ABP154:ABR154"/>
    <mergeCell ref="ABY154:ACA154"/>
    <mergeCell ref="ZT154:ZV154"/>
    <mergeCell ref="ZW154:ZY154"/>
    <mergeCell ref="AAF154:AAH154"/>
    <mergeCell ref="AAI154:AAK154"/>
    <mergeCell ref="AAL154:AAN154"/>
    <mergeCell ref="AAU154:AAW154"/>
    <mergeCell ref="YP154:YR154"/>
    <mergeCell ref="YS154:YU154"/>
    <mergeCell ref="ZB154:ZD154"/>
    <mergeCell ref="ZE154:ZG154"/>
    <mergeCell ref="ZH154:ZJ154"/>
    <mergeCell ref="ZQ154:ZS154"/>
    <mergeCell ref="XL154:XN154"/>
    <mergeCell ref="XO154:XQ154"/>
    <mergeCell ref="XX154:XZ154"/>
    <mergeCell ref="YA154:YC154"/>
    <mergeCell ref="YD154:YF154"/>
    <mergeCell ref="YM154:YO154"/>
    <mergeCell ref="WH154:WJ154"/>
    <mergeCell ref="WK154:WM154"/>
    <mergeCell ref="WT154:WV154"/>
    <mergeCell ref="WW154:WY154"/>
    <mergeCell ref="WZ154:XB154"/>
    <mergeCell ref="XI154:XK154"/>
    <mergeCell ref="VD154:VF154"/>
    <mergeCell ref="VG154:VI154"/>
    <mergeCell ref="VP154:VR154"/>
    <mergeCell ref="VS154:VU154"/>
    <mergeCell ref="VV154:VX154"/>
    <mergeCell ref="WE154:WG154"/>
    <mergeCell ref="TZ154:UB154"/>
    <mergeCell ref="UC154:UE154"/>
    <mergeCell ref="UL154:UN154"/>
    <mergeCell ref="UO154:UQ154"/>
    <mergeCell ref="UR154:UT154"/>
    <mergeCell ref="VA154:VC154"/>
    <mergeCell ref="SV154:SX154"/>
    <mergeCell ref="SY154:TA154"/>
    <mergeCell ref="TH154:TJ154"/>
    <mergeCell ref="TK154:TM154"/>
    <mergeCell ref="TN154:TP154"/>
    <mergeCell ref="TW154:TY154"/>
    <mergeCell ref="RR154:RT154"/>
    <mergeCell ref="RU154:RW154"/>
    <mergeCell ref="SD154:SF154"/>
    <mergeCell ref="SG154:SI154"/>
    <mergeCell ref="SJ154:SL154"/>
    <mergeCell ref="SS154:SU154"/>
    <mergeCell ref="QN154:QP154"/>
    <mergeCell ref="QQ154:QS154"/>
    <mergeCell ref="QZ154:RB154"/>
    <mergeCell ref="RC154:RE154"/>
    <mergeCell ref="RF154:RH154"/>
    <mergeCell ref="RO154:RQ154"/>
    <mergeCell ref="PJ154:PL154"/>
    <mergeCell ref="PM154:PO154"/>
    <mergeCell ref="PV154:PX154"/>
    <mergeCell ref="PY154:QA154"/>
    <mergeCell ref="QB154:QD154"/>
    <mergeCell ref="QK154:QM154"/>
    <mergeCell ref="OF154:OH154"/>
    <mergeCell ref="OI154:OK154"/>
    <mergeCell ref="OR154:OT154"/>
    <mergeCell ref="OU154:OW154"/>
    <mergeCell ref="OX154:OZ154"/>
    <mergeCell ref="PG154:PI154"/>
    <mergeCell ref="MKD153:MKF153"/>
    <mergeCell ref="C154:E154"/>
    <mergeCell ref="F154:H154"/>
    <mergeCell ref="I154:K154"/>
    <mergeCell ref="NB154:ND154"/>
    <mergeCell ref="NE154:NG154"/>
    <mergeCell ref="NN154:NP154"/>
    <mergeCell ref="NQ154:NS154"/>
    <mergeCell ref="NT154:NV154"/>
    <mergeCell ref="OC154:OE154"/>
    <mergeCell ref="MIZ153:MJB153"/>
    <mergeCell ref="MJC153:MJE153"/>
    <mergeCell ref="MJF153:MJH153"/>
    <mergeCell ref="MJO153:MJQ153"/>
    <mergeCell ref="MJR153:MJT153"/>
    <mergeCell ref="MJU153:MJW153"/>
    <mergeCell ref="MHV153:MHX153"/>
    <mergeCell ref="MHY153:MIA153"/>
    <mergeCell ref="MIB153:MID153"/>
    <mergeCell ref="MIK153:MIM153"/>
    <mergeCell ref="MIN153:MIP153"/>
    <mergeCell ref="MIQ153:MIS153"/>
    <mergeCell ref="MGR153:MGT153"/>
    <mergeCell ref="MGU153:MGW153"/>
    <mergeCell ref="MGX153:MGZ153"/>
    <mergeCell ref="MHG153:MHI153"/>
    <mergeCell ref="MHJ153:MHL153"/>
    <mergeCell ref="MHM153:MHO153"/>
    <mergeCell ref="MFN153:MFP153"/>
    <mergeCell ref="MFQ153:MFS153"/>
    <mergeCell ref="MFT153:MFV153"/>
    <mergeCell ref="MGC153:MGE153"/>
    <mergeCell ref="MGF153:MGH153"/>
    <mergeCell ref="MGI153:MGK153"/>
    <mergeCell ref="MEJ153:MEL153"/>
    <mergeCell ref="MEM153:MEO153"/>
    <mergeCell ref="MEP153:MER153"/>
    <mergeCell ref="MEY153:MFA153"/>
    <mergeCell ref="MFB153:MFD153"/>
    <mergeCell ref="MFE153:MFG153"/>
    <mergeCell ref="MDF153:MDH153"/>
    <mergeCell ref="MDI153:MDK153"/>
    <mergeCell ref="MDL153:MDN153"/>
    <mergeCell ref="MDU153:MDW153"/>
    <mergeCell ref="MDX153:MDZ153"/>
    <mergeCell ref="MEA153:MEC153"/>
    <mergeCell ref="MCB153:MCD153"/>
    <mergeCell ref="MCE153:MCG153"/>
    <mergeCell ref="MCH153:MCJ153"/>
    <mergeCell ref="MCQ153:MCS153"/>
    <mergeCell ref="MCT153:MCV153"/>
    <mergeCell ref="MCW153:MCY153"/>
    <mergeCell ref="MAX153:MAZ153"/>
    <mergeCell ref="MBA153:MBC153"/>
    <mergeCell ref="MBD153:MBF153"/>
    <mergeCell ref="MBM153:MBO153"/>
    <mergeCell ref="MBP153:MBR153"/>
    <mergeCell ref="MBS153:MBU153"/>
    <mergeCell ref="LZT153:LZV153"/>
    <mergeCell ref="LZW153:LZY153"/>
    <mergeCell ref="LZZ153:MAB153"/>
    <mergeCell ref="MAI153:MAK153"/>
    <mergeCell ref="MAL153:MAN153"/>
    <mergeCell ref="MAO153:MAQ153"/>
    <mergeCell ref="LYP153:LYR153"/>
    <mergeCell ref="LYS153:LYU153"/>
    <mergeCell ref="LYV153:LYX153"/>
    <mergeCell ref="LZE153:LZG153"/>
    <mergeCell ref="LZH153:LZJ153"/>
    <mergeCell ref="LZK153:LZM153"/>
    <mergeCell ref="LXL153:LXN153"/>
    <mergeCell ref="LXO153:LXQ153"/>
    <mergeCell ref="LXR153:LXT153"/>
    <mergeCell ref="LYA153:LYC153"/>
    <mergeCell ref="LYD153:LYF153"/>
    <mergeCell ref="LYG153:LYI153"/>
    <mergeCell ref="LWH153:LWJ153"/>
    <mergeCell ref="LWK153:LWM153"/>
    <mergeCell ref="LWN153:LWP153"/>
    <mergeCell ref="LWW153:LWY153"/>
    <mergeCell ref="LWZ153:LXB153"/>
    <mergeCell ref="LXC153:LXE153"/>
    <mergeCell ref="LVD153:LVF153"/>
    <mergeCell ref="LVG153:LVI153"/>
    <mergeCell ref="LVJ153:LVL153"/>
    <mergeCell ref="LVS153:LVU153"/>
    <mergeCell ref="LVV153:LVX153"/>
    <mergeCell ref="LVY153:LWA153"/>
    <mergeCell ref="LTZ153:LUB153"/>
    <mergeCell ref="LUC153:LUE153"/>
    <mergeCell ref="LUF153:LUH153"/>
    <mergeCell ref="LUO153:LUQ153"/>
    <mergeCell ref="LUR153:LUT153"/>
    <mergeCell ref="LUU153:LUW153"/>
    <mergeCell ref="LSV153:LSX153"/>
    <mergeCell ref="LSY153:LTA153"/>
    <mergeCell ref="LTB153:LTD153"/>
    <mergeCell ref="LTK153:LTM153"/>
    <mergeCell ref="LTN153:LTP153"/>
    <mergeCell ref="LTQ153:LTS153"/>
    <mergeCell ref="LRR153:LRT153"/>
    <mergeCell ref="LRU153:LRW153"/>
    <mergeCell ref="LRX153:LRZ153"/>
    <mergeCell ref="LSG153:LSI153"/>
    <mergeCell ref="LSJ153:LSL153"/>
    <mergeCell ref="LSM153:LSO153"/>
    <mergeCell ref="LQN153:LQP153"/>
    <mergeCell ref="LQQ153:LQS153"/>
    <mergeCell ref="LQT153:LQV153"/>
    <mergeCell ref="LRC153:LRE153"/>
    <mergeCell ref="LRF153:LRH153"/>
    <mergeCell ref="LRI153:LRK153"/>
    <mergeCell ref="LPJ153:LPL153"/>
    <mergeCell ref="LPM153:LPO153"/>
    <mergeCell ref="LPP153:LPR153"/>
    <mergeCell ref="LPY153:LQA153"/>
    <mergeCell ref="LQB153:LQD153"/>
    <mergeCell ref="LQE153:LQG153"/>
    <mergeCell ref="LOF153:LOH153"/>
    <mergeCell ref="LOI153:LOK153"/>
    <mergeCell ref="LOL153:LON153"/>
    <mergeCell ref="LOU153:LOW153"/>
    <mergeCell ref="LOX153:LOZ153"/>
    <mergeCell ref="LPA153:LPC153"/>
    <mergeCell ref="LNB153:LND153"/>
    <mergeCell ref="LNE153:LNG153"/>
    <mergeCell ref="LNH153:LNJ153"/>
    <mergeCell ref="LNQ153:LNS153"/>
    <mergeCell ref="LNT153:LNV153"/>
    <mergeCell ref="LNW153:LNY153"/>
    <mergeCell ref="LLX153:LLZ153"/>
    <mergeCell ref="LMA153:LMC153"/>
    <mergeCell ref="LMD153:LMF153"/>
    <mergeCell ref="LMM153:LMO153"/>
    <mergeCell ref="LMP153:LMR153"/>
    <mergeCell ref="LMS153:LMU153"/>
    <mergeCell ref="LKT153:LKV153"/>
    <mergeCell ref="LKW153:LKY153"/>
    <mergeCell ref="LKZ153:LLB153"/>
    <mergeCell ref="LLI153:LLK153"/>
    <mergeCell ref="LLL153:LLN153"/>
    <mergeCell ref="LLO153:LLQ153"/>
    <mergeCell ref="LJP153:LJR153"/>
    <mergeCell ref="LJS153:LJU153"/>
    <mergeCell ref="LJV153:LJX153"/>
    <mergeCell ref="LKE153:LKG153"/>
    <mergeCell ref="LKH153:LKJ153"/>
    <mergeCell ref="LKK153:LKM153"/>
    <mergeCell ref="LIL153:LIN153"/>
    <mergeCell ref="LIO153:LIQ153"/>
    <mergeCell ref="LIR153:LIT153"/>
    <mergeCell ref="LJA153:LJC153"/>
    <mergeCell ref="LJD153:LJF153"/>
    <mergeCell ref="LJG153:LJI153"/>
    <mergeCell ref="LHH153:LHJ153"/>
    <mergeCell ref="LHK153:LHM153"/>
    <mergeCell ref="LHN153:LHP153"/>
    <mergeCell ref="LHW153:LHY153"/>
    <mergeCell ref="LHZ153:LIB153"/>
    <mergeCell ref="LIC153:LIE153"/>
    <mergeCell ref="LGD153:LGF153"/>
    <mergeCell ref="LGG153:LGI153"/>
    <mergeCell ref="LGJ153:LGL153"/>
    <mergeCell ref="LGS153:LGU153"/>
    <mergeCell ref="LGV153:LGX153"/>
    <mergeCell ref="LGY153:LHA153"/>
    <mergeCell ref="LEZ153:LFB153"/>
    <mergeCell ref="LFC153:LFE153"/>
    <mergeCell ref="LFF153:LFH153"/>
    <mergeCell ref="LFO153:LFQ153"/>
    <mergeCell ref="LFR153:LFT153"/>
    <mergeCell ref="LFU153:LFW153"/>
    <mergeCell ref="LDV153:LDX153"/>
    <mergeCell ref="LDY153:LEA153"/>
    <mergeCell ref="LEB153:LED153"/>
    <mergeCell ref="LEK153:LEM153"/>
    <mergeCell ref="LEN153:LEP153"/>
    <mergeCell ref="LEQ153:LES153"/>
    <mergeCell ref="LCR153:LCT153"/>
    <mergeCell ref="LCU153:LCW153"/>
    <mergeCell ref="LCX153:LCZ153"/>
    <mergeCell ref="LDG153:LDI153"/>
    <mergeCell ref="LDJ153:LDL153"/>
    <mergeCell ref="LDM153:LDO153"/>
    <mergeCell ref="LBN153:LBP153"/>
    <mergeCell ref="LBQ153:LBS153"/>
    <mergeCell ref="LBT153:LBV153"/>
    <mergeCell ref="LCC153:LCE153"/>
    <mergeCell ref="LCF153:LCH153"/>
    <mergeCell ref="LCI153:LCK153"/>
    <mergeCell ref="LAJ153:LAL153"/>
    <mergeCell ref="LAM153:LAO153"/>
    <mergeCell ref="LAP153:LAR153"/>
    <mergeCell ref="LAY153:LBA153"/>
    <mergeCell ref="LBB153:LBD153"/>
    <mergeCell ref="LBE153:LBG153"/>
    <mergeCell ref="KZF153:KZH153"/>
    <mergeCell ref="KZI153:KZK153"/>
    <mergeCell ref="KZL153:KZN153"/>
    <mergeCell ref="KZU153:KZW153"/>
    <mergeCell ref="KZX153:KZZ153"/>
    <mergeCell ref="LAA153:LAC153"/>
    <mergeCell ref="KYB153:KYD153"/>
    <mergeCell ref="KYE153:KYG153"/>
    <mergeCell ref="KYH153:KYJ153"/>
    <mergeCell ref="KYQ153:KYS153"/>
    <mergeCell ref="KYT153:KYV153"/>
    <mergeCell ref="KYW153:KYY153"/>
    <mergeCell ref="KWX153:KWZ153"/>
    <mergeCell ref="KXA153:KXC153"/>
    <mergeCell ref="KXD153:KXF153"/>
    <mergeCell ref="KXM153:KXO153"/>
    <mergeCell ref="KXP153:KXR153"/>
    <mergeCell ref="KXS153:KXU153"/>
    <mergeCell ref="KVT153:KVV153"/>
    <mergeCell ref="KVW153:KVY153"/>
    <mergeCell ref="KVZ153:KWB153"/>
    <mergeCell ref="KWI153:KWK153"/>
    <mergeCell ref="KWL153:KWN153"/>
    <mergeCell ref="KWO153:KWQ153"/>
    <mergeCell ref="KUP153:KUR153"/>
    <mergeCell ref="KUS153:KUU153"/>
    <mergeCell ref="KUV153:KUX153"/>
    <mergeCell ref="KVE153:KVG153"/>
    <mergeCell ref="KVH153:KVJ153"/>
    <mergeCell ref="KVK153:KVM153"/>
    <mergeCell ref="KTL153:KTN153"/>
    <mergeCell ref="KTO153:KTQ153"/>
    <mergeCell ref="KTR153:KTT153"/>
    <mergeCell ref="KUA153:KUC153"/>
    <mergeCell ref="KUD153:KUF153"/>
    <mergeCell ref="KUG153:KUI153"/>
    <mergeCell ref="KSH153:KSJ153"/>
    <mergeCell ref="KSK153:KSM153"/>
    <mergeCell ref="KSN153:KSP153"/>
    <mergeCell ref="KSW153:KSY153"/>
    <mergeCell ref="KSZ153:KTB153"/>
    <mergeCell ref="KTC153:KTE153"/>
    <mergeCell ref="KRD153:KRF153"/>
    <mergeCell ref="KRG153:KRI153"/>
    <mergeCell ref="KRJ153:KRL153"/>
    <mergeCell ref="KRS153:KRU153"/>
    <mergeCell ref="KRV153:KRX153"/>
    <mergeCell ref="KRY153:KSA153"/>
    <mergeCell ref="KPZ153:KQB153"/>
    <mergeCell ref="KQC153:KQE153"/>
    <mergeCell ref="KQF153:KQH153"/>
    <mergeCell ref="KQO153:KQQ153"/>
    <mergeCell ref="KQR153:KQT153"/>
    <mergeCell ref="KQU153:KQW153"/>
    <mergeCell ref="KOV153:KOX153"/>
    <mergeCell ref="KOY153:KPA153"/>
    <mergeCell ref="KPB153:KPD153"/>
    <mergeCell ref="KPK153:KPM153"/>
    <mergeCell ref="KPN153:KPP153"/>
    <mergeCell ref="KPQ153:KPS153"/>
    <mergeCell ref="KNR153:KNT153"/>
    <mergeCell ref="KNU153:KNW153"/>
    <mergeCell ref="KNX153:KNZ153"/>
    <mergeCell ref="KOG153:KOI153"/>
    <mergeCell ref="KOJ153:KOL153"/>
    <mergeCell ref="KOM153:KOO153"/>
    <mergeCell ref="KMN153:KMP153"/>
    <mergeCell ref="KMQ153:KMS153"/>
    <mergeCell ref="KMT153:KMV153"/>
    <mergeCell ref="KNC153:KNE153"/>
    <mergeCell ref="KNF153:KNH153"/>
    <mergeCell ref="KNI153:KNK153"/>
    <mergeCell ref="KLJ153:KLL153"/>
    <mergeCell ref="KLM153:KLO153"/>
    <mergeCell ref="KLP153:KLR153"/>
    <mergeCell ref="KLY153:KMA153"/>
    <mergeCell ref="KMB153:KMD153"/>
    <mergeCell ref="KME153:KMG153"/>
    <mergeCell ref="KKF153:KKH153"/>
    <mergeCell ref="KKI153:KKK153"/>
    <mergeCell ref="KKL153:KKN153"/>
    <mergeCell ref="KKU153:KKW153"/>
    <mergeCell ref="KKX153:KKZ153"/>
    <mergeCell ref="KLA153:KLC153"/>
    <mergeCell ref="KJB153:KJD153"/>
    <mergeCell ref="KJE153:KJG153"/>
    <mergeCell ref="KJH153:KJJ153"/>
    <mergeCell ref="KJQ153:KJS153"/>
    <mergeCell ref="KJT153:KJV153"/>
    <mergeCell ref="KJW153:KJY153"/>
    <mergeCell ref="KHX153:KHZ153"/>
    <mergeCell ref="KIA153:KIC153"/>
    <mergeCell ref="KID153:KIF153"/>
    <mergeCell ref="KIM153:KIO153"/>
    <mergeCell ref="KIP153:KIR153"/>
    <mergeCell ref="KIS153:KIU153"/>
    <mergeCell ref="KGT153:KGV153"/>
    <mergeCell ref="KGW153:KGY153"/>
    <mergeCell ref="KGZ153:KHB153"/>
    <mergeCell ref="KHI153:KHK153"/>
    <mergeCell ref="KHL153:KHN153"/>
    <mergeCell ref="KHO153:KHQ153"/>
    <mergeCell ref="KFP153:KFR153"/>
    <mergeCell ref="KFS153:KFU153"/>
    <mergeCell ref="KFV153:KFX153"/>
    <mergeCell ref="KGE153:KGG153"/>
    <mergeCell ref="KGH153:KGJ153"/>
    <mergeCell ref="KGK153:KGM153"/>
    <mergeCell ref="KEL153:KEN153"/>
    <mergeCell ref="KEO153:KEQ153"/>
    <mergeCell ref="KER153:KET153"/>
    <mergeCell ref="KFA153:KFC153"/>
    <mergeCell ref="KFD153:KFF153"/>
    <mergeCell ref="KFG153:KFI153"/>
    <mergeCell ref="KDH153:KDJ153"/>
    <mergeCell ref="KDK153:KDM153"/>
    <mergeCell ref="KDN153:KDP153"/>
    <mergeCell ref="KDW153:KDY153"/>
    <mergeCell ref="KDZ153:KEB153"/>
    <mergeCell ref="KEC153:KEE153"/>
    <mergeCell ref="KCD153:KCF153"/>
    <mergeCell ref="KCG153:KCI153"/>
    <mergeCell ref="KCJ153:KCL153"/>
    <mergeCell ref="KCS153:KCU153"/>
    <mergeCell ref="KCV153:KCX153"/>
    <mergeCell ref="KCY153:KDA153"/>
    <mergeCell ref="KAZ153:KBB153"/>
    <mergeCell ref="KBC153:KBE153"/>
    <mergeCell ref="KBF153:KBH153"/>
    <mergeCell ref="KBO153:KBQ153"/>
    <mergeCell ref="KBR153:KBT153"/>
    <mergeCell ref="KBU153:KBW153"/>
    <mergeCell ref="JZV153:JZX153"/>
    <mergeCell ref="JZY153:KAA153"/>
    <mergeCell ref="KAB153:KAD153"/>
    <mergeCell ref="KAK153:KAM153"/>
    <mergeCell ref="KAN153:KAP153"/>
    <mergeCell ref="KAQ153:KAS153"/>
    <mergeCell ref="JYR153:JYT153"/>
    <mergeCell ref="JYU153:JYW153"/>
    <mergeCell ref="JYX153:JYZ153"/>
    <mergeCell ref="JZG153:JZI153"/>
    <mergeCell ref="JZJ153:JZL153"/>
    <mergeCell ref="JZM153:JZO153"/>
    <mergeCell ref="JXN153:JXP153"/>
    <mergeCell ref="JXQ153:JXS153"/>
    <mergeCell ref="JXT153:JXV153"/>
    <mergeCell ref="JYC153:JYE153"/>
    <mergeCell ref="JYF153:JYH153"/>
    <mergeCell ref="JYI153:JYK153"/>
    <mergeCell ref="JWJ153:JWL153"/>
    <mergeCell ref="JWM153:JWO153"/>
    <mergeCell ref="JWP153:JWR153"/>
    <mergeCell ref="JWY153:JXA153"/>
    <mergeCell ref="JXB153:JXD153"/>
    <mergeCell ref="JXE153:JXG153"/>
    <mergeCell ref="JVF153:JVH153"/>
    <mergeCell ref="JVI153:JVK153"/>
    <mergeCell ref="JVL153:JVN153"/>
    <mergeCell ref="JVU153:JVW153"/>
    <mergeCell ref="JVX153:JVZ153"/>
    <mergeCell ref="JWA153:JWC153"/>
    <mergeCell ref="JUB153:JUD153"/>
    <mergeCell ref="JUE153:JUG153"/>
    <mergeCell ref="JUH153:JUJ153"/>
    <mergeCell ref="JUQ153:JUS153"/>
    <mergeCell ref="JUT153:JUV153"/>
    <mergeCell ref="JUW153:JUY153"/>
    <mergeCell ref="JSX153:JSZ153"/>
    <mergeCell ref="JTA153:JTC153"/>
    <mergeCell ref="JTD153:JTF153"/>
    <mergeCell ref="JTM153:JTO153"/>
    <mergeCell ref="JTP153:JTR153"/>
    <mergeCell ref="JTS153:JTU153"/>
    <mergeCell ref="JRT153:JRV153"/>
    <mergeCell ref="JRW153:JRY153"/>
    <mergeCell ref="JRZ153:JSB153"/>
    <mergeCell ref="JSI153:JSK153"/>
    <mergeCell ref="JSL153:JSN153"/>
    <mergeCell ref="JSO153:JSQ153"/>
    <mergeCell ref="JQP153:JQR153"/>
    <mergeCell ref="JQS153:JQU153"/>
    <mergeCell ref="JQV153:JQX153"/>
    <mergeCell ref="JRE153:JRG153"/>
    <mergeCell ref="JRH153:JRJ153"/>
    <mergeCell ref="JRK153:JRM153"/>
    <mergeCell ref="JPL153:JPN153"/>
    <mergeCell ref="JPO153:JPQ153"/>
    <mergeCell ref="JPR153:JPT153"/>
    <mergeCell ref="JQA153:JQC153"/>
    <mergeCell ref="JQD153:JQF153"/>
    <mergeCell ref="JQG153:JQI153"/>
    <mergeCell ref="JOH153:JOJ153"/>
    <mergeCell ref="JOK153:JOM153"/>
    <mergeCell ref="JON153:JOP153"/>
    <mergeCell ref="JOW153:JOY153"/>
    <mergeCell ref="JOZ153:JPB153"/>
    <mergeCell ref="JPC153:JPE153"/>
    <mergeCell ref="JND153:JNF153"/>
    <mergeCell ref="JNG153:JNI153"/>
    <mergeCell ref="JNJ153:JNL153"/>
    <mergeCell ref="JNS153:JNU153"/>
    <mergeCell ref="JNV153:JNX153"/>
    <mergeCell ref="JNY153:JOA153"/>
    <mergeCell ref="JLZ153:JMB153"/>
    <mergeCell ref="JMC153:JME153"/>
    <mergeCell ref="JMF153:JMH153"/>
    <mergeCell ref="JMO153:JMQ153"/>
    <mergeCell ref="JMR153:JMT153"/>
    <mergeCell ref="JMU153:JMW153"/>
    <mergeCell ref="JKV153:JKX153"/>
    <mergeCell ref="JKY153:JLA153"/>
    <mergeCell ref="JLB153:JLD153"/>
    <mergeCell ref="JLK153:JLM153"/>
    <mergeCell ref="JLN153:JLP153"/>
    <mergeCell ref="JLQ153:JLS153"/>
    <mergeCell ref="JJR153:JJT153"/>
    <mergeCell ref="JJU153:JJW153"/>
    <mergeCell ref="JJX153:JJZ153"/>
    <mergeCell ref="JKG153:JKI153"/>
    <mergeCell ref="JKJ153:JKL153"/>
    <mergeCell ref="JKM153:JKO153"/>
    <mergeCell ref="JIN153:JIP153"/>
    <mergeCell ref="JIQ153:JIS153"/>
    <mergeCell ref="JIT153:JIV153"/>
    <mergeCell ref="JJC153:JJE153"/>
    <mergeCell ref="JJF153:JJH153"/>
    <mergeCell ref="JJI153:JJK153"/>
    <mergeCell ref="JHJ153:JHL153"/>
    <mergeCell ref="JHM153:JHO153"/>
    <mergeCell ref="JHP153:JHR153"/>
    <mergeCell ref="JHY153:JIA153"/>
    <mergeCell ref="JIB153:JID153"/>
    <mergeCell ref="JIE153:JIG153"/>
    <mergeCell ref="JGF153:JGH153"/>
    <mergeCell ref="JGI153:JGK153"/>
    <mergeCell ref="JGL153:JGN153"/>
    <mergeCell ref="JGU153:JGW153"/>
    <mergeCell ref="JGX153:JGZ153"/>
    <mergeCell ref="JHA153:JHC153"/>
    <mergeCell ref="JFB153:JFD153"/>
    <mergeCell ref="JFE153:JFG153"/>
    <mergeCell ref="JFH153:JFJ153"/>
    <mergeCell ref="JFQ153:JFS153"/>
    <mergeCell ref="JFT153:JFV153"/>
    <mergeCell ref="JFW153:JFY153"/>
    <mergeCell ref="JDX153:JDZ153"/>
    <mergeCell ref="JEA153:JEC153"/>
    <mergeCell ref="JED153:JEF153"/>
    <mergeCell ref="JEM153:JEO153"/>
    <mergeCell ref="JEP153:JER153"/>
    <mergeCell ref="JES153:JEU153"/>
    <mergeCell ref="JCT153:JCV153"/>
    <mergeCell ref="JCW153:JCY153"/>
    <mergeCell ref="JCZ153:JDB153"/>
    <mergeCell ref="JDI153:JDK153"/>
    <mergeCell ref="JDL153:JDN153"/>
    <mergeCell ref="JDO153:JDQ153"/>
    <mergeCell ref="JBP153:JBR153"/>
    <mergeCell ref="JBS153:JBU153"/>
    <mergeCell ref="JBV153:JBX153"/>
    <mergeCell ref="JCE153:JCG153"/>
    <mergeCell ref="JCH153:JCJ153"/>
    <mergeCell ref="JCK153:JCM153"/>
    <mergeCell ref="JAL153:JAN153"/>
    <mergeCell ref="JAO153:JAQ153"/>
    <mergeCell ref="JAR153:JAT153"/>
    <mergeCell ref="JBA153:JBC153"/>
    <mergeCell ref="JBD153:JBF153"/>
    <mergeCell ref="JBG153:JBI153"/>
    <mergeCell ref="IZH153:IZJ153"/>
    <mergeCell ref="IZK153:IZM153"/>
    <mergeCell ref="IZN153:IZP153"/>
    <mergeCell ref="IZW153:IZY153"/>
    <mergeCell ref="IZZ153:JAB153"/>
    <mergeCell ref="JAC153:JAE153"/>
    <mergeCell ref="IYD153:IYF153"/>
    <mergeCell ref="IYG153:IYI153"/>
    <mergeCell ref="IYJ153:IYL153"/>
    <mergeCell ref="IYS153:IYU153"/>
    <mergeCell ref="IYV153:IYX153"/>
    <mergeCell ref="IYY153:IZA153"/>
    <mergeCell ref="IWZ153:IXB153"/>
    <mergeCell ref="IXC153:IXE153"/>
    <mergeCell ref="IXF153:IXH153"/>
    <mergeCell ref="IXO153:IXQ153"/>
    <mergeCell ref="IXR153:IXT153"/>
    <mergeCell ref="IXU153:IXW153"/>
    <mergeCell ref="IVV153:IVX153"/>
    <mergeCell ref="IVY153:IWA153"/>
    <mergeCell ref="IWB153:IWD153"/>
    <mergeCell ref="IWK153:IWM153"/>
    <mergeCell ref="IWN153:IWP153"/>
    <mergeCell ref="IWQ153:IWS153"/>
    <mergeCell ref="IUR153:IUT153"/>
    <mergeCell ref="IUU153:IUW153"/>
    <mergeCell ref="IUX153:IUZ153"/>
    <mergeCell ref="IVG153:IVI153"/>
    <mergeCell ref="IVJ153:IVL153"/>
    <mergeCell ref="IVM153:IVO153"/>
    <mergeCell ref="ITN153:ITP153"/>
    <mergeCell ref="ITQ153:ITS153"/>
    <mergeCell ref="ITT153:ITV153"/>
    <mergeCell ref="IUC153:IUE153"/>
    <mergeCell ref="IUF153:IUH153"/>
    <mergeCell ref="IUI153:IUK153"/>
    <mergeCell ref="ISJ153:ISL153"/>
    <mergeCell ref="ISM153:ISO153"/>
    <mergeCell ref="ISP153:ISR153"/>
    <mergeCell ref="ISY153:ITA153"/>
    <mergeCell ref="ITB153:ITD153"/>
    <mergeCell ref="ITE153:ITG153"/>
    <mergeCell ref="IRF153:IRH153"/>
    <mergeCell ref="IRI153:IRK153"/>
    <mergeCell ref="IRL153:IRN153"/>
    <mergeCell ref="IRU153:IRW153"/>
    <mergeCell ref="IRX153:IRZ153"/>
    <mergeCell ref="ISA153:ISC153"/>
    <mergeCell ref="IQB153:IQD153"/>
    <mergeCell ref="IQE153:IQG153"/>
    <mergeCell ref="IQH153:IQJ153"/>
    <mergeCell ref="IQQ153:IQS153"/>
    <mergeCell ref="IQT153:IQV153"/>
    <mergeCell ref="IQW153:IQY153"/>
    <mergeCell ref="IOX153:IOZ153"/>
    <mergeCell ref="IPA153:IPC153"/>
    <mergeCell ref="IPD153:IPF153"/>
    <mergeCell ref="IPM153:IPO153"/>
    <mergeCell ref="IPP153:IPR153"/>
    <mergeCell ref="IPS153:IPU153"/>
    <mergeCell ref="INT153:INV153"/>
    <mergeCell ref="INW153:INY153"/>
    <mergeCell ref="INZ153:IOB153"/>
    <mergeCell ref="IOI153:IOK153"/>
    <mergeCell ref="IOL153:ION153"/>
    <mergeCell ref="IOO153:IOQ153"/>
    <mergeCell ref="IMP153:IMR153"/>
    <mergeCell ref="IMS153:IMU153"/>
    <mergeCell ref="IMV153:IMX153"/>
    <mergeCell ref="INE153:ING153"/>
    <mergeCell ref="INH153:INJ153"/>
    <mergeCell ref="INK153:INM153"/>
    <mergeCell ref="ILL153:ILN153"/>
    <mergeCell ref="ILO153:ILQ153"/>
    <mergeCell ref="ILR153:ILT153"/>
    <mergeCell ref="IMA153:IMC153"/>
    <mergeCell ref="IMD153:IMF153"/>
    <mergeCell ref="IMG153:IMI153"/>
    <mergeCell ref="IKH153:IKJ153"/>
    <mergeCell ref="IKK153:IKM153"/>
    <mergeCell ref="IKN153:IKP153"/>
    <mergeCell ref="IKW153:IKY153"/>
    <mergeCell ref="IKZ153:ILB153"/>
    <mergeCell ref="ILC153:ILE153"/>
    <mergeCell ref="IJD153:IJF153"/>
    <mergeCell ref="IJG153:IJI153"/>
    <mergeCell ref="IJJ153:IJL153"/>
    <mergeCell ref="IJS153:IJU153"/>
    <mergeCell ref="IJV153:IJX153"/>
    <mergeCell ref="IJY153:IKA153"/>
    <mergeCell ref="IHZ153:IIB153"/>
    <mergeCell ref="IIC153:IIE153"/>
    <mergeCell ref="IIF153:IIH153"/>
    <mergeCell ref="IIO153:IIQ153"/>
    <mergeCell ref="IIR153:IIT153"/>
    <mergeCell ref="IIU153:IIW153"/>
    <mergeCell ref="IGV153:IGX153"/>
    <mergeCell ref="IGY153:IHA153"/>
    <mergeCell ref="IHB153:IHD153"/>
    <mergeCell ref="IHK153:IHM153"/>
    <mergeCell ref="IHN153:IHP153"/>
    <mergeCell ref="IHQ153:IHS153"/>
    <mergeCell ref="IFR153:IFT153"/>
    <mergeCell ref="IFU153:IFW153"/>
    <mergeCell ref="IFX153:IFZ153"/>
    <mergeCell ref="IGG153:IGI153"/>
    <mergeCell ref="IGJ153:IGL153"/>
    <mergeCell ref="IGM153:IGO153"/>
    <mergeCell ref="IEN153:IEP153"/>
    <mergeCell ref="IEQ153:IES153"/>
    <mergeCell ref="IET153:IEV153"/>
    <mergeCell ref="IFC153:IFE153"/>
    <mergeCell ref="IFF153:IFH153"/>
    <mergeCell ref="IFI153:IFK153"/>
    <mergeCell ref="IDJ153:IDL153"/>
    <mergeCell ref="IDM153:IDO153"/>
    <mergeCell ref="IDP153:IDR153"/>
    <mergeCell ref="IDY153:IEA153"/>
    <mergeCell ref="IEB153:IED153"/>
    <mergeCell ref="IEE153:IEG153"/>
    <mergeCell ref="ICF153:ICH153"/>
    <mergeCell ref="ICI153:ICK153"/>
    <mergeCell ref="ICL153:ICN153"/>
    <mergeCell ref="ICU153:ICW153"/>
    <mergeCell ref="ICX153:ICZ153"/>
    <mergeCell ref="IDA153:IDC153"/>
    <mergeCell ref="IBB153:IBD153"/>
    <mergeCell ref="IBE153:IBG153"/>
    <mergeCell ref="IBH153:IBJ153"/>
    <mergeCell ref="IBQ153:IBS153"/>
    <mergeCell ref="IBT153:IBV153"/>
    <mergeCell ref="IBW153:IBY153"/>
    <mergeCell ref="HZX153:HZZ153"/>
    <mergeCell ref="IAA153:IAC153"/>
    <mergeCell ref="IAD153:IAF153"/>
    <mergeCell ref="IAM153:IAO153"/>
    <mergeCell ref="IAP153:IAR153"/>
    <mergeCell ref="IAS153:IAU153"/>
    <mergeCell ref="HYT153:HYV153"/>
    <mergeCell ref="HYW153:HYY153"/>
    <mergeCell ref="HYZ153:HZB153"/>
    <mergeCell ref="HZI153:HZK153"/>
    <mergeCell ref="HZL153:HZN153"/>
    <mergeCell ref="HZO153:HZQ153"/>
    <mergeCell ref="HXP153:HXR153"/>
    <mergeCell ref="HXS153:HXU153"/>
    <mergeCell ref="HXV153:HXX153"/>
    <mergeCell ref="HYE153:HYG153"/>
    <mergeCell ref="HYH153:HYJ153"/>
    <mergeCell ref="HYK153:HYM153"/>
    <mergeCell ref="HWL153:HWN153"/>
    <mergeCell ref="HWO153:HWQ153"/>
    <mergeCell ref="HWR153:HWT153"/>
    <mergeCell ref="HXA153:HXC153"/>
    <mergeCell ref="HXD153:HXF153"/>
    <mergeCell ref="HXG153:HXI153"/>
    <mergeCell ref="HVH153:HVJ153"/>
    <mergeCell ref="HVK153:HVM153"/>
    <mergeCell ref="HVN153:HVP153"/>
    <mergeCell ref="HVW153:HVY153"/>
    <mergeCell ref="HVZ153:HWB153"/>
    <mergeCell ref="HWC153:HWE153"/>
    <mergeCell ref="HUD153:HUF153"/>
    <mergeCell ref="HUG153:HUI153"/>
    <mergeCell ref="HUJ153:HUL153"/>
    <mergeCell ref="HUS153:HUU153"/>
    <mergeCell ref="HUV153:HUX153"/>
    <mergeCell ref="HUY153:HVA153"/>
    <mergeCell ref="HSZ153:HTB153"/>
    <mergeCell ref="HTC153:HTE153"/>
    <mergeCell ref="HTF153:HTH153"/>
    <mergeCell ref="HTO153:HTQ153"/>
    <mergeCell ref="HTR153:HTT153"/>
    <mergeCell ref="HTU153:HTW153"/>
    <mergeCell ref="HRV153:HRX153"/>
    <mergeCell ref="HRY153:HSA153"/>
    <mergeCell ref="HSB153:HSD153"/>
    <mergeCell ref="HSK153:HSM153"/>
    <mergeCell ref="HSN153:HSP153"/>
    <mergeCell ref="HSQ153:HSS153"/>
    <mergeCell ref="HQR153:HQT153"/>
    <mergeCell ref="HQU153:HQW153"/>
    <mergeCell ref="HQX153:HQZ153"/>
    <mergeCell ref="HRG153:HRI153"/>
    <mergeCell ref="HRJ153:HRL153"/>
    <mergeCell ref="HRM153:HRO153"/>
    <mergeCell ref="HPN153:HPP153"/>
    <mergeCell ref="HPQ153:HPS153"/>
    <mergeCell ref="HPT153:HPV153"/>
    <mergeCell ref="HQC153:HQE153"/>
    <mergeCell ref="HQF153:HQH153"/>
    <mergeCell ref="HQI153:HQK153"/>
    <mergeCell ref="HOJ153:HOL153"/>
    <mergeCell ref="HOM153:HOO153"/>
    <mergeCell ref="HOP153:HOR153"/>
    <mergeCell ref="HOY153:HPA153"/>
    <mergeCell ref="HPB153:HPD153"/>
    <mergeCell ref="HPE153:HPG153"/>
    <mergeCell ref="HNF153:HNH153"/>
    <mergeCell ref="HNI153:HNK153"/>
    <mergeCell ref="HNL153:HNN153"/>
    <mergeCell ref="HNU153:HNW153"/>
    <mergeCell ref="HNX153:HNZ153"/>
    <mergeCell ref="HOA153:HOC153"/>
    <mergeCell ref="HMB153:HMD153"/>
    <mergeCell ref="HME153:HMG153"/>
    <mergeCell ref="HMH153:HMJ153"/>
    <mergeCell ref="HMQ153:HMS153"/>
    <mergeCell ref="HMT153:HMV153"/>
    <mergeCell ref="HMW153:HMY153"/>
    <mergeCell ref="HKX153:HKZ153"/>
    <mergeCell ref="HLA153:HLC153"/>
    <mergeCell ref="HLD153:HLF153"/>
    <mergeCell ref="HLM153:HLO153"/>
    <mergeCell ref="HLP153:HLR153"/>
    <mergeCell ref="HLS153:HLU153"/>
    <mergeCell ref="HJT153:HJV153"/>
    <mergeCell ref="HJW153:HJY153"/>
    <mergeCell ref="HJZ153:HKB153"/>
    <mergeCell ref="HKI153:HKK153"/>
    <mergeCell ref="HKL153:HKN153"/>
    <mergeCell ref="HKO153:HKQ153"/>
    <mergeCell ref="HIP153:HIR153"/>
    <mergeCell ref="HIS153:HIU153"/>
    <mergeCell ref="HIV153:HIX153"/>
    <mergeCell ref="HJE153:HJG153"/>
    <mergeCell ref="HJH153:HJJ153"/>
    <mergeCell ref="HJK153:HJM153"/>
    <mergeCell ref="HHL153:HHN153"/>
    <mergeCell ref="HHO153:HHQ153"/>
    <mergeCell ref="HHR153:HHT153"/>
    <mergeCell ref="HIA153:HIC153"/>
    <mergeCell ref="HID153:HIF153"/>
    <mergeCell ref="HIG153:HII153"/>
    <mergeCell ref="HGH153:HGJ153"/>
    <mergeCell ref="HGK153:HGM153"/>
    <mergeCell ref="HGN153:HGP153"/>
    <mergeCell ref="HGW153:HGY153"/>
    <mergeCell ref="HGZ153:HHB153"/>
    <mergeCell ref="HHC153:HHE153"/>
    <mergeCell ref="HFD153:HFF153"/>
    <mergeCell ref="HFG153:HFI153"/>
    <mergeCell ref="HFJ153:HFL153"/>
    <mergeCell ref="HFS153:HFU153"/>
    <mergeCell ref="HFV153:HFX153"/>
    <mergeCell ref="HFY153:HGA153"/>
    <mergeCell ref="HDZ153:HEB153"/>
    <mergeCell ref="HEC153:HEE153"/>
    <mergeCell ref="HEF153:HEH153"/>
    <mergeCell ref="HEO153:HEQ153"/>
    <mergeCell ref="HER153:HET153"/>
    <mergeCell ref="HEU153:HEW153"/>
    <mergeCell ref="HCV153:HCX153"/>
    <mergeCell ref="HCY153:HDA153"/>
    <mergeCell ref="HDB153:HDD153"/>
    <mergeCell ref="HDK153:HDM153"/>
    <mergeCell ref="HDN153:HDP153"/>
    <mergeCell ref="HDQ153:HDS153"/>
    <mergeCell ref="HBR153:HBT153"/>
    <mergeCell ref="HBU153:HBW153"/>
    <mergeCell ref="HBX153:HBZ153"/>
    <mergeCell ref="HCG153:HCI153"/>
    <mergeCell ref="HCJ153:HCL153"/>
    <mergeCell ref="HCM153:HCO153"/>
    <mergeCell ref="HAN153:HAP153"/>
    <mergeCell ref="HAQ153:HAS153"/>
    <mergeCell ref="HAT153:HAV153"/>
    <mergeCell ref="HBC153:HBE153"/>
    <mergeCell ref="HBF153:HBH153"/>
    <mergeCell ref="HBI153:HBK153"/>
    <mergeCell ref="GZJ153:GZL153"/>
    <mergeCell ref="GZM153:GZO153"/>
    <mergeCell ref="GZP153:GZR153"/>
    <mergeCell ref="GZY153:HAA153"/>
    <mergeCell ref="HAB153:HAD153"/>
    <mergeCell ref="HAE153:HAG153"/>
    <mergeCell ref="GYF153:GYH153"/>
    <mergeCell ref="GYI153:GYK153"/>
    <mergeCell ref="GYL153:GYN153"/>
    <mergeCell ref="GYU153:GYW153"/>
    <mergeCell ref="GYX153:GYZ153"/>
    <mergeCell ref="GZA153:GZC153"/>
    <mergeCell ref="GXB153:GXD153"/>
    <mergeCell ref="GXE153:GXG153"/>
    <mergeCell ref="GXH153:GXJ153"/>
    <mergeCell ref="GXQ153:GXS153"/>
    <mergeCell ref="GXT153:GXV153"/>
    <mergeCell ref="GXW153:GXY153"/>
    <mergeCell ref="GVX153:GVZ153"/>
    <mergeCell ref="GWA153:GWC153"/>
    <mergeCell ref="GWD153:GWF153"/>
    <mergeCell ref="GWM153:GWO153"/>
    <mergeCell ref="GWP153:GWR153"/>
    <mergeCell ref="GWS153:GWU153"/>
    <mergeCell ref="GUT153:GUV153"/>
    <mergeCell ref="GUW153:GUY153"/>
    <mergeCell ref="GUZ153:GVB153"/>
    <mergeCell ref="GVI153:GVK153"/>
    <mergeCell ref="GVL153:GVN153"/>
    <mergeCell ref="GVO153:GVQ153"/>
    <mergeCell ref="GTP153:GTR153"/>
    <mergeCell ref="GTS153:GTU153"/>
    <mergeCell ref="GTV153:GTX153"/>
    <mergeCell ref="GUE153:GUG153"/>
    <mergeCell ref="GUH153:GUJ153"/>
    <mergeCell ref="GUK153:GUM153"/>
    <mergeCell ref="GSL153:GSN153"/>
    <mergeCell ref="GSO153:GSQ153"/>
    <mergeCell ref="GSR153:GST153"/>
    <mergeCell ref="GTA153:GTC153"/>
    <mergeCell ref="GTD153:GTF153"/>
    <mergeCell ref="GTG153:GTI153"/>
    <mergeCell ref="GRH153:GRJ153"/>
    <mergeCell ref="GRK153:GRM153"/>
    <mergeCell ref="GRN153:GRP153"/>
    <mergeCell ref="GRW153:GRY153"/>
    <mergeCell ref="GRZ153:GSB153"/>
    <mergeCell ref="GSC153:GSE153"/>
    <mergeCell ref="GQD153:GQF153"/>
    <mergeCell ref="GQG153:GQI153"/>
    <mergeCell ref="GQJ153:GQL153"/>
    <mergeCell ref="GQS153:GQU153"/>
    <mergeCell ref="GQV153:GQX153"/>
    <mergeCell ref="GQY153:GRA153"/>
    <mergeCell ref="GOZ153:GPB153"/>
    <mergeCell ref="GPC153:GPE153"/>
    <mergeCell ref="GPF153:GPH153"/>
    <mergeCell ref="GPO153:GPQ153"/>
    <mergeCell ref="GPR153:GPT153"/>
    <mergeCell ref="GPU153:GPW153"/>
    <mergeCell ref="GNV153:GNX153"/>
    <mergeCell ref="GNY153:GOA153"/>
    <mergeCell ref="GOB153:GOD153"/>
    <mergeCell ref="GOK153:GOM153"/>
    <mergeCell ref="GON153:GOP153"/>
    <mergeCell ref="GOQ153:GOS153"/>
    <mergeCell ref="GMR153:GMT153"/>
    <mergeCell ref="GMU153:GMW153"/>
    <mergeCell ref="GMX153:GMZ153"/>
    <mergeCell ref="GNG153:GNI153"/>
    <mergeCell ref="GNJ153:GNL153"/>
    <mergeCell ref="GNM153:GNO153"/>
    <mergeCell ref="GLN153:GLP153"/>
    <mergeCell ref="GLQ153:GLS153"/>
    <mergeCell ref="GLT153:GLV153"/>
    <mergeCell ref="GMC153:GME153"/>
    <mergeCell ref="GMF153:GMH153"/>
    <mergeCell ref="GMI153:GMK153"/>
    <mergeCell ref="GKJ153:GKL153"/>
    <mergeCell ref="GKM153:GKO153"/>
    <mergeCell ref="GKP153:GKR153"/>
    <mergeCell ref="GKY153:GLA153"/>
    <mergeCell ref="GLB153:GLD153"/>
    <mergeCell ref="GLE153:GLG153"/>
    <mergeCell ref="GJF153:GJH153"/>
    <mergeCell ref="GJI153:GJK153"/>
    <mergeCell ref="GJL153:GJN153"/>
    <mergeCell ref="GJU153:GJW153"/>
    <mergeCell ref="GJX153:GJZ153"/>
    <mergeCell ref="GKA153:GKC153"/>
    <mergeCell ref="GIB153:GID153"/>
    <mergeCell ref="GIE153:GIG153"/>
    <mergeCell ref="GIH153:GIJ153"/>
    <mergeCell ref="GIQ153:GIS153"/>
    <mergeCell ref="GIT153:GIV153"/>
    <mergeCell ref="GIW153:GIY153"/>
    <mergeCell ref="GGX153:GGZ153"/>
    <mergeCell ref="GHA153:GHC153"/>
    <mergeCell ref="GHD153:GHF153"/>
    <mergeCell ref="GHM153:GHO153"/>
    <mergeCell ref="GHP153:GHR153"/>
    <mergeCell ref="GHS153:GHU153"/>
    <mergeCell ref="GFT153:GFV153"/>
    <mergeCell ref="GFW153:GFY153"/>
    <mergeCell ref="GFZ153:GGB153"/>
    <mergeCell ref="GGI153:GGK153"/>
    <mergeCell ref="GGL153:GGN153"/>
    <mergeCell ref="GGO153:GGQ153"/>
    <mergeCell ref="GEP153:GER153"/>
    <mergeCell ref="GES153:GEU153"/>
    <mergeCell ref="GEV153:GEX153"/>
    <mergeCell ref="GFE153:GFG153"/>
    <mergeCell ref="GFH153:GFJ153"/>
    <mergeCell ref="GFK153:GFM153"/>
    <mergeCell ref="GDL153:GDN153"/>
    <mergeCell ref="GDO153:GDQ153"/>
    <mergeCell ref="GDR153:GDT153"/>
    <mergeCell ref="GEA153:GEC153"/>
    <mergeCell ref="GED153:GEF153"/>
    <mergeCell ref="GEG153:GEI153"/>
    <mergeCell ref="GCH153:GCJ153"/>
    <mergeCell ref="GCK153:GCM153"/>
    <mergeCell ref="GCN153:GCP153"/>
    <mergeCell ref="GCW153:GCY153"/>
    <mergeCell ref="GCZ153:GDB153"/>
    <mergeCell ref="GDC153:GDE153"/>
    <mergeCell ref="GBD153:GBF153"/>
    <mergeCell ref="GBG153:GBI153"/>
    <mergeCell ref="GBJ153:GBL153"/>
    <mergeCell ref="GBS153:GBU153"/>
    <mergeCell ref="GBV153:GBX153"/>
    <mergeCell ref="GBY153:GCA153"/>
    <mergeCell ref="FZZ153:GAB153"/>
    <mergeCell ref="GAC153:GAE153"/>
    <mergeCell ref="GAF153:GAH153"/>
    <mergeCell ref="GAO153:GAQ153"/>
    <mergeCell ref="GAR153:GAT153"/>
    <mergeCell ref="GAU153:GAW153"/>
    <mergeCell ref="FYV153:FYX153"/>
    <mergeCell ref="FYY153:FZA153"/>
    <mergeCell ref="FZB153:FZD153"/>
    <mergeCell ref="FZK153:FZM153"/>
    <mergeCell ref="FZN153:FZP153"/>
    <mergeCell ref="FZQ153:FZS153"/>
    <mergeCell ref="FXR153:FXT153"/>
    <mergeCell ref="FXU153:FXW153"/>
    <mergeCell ref="FXX153:FXZ153"/>
    <mergeCell ref="FYG153:FYI153"/>
    <mergeCell ref="FYJ153:FYL153"/>
    <mergeCell ref="FYM153:FYO153"/>
    <mergeCell ref="FWN153:FWP153"/>
    <mergeCell ref="FWQ153:FWS153"/>
    <mergeCell ref="FWT153:FWV153"/>
    <mergeCell ref="FXC153:FXE153"/>
    <mergeCell ref="FXF153:FXH153"/>
    <mergeCell ref="FXI153:FXK153"/>
    <mergeCell ref="FVJ153:FVL153"/>
    <mergeCell ref="FVM153:FVO153"/>
    <mergeCell ref="FVP153:FVR153"/>
    <mergeCell ref="FVY153:FWA153"/>
    <mergeCell ref="FWB153:FWD153"/>
    <mergeCell ref="FWE153:FWG153"/>
    <mergeCell ref="FUF153:FUH153"/>
    <mergeCell ref="FUI153:FUK153"/>
    <mergeCell ref="FUL153:FUN153"/>
    <mergeCell ref="FUU153:FUW153"/>
    <mergeCell ref="FUX153:FUZ153"/>
    <mergeCell ref="FVA153:FVC153"/>
    <mergeCell ref="FTB153:FTD153"/>
    <mergeCell ref="FTE153:FTG153"/>
    <mergeCell ref="FTH153:FTJ153"/>
    <mergeCell ref="FTQ153:FTS153"/>
    <mergeCell ref="FTT153:FTV153"/>
    <mergeCell ref="FTW153:FTY153"/>
    <mergeCell ref="FRX153:FRZ153"/>
    <mergeCell ref="FSA153:FSC153"/>
    <mergeCell ref="FSD153:FSF153"/>
    <mergeCell ref="FSM153:FSO153"/>
    <mergeCell ref="FSP153:FSR153"/>
    <mergeCell ref="FSS153:FSU153"/>
    <mergeCell ref="FQT153:FQV153"/>
    <mergeCell ref="FQW153:FQY153"/>
    <mergeCell ref="FQZ153:FRB153"/>
    <mergeCell ref="FRI153:FRK153"/>
    <mergeCell ref="FRL153:FRN153"/>
    <mergeCell ref="FRO153:FRQ153"/>
    <mergeCell ref="FPP153:FPR153"/>
    <mergeCell ref="FPS153:FPU153"/>
    <mergeCell ref="FPV153:FPX153"/>
    <mergeCell ref="FQE153:FQG153"/>
    <mergeCell ref="FQH153:FQJ153"/>
    <mergeCell ref="FQK153:FQM153"/>
    <mergeCell ref="FOL153:FON153"/>
    <mergeCell ref="FOO153:FOQ153"/>
    <mergeCell ref="FOR153:FOT153"/>
    <mergeCell ref="FPA153:FPC153"/>
    <mergeCell ref="FPD153:FPF153"/>
    <mergeCell ref="FPG153:FPI153"/>
    <mergeCell ref="FNH153:FNJ153"/>
    <mergeCell ref="FNK153:FNM153"/>
    <mergeCell ref="FNN153:FNP153"/>
    <mergeCell ref="FNW153:FNY153"/>
    <mergeCell ref="FNZ153:FOB153"/>
    <mergeCell ref="FOC153:FOE153"/>
    <mergeCell ref="FMD153:FMF153"/>
    <mergeCell ref="FMG153:FMI153"/>
    <mergeCell ref="FMJ153:FML153"/>
    <mergeCell ref="FMS153:FMU153"/>
    <mergeCell ref="FMV153:FMX153"/>
    <mergeCell ref="FMY153:FNA153"/>
    <mergeCell ref="FKZ153:FLB153"/>
    <mergeCell ref="FLC153:FLE153"/>
    <mergeCell ref="FLF153:FLH153"/>
    <mergeCell ref="FLO153:FLQ153"/>
    <mergeCell ref="FLR153:FLT153"/>
    <mergeCell ref="FLU153:FLW153"/>
    <mergeCell ref="FJV153:FJX153"/>
    <mergeCell ref="FJY153:FKA153"/>
    <mergeCell ref="FKB153:FKD153"/>
    <mergeCell ref="FKK153:FKM153"/>
    <mergeCell ref="FKN153:FKP153"/>
    <mergeCell ref="FKQ153:FKS153"/>
    <mergeCell ref="FIR153:FIT153"/>
    <mergeCell ref="FIU153:FIW153"/>
    <mergeCell ref="FIX153:FIZ153"/>
    <mergeCell ref="FJG153:FJI153"/>
    <mergeCell ref="FJJ153:FJL153"/>
    <mergeCell ref="FJM153:FJO153"/>
    <mergeCell ref="FHN153:FHP153"/>
    <mergeCell ref="FHQ153:FHS153"/>
    <mergeCell ref="FHT153:FHV153"/>
    <mergeCell ref="FIC153:FIE153"/>
    <mergeCell ref="FIF153:FIH153"/>
    <mergeCell ref="FII153:FIK153"/>
    <mergeCell ref="FGJ153:FGL153"/>
    <mergeCell ref="FGM153:FGO153"/>
    <mergeCell ref="FGP153:FGR153"/>
    <mergeCell ref="FGY153:FHA153"/>
    <mergeCell ref="FHB153:FHD153"/>
    <mergeCell ref="FHE153:FHG153"/>
    <mergeCell ref="FFF153:FFH153"/>
    <mergeCell ref="FFI153:FFK153"/>
    <mergeCell ref="FFL153:FFN153"/>
    <mergeCell ref="FFU153:FFW153"/>
    <mergeCell ref="FFX153:FFZ153"/>
    <mergeCell ref="FGA153:FGC153"/>
    <mergeCell ref="FEB153:FED153"/>
    <mergeCell ref="FEE153:FEG153"/>
    <mergeCell ref="FEH153:FEJ153"/>
    <mergeCell ref="FEQ153:FES153"/>
    <mergeCell ref="FET153:FEV153"/>
    <mergeCell ref="FEW153:FEY153"/>
    <mergeCell ref="FCX153:FCZ153"/>
    <mergeCell ref="FDA153:FDC153"/>
    <mergeCell ref="FDD153:FDF153"/>
    <mergeCell ref="FDM153:FDO153"/>
    <mergeCell ref="FDP153:FDR153"/>
    <mergeCell ref="FDS153:FDU153"/>
    <mergeCell ref="FBT153:FBV153"/>
    <mergeCell ref="FBW153:FBY153"/>
    <mergeCell ref="FBZ153:FCB153"/>
    <mergeCell ref="FCI153:FCK153"/>
    <mergeCell ref="FCL153:FCN153"/>
    <mergeCell ref="FCO153:FCQ153"/>
    <mergeCell ref="FAP153:FAR153"/>
    <mergeCell ref="FAS153:FAU153"/>
    <mergeCell ref="FAV153:FAX153"/>
    <mergeCell ref="FBE153:FBG153"/>
    <mergeCell ref="FBH153:FBJ153"/>
    <mergeCell ref="FBK153:FBM153"/>
    <mergeCell ref="EZL153:EZN153"/>
    <mergeCell ref="EZO153:EZQ153"/>
    <mergeCell ref="EZR153:EZT153"/>
    <mergeCell ref="FAA153:FAC153"/>
    <mergeCell ref="FAD153:FAF153"/>
    <mergeCell ref="FAG153:FAI153"/>
    <mergeCell ref="EYH153:EYJ153"/>
    <mergeCell ref="EYK153:EYM153"/>
    <mergeCell ref="EYN153:EYP153"/>
    <mergeCell ref="EYW153:EYY153"/>
    <mergeCell ref="EYZ153:EZB153"/>
    <mergeCell ref="EZC153:EZE153"/>
    <mergeCell ref="EXD153:EXF153"/>
    <mergeCell ref="EXG153:EXI153"/>
    <mergeCell ref="EXJ153:EXL153"/>
    <mergeCell ref="EXS153:EXU153"/>
    <mergeCell ref="EXV153:EXX153"/>
    <mergeCell ref="EXY153:EYA153"/>
    <mergeCell ref="EVZ153:EWB153"/>
    <mergeCell ref="EWC153:EWE153"/>
    <mergeCell ref="EWF153:EWH153"/>
    <mergeCell ref="EWO153:EWQ153"/>
    <mergeCell ref="EWR153:EWT153"/>
    <mergeCell ref="EWU153:EWW153"/>
    <mergeCell ref="EUV153:EUX153"/>
    <mergeCell ref="EUY153:EVA153"/>
    <mergeCell ref="EVB153:EVD153"/>
    <mergeCell ref="EVK153:EVM153"/>
    <mergeCell ref="EVN153:EVP153"/>
    <mergeCell ref="EVQ153:EVS153"/>
    <mergeCell ref="ETR153:ETT153"/>
    <mergeCell ref="ETU153:ETW153"/>
    <mergeCell ref="ETX153:ETZ153"/>
    <mergeCell ref="EUG153:EUI153"/>
    <mergeCell ref="EUJ153:EUL153"/>
    <mergeCell ref="EUM153:EUO153"/>
    <mergeCell ref="ESN153:ESP153"/>
    <mergeCell ref="ESQ153:ESS153"/>
    <mergeCell ref="EST153:ESV153"/>
    <mergeCell ref="ETC153:ETE153"/>
    <mergeCell ref="ETF153:ETH153"/>
    <mergeCell ref="ETI153:ETK153"/>
    <mergeCell ref="ERJ153:ERL153"/>
    <mergeCell ref="ERM153:ERO153"/>
    <mergeCell ref="ERP153:ERR153"/>
    <mergeCell ref="ERY153:ESA153"/>
    <mergeCell ref="ESB153:ESD153"/>
    <mergeCell ref="ESE153:ESG153"/>
    <mergeCell ref="EQF153:EQH153"/>
    <mergeCell ref="EQI153:EQK153"/>
    <mergeCell ref="EQL153:EQN153"/>
    <mergeCell ref="EQU153:EQW153"/>
    <mergeCell ref="EQX153:EQZ153"/>
    <mergeCell ref="ERA153:ERC153"/>
    <mergeCell ref="EPB153:EPD153"/>
    <mergeCell ref="EPE153:EPG153"/>
    <mergeCell ref="EPH153:EPJ153"/>
    <mergeCell ref="EPQ153:EPS153"/>
    <mergeCell ref="EPT153:EPV153"/>
    <mergeCell ref="EPW153:EPY153"/>
    <mergeCell ref="ENX153:ENZ153"/>
    <mergeCell ref="EOA153:EOC153"/>
    <mergeCell ref="EOD153:EOF153"/>
    <mergeCell ref="EOM153:EOO153"/>
    <mergeCell ref="EOP153:EOR153"/>
    <mergeCell ref="EOS153:EOU153"/>
    <mergeCell ref="EMT153:EMV153"/>
    <mergeCell ref="EMW153:EMY153"/>
    <mergeCell ref="EMZ153:ENB153"/>
    <mergeCell ref="ENI153:ENK153"/>
    <mergeCell ref="ENL153:ENN153"/>
    <mergeCell ref="ENO153:ENQ153"/>
    <mergeCell ref="ELP153:ELR153"/>
    <mergeCell ref="ELS153:ELU153"/>
    <mergeCell ref="ELV153:ELX153"/>
    <mergeCell ref="EME153:EMG153"/>
    <mergeCell ref="EMH153:EMJ153"/>
    <mergeCell ref="EMK153:EMM153"/>
    <mergeCell ref="EKL153:EKN153"/>
    <mergeCell ref="EKO153:EKQ153"/>
    <mergeCell ref="EKR153:EKT153"/>
    <mergeCell ref="ELA153:ELC153"/>
    <mergeCell ref="ELD153:ELF153"/>
    <mergeCell ref="ELG153:ELI153"/>
    <mergeCell ref="EJH153:EJJ153"/>
    <mergeCell ref="EJK153:EJM153"/>
    <mergeCell ref="EJN153:EJP153"/>
    <mergeCell ref="EJW153:EJY153"/>
    <mergeCell ref="EJZ153:EKB153"/>
    <mergeCell ref="EKC153:EKE153"/>
    <mergeCell ref="EID153:EIF153"/>
    <mergeCell ref="EIG153:EII153"/>
    <mergeCell ref="EIJ153:EIL153"/>
    <mergeCell ref="EIS153:EIU153"/>
    <mergeCell ref="EIV153:EIX153"/>
    <mergeCell ref="EIY153:EJA153"/>
    <mergeCell ref="EGZ153:EHB153"/>
    <mergeCell ref="EHC153:EHE153"/>
    <mergeCell ref="EHF153:EHH153"/>
    <mergeCell ref="EHO153:EHQ153"/>
    <mergeCell ref="EHR153:EHT153"/>
    <mergeCell ref="EHU153:EHW153"/>
    <mergeCell ref="EFV153:EFX153"/>
    <mergeCell ref="EFY153:EGA153"/>
    <mergeCell ref="EGB153:EGD153"/>
    <mergeCell ref="EGK153:EGM153"/>
    <mergeCell ref="EGN153:EGP153"/>
    <mergeCell ref="EGQ153:EGS153"/>
    <mergeCell ref="EER153:EET153"/>
    <mergeCell ref="EEU153:EEW153"/>
    <mergeCell ref="EEX153:EEZ153"/>
    <mergeCell ref="EFG153:EFI153"/>
    <mergeCell ref="EFJ153:EFL153"/>
    <mergeCell ref="EFM153:EFO153"/>
    <mergeCell ref="EDN153:EDP153"/>
    <mergeCell ref="EDQ153:EDS153"/>
    <mergeCell ref="EDT153:EDV153"/>
    <mergeCell ref="EEC153:EEE153"/>
    <mergeCell ref="EEF153:EEH153"/>
    <mergeCell ref="EEI153:EEK153"/>
    <mergeCell ref="ECJ153:ECL153"/>
    <mergeCell ref="ECM153:ECO153"/>
    <mergeCell ref="ECP153:ECR153"/>
    <mergeCell ref="ECY153:EDA153"/>
    <mergeCell ref="EDB153:EDD153"/>
    <mergeCell ref="EDE153:EDG153"/>
    <mergeCell ref="EBF153:EBH153"/>
    <mergeCell ref="EBI153:EBK153"/>
    <mergeCell ref="EBL153:EBN153"/>
    <mergeCell ref="EBU153:EBW153"/>
    <mergeCell ref="EBX153:EBZ153"/>
    <mergeCell ref="ECA153:ECC153"/>
    <mergeCell ref="EAB153:EAD153"/>
    <mergeCell ref="EAE153:EAG153"/>
    <mergeCell ref="EAH153:EAJ153"/>
    <mergeCell ref="EAQ153:EAS153"/>
    <mergeCell ref="EAT153:EAV153"/>
    <mergeCell ref="EAW153:EAY153"/>
    <mergeCell ref="DYX153:DYZ153"/>
    <mergeCell ref="DZA153:DZC153"/>
    <mergeCell ref="DZD153:DZF153"/>
    <mergeCell ref="DZM153:DZO153"/>
    <mergeCell ref="DZP153:DZR153"/>
    <mergeCell ref="DZS153:DZU153"/>
    <mergeCell ref="DXT153:DXV153"/>
    <mergeCell ref="DXW153:DXY153"/>
    <mergeCell ref="DXZ153:DYB153"/>
    <mergeCell ref="DYI153:DYK153"/>
    <mergeCell ref="DYL153:DYN153"/>
    <mergeCell ref="DYO153:DYQ153"/>
    <mergeCell ref="DWP153:DWR153"/>
    <mergeCell ref="DWS153:DWU153"/>
    <mergeCell ref="DWV153:DWX153"/>
    <mergeCell ref="DXE153:DXG153"/>
    <mergeCell ref="DXH153:DXJ153"/>
    <mergeCell ref="DXK153:DXM153"/>
    <mergeCell ref="DVL153:DVN153"/>
    <mergeCell ref="DVO153:DVQ153"/>
    <mergeCell ref="DVR153:DVT153"/>
    <mergeCell ref="DWA153:DWC153"/>
    <mergeCell ref="DWD153:DWF153"/>
    <mergeCell ref="DWG153:DWI153"/>
    <mergeCell ref="DUH153:DUJ153"/>
    <mergeCell ref="DUK153:DUM153"/>
    <mergeCell ref="DUN153:DUP153"/>
    <mergeCell ref="DUW153:DUY153"/>
    <mergeCell ref="DUZ153:DVB153"/>
    <mergeCell ref="DVC153:DVE153"/>
    <mergeCell ref="DTD153:DTF153"/>
    <mergeCell ref="DTG153:DTI153"/>
    <mergeCell ref="DTJ153:DTL153"/>
    <mergeCell ref="DTS153:DTU153"/>
    <mergeCell ref="DTV153:DTX153"/>
    <mergeCell ref="DTY153:DUA153"/>
    <mergeCell ref="DRZ153:DSB153"/>
    <mergeCell ref="DSC153:DSE153"/>
    <mergeCell ref="DSF153:DSH153"/>
    <mergeCell ref="DSO153:DSQ153"/>
    <mergeCell ref="DSR153:DST153"/>
    <mergeCell ref="DSU153:DSW153"/>
    <mergeCell ref="DQV153:DQX153"/>
    <mergeCell ref="DQY153:DRA153"/>
    <mergeCell ref="DRB153:DRD153"/>
    <mergeCell ref="DRK153:DRM153"/>
    <mergeCell ref="DRN153:DRP153"/>
    <mergeCell ref="DRQ153:DRS153"/>
    <mergeCell ref="DPR153:DPT153"/>
    <mergeCell ref="DPU153:DPW153"/>
    <mergeCell ref="DPX153:DPZ153"/>
    <mergeCell ref="DQG153:DQI153"/>
    <mergeCell ref="DQJ153:DQL153"/>
    <mergeCell ref="DQM153:DQO153"/>
    <mergeCell ref="DON153:DOP153"/>
    <mergeCell ref="DOQ153:DOS153"/>
    <mergeCell ref="DOT153:DOV153"/>
    <mergeCell ref="DPC153:DPE153"/>
    <mergeCell ref="DPF153:DPH153"/>
    <mergeCell ref="DPI153:DPK153"/>
    <mergeCell ref="DNJ153:DNL153"/>
    <mergeCell ref="DNM153:DNO153"/>
    <mergeCell ref="DNP153:DNR153"/>
    <mergeCell ref="DNY153:DOA153"/>
    <mergeCell ref="DOB153:DOD153"/>
    <mergeCell ref="DOE153:DOG153"/>
    <mergeCell ref="DMF153:DMH153"/>
    <mergeCell ref="DMI153:DMK153"/>
    <mergeCell ref="DML153:DMN153"/>
    <mergeCell ref="DMU153:DMW153"/>
    <mergeCell ref="DMX153:DMZ153"/>
    <mergeCell ref="DNA153:DNC153"/>
    <mergeCell ref="DLB153:DLD153"/>
    <mergeCell ref="DLE153:DLG153"/>
    <mergeCell ref="DLH153:DLJ153"/>
    <mergeCell ref="DLQ153:DLS153"/>
    <mergeCell ref="DLT153:DLV153"/>
    <mergeCell ref="DLW153:DLY153"/>
    <mergeCell ref="DJX153:DJZ153"/>
    <mergeCell ref="DKA153:DKC153"/>
    <mergeCell ref="DKD153:DKF153"/>
    <mergeCell ref="DKM153:DKO153"/>
    <mergeCell ref="DKP153:DKR153"/>
    <mergeCell ref="DKS153:DKU153"/>
    <mergeCell ref="DIT153:DIV153"/>
    <mergeCell ref="DIW153:DIY153"/>
    <mergeCell ref="DIZ153:DJB153"/>
    <mergeCell ref="DJI153:DJK153"/>
    <mergeCell ref="DJL153:DJN153"/>
    <mergeCell ref="DJO153:DJQ153"/>
    <mergeCell ref="DHP153:DHR153"/>
    <mergeCell ref="DHS153:DHU153"/>
    <mergeCell ref="DHV153:DHX153"/>
    <mergeCell ref="DIE153:DIG153"/>
    <mergeCell ref="DIH153:DIJ153"/>
    <mergeCell ref="DIK153:DIM153"/>
    <mergeCell ref="DGL153:DGN153"/>
    <mergeCell ref="DGO153:DGQ153"/>
    <mergeCell ref="DGR153:DGT153"/>
    <mergeCell ref="DHA153:DHC153"/>
    <mergeCell ref="DHD153:DHF153"/>
    <mergeCell ref="DHG153:DHI153"/>
    <mergeCell ref="DFH153:DFJ153"/>
    <mergeCell ref="DFK153:DFM153"/>
    <mergeCell ref="DFN153:DFP153"/>
    <mergeCell ref="DFW153:DFY153"/>
    <mergeCell ref="DFZ153:DGB153"/>
    <mergeCell ref="DGC153:DGE153"/>
    <mergeCell ref="DED153:DEF153"/>
    <mergeCell ref="DEG153:DEI153"/>
    <mergeCell ref="DEJ153:DEL153"/>
    <mergeCell ref="DES153:DEU153"/>
    <mergeCell ref="DEV153:DEX153"/>
    <mergeCell ref="DEY153:DFA153"/>
    <mergeCell ref="DCZ153:DDB153"/>
    <mergeCell ref="DDC153:DDE153"/>
    <mergeCell ref="DDF153:DDH153"/>
    <mergeCell ref="DDO153:DDQ153"/>
    <mergeCell ref="DDR153:DDT153"/>
    <mergeCell ref="DDU153:DDW153"/>
    <mergeCell ref="DBV153:DBX153"/>
    <mergeCell ref="DBY153:DCA153"/>
    <mergeCell ref="DCB153:DCD153"/>
    <mergeCell ref="DCK153:DCM153"/>
    <mergeCell ref="DCN153:DCP153"/>
    <mergeCell ref="DCQ153:DCS153"/>
    <mergeCell ref="DAR153:DAT153"/>
    <mergeCell ref="DAU153:DAW153"/>
    <mergeCell ref="DAX153:DAZ153"/>
    <mergeCell ref="DBG153:DBI153"/>
    <mergeCell ref="DBJ153:DBL153"/>
    <mergeCell ref="DBM153:DBO153"/>
    <mergeCell ref="CZN153:CZP153"/>
    <mergeCell ref="CZQ153:CZS153"/>
    <mergeCell ref="CZT153:CZV153"/>
    <mergeCell ref="DAC153:DAE153"/>
    <mergeCell ref="DAF153:DAH153"/>
    <mergeCell ref="DAI153:DAK153"/>
    <mergeCell ref="CYJ153:CYL153"/>
    <mergeCell ref="CYM153:CYO153"/>
    <mergeCell ref="CYP153:CYR153"/>
    <mergeCell ref="CYY153:CZA153"/>
    <mergeCell ref="CZB153:CZD153"/>
    <mergeCell ref="CZE153:CZG153"/>
    <mergeCell ref="CXF153:CXH153"/>
    <mergeCell ref="CXI153:CXK153"/>
    <mergeCell ref="CXL153:CXN153"/>
    <mergeCell ref="CXU153:CXW153"/>
    <mergeCell ref="CXX153:CXZ153"/>
    <mergeCell ref="CYA153:CYC153"/>
    <mergeCell ref="CWB153:CWD153"/>
    <mergeCell ref="CWE153:CWG153"/>
    <mergeCell ref="CWH153:CWJ153"/>
    <mergeCell ref="CWQ153:CWS153"/>
    <mergeCell ref="CWT153:CWV153"/>
    <mergeCell ref="CWW153:CWY153"/>
    <mergeCell ref="CUX153:CUZ153"/>
    <mergeCell ref="CVA153:CVC153"/>
    <mergeCell ref="CVD153:CVF153"/>
    <mergeCell ref="CVM153:CVO153"/>
    <mergeCell ref="CVP153:CVR153"/>
    <mergeCell ref="CVS153:CVU153"/>
    <mergeCell ref="CTT153:CTV153"/>
    <mergeCell ref="CTW153:CTY153"/>
    <mergeCell ref="CTZ153:CUB153"/>
    <mergeCell ref="CUI153:CUK153"/>
    <mergeCell ref="CUL153:CUN153"/>
    <mergeCell ref="CUO153:CUQ153"/>
    <mergeCell ref="CSP153:CSR153"/>
    <mergeCell ref="CSS153:CSU153"/>
    <mergeCell ref="CSV153:CSX153"/>
    <mergeCell ref="CTE153:CTG153"/>
    <mergeCell ref="CTH153:CTJ153"/>
    <mergeCell ref="CTK153:CTM153"/>
    <mergeCell ref="CRL153:CRN153"/>
    <mergeCell ref="CRO153:CRQ153"/>
    <mergeCell ref="CRR153:CRT153"/>
    <mergeCell ref="CSA153:CSC153"/>
    <mergeCell ref="CSD153:CSF153"/>
    <mergeCell ref="CSG153:CSI153"/>
    <mergeCell ref="CQH153:CQJ153"/>
    <mergeCell ref="CQK153:CQM153"/>
    <mergeCell ref="CQN153:CQP153"/>
    <mergeCell ref="CQW153:CQY153"/>
    <mergeCell ref="CQZ153:CRB153"/>
    <mergeCell ref="CRC153:CRE153"/>
    <mergeCell ref="CPD153:CPF153"/>
    <mergeCell ref="CPG153:CPI153"/>
    <mergeCell ref="CPJ153:CPL153"/>
    <mergeCell ref="CPS153:CPU153"/>
    <mergeCell ref="CPV153:CPX153"/>
    <mergeCell ref="CPY153:CQA153"/>
    <mergeCell ref="CNZ153:COB153"/>
    <mergeCell ref="COC153:COE153"/>
    <mergeCell ref="COF153:COH153"/>
    <mergeCell ref="COO153:COQ153"/>
    <mergeCell ref="COR153:COT153"/>
    <mergeCell ref="COU153:COW153"/>
    <mergeCell ref="CMV153:CMX153"/>
    <mergeCell ref="CMY153:CNA153"/>
    <mergeCell ref="CNB153:CND153"/>
    <mergeCell ref="CNK153:CNM153"/>
    <mergeCell ref="CNN153:CNP153"/>
    <mergeCell ref="CNQ153:CNS153"/>
    <mergeCell ref="CLR153:CLT153"/>
    <mergeCell ref="CLU153:CLW153"/>
    <mergeCell ref="CLX153:CLZ153"/>
    <mergeCell ref="CMG153:CMI153"/>
    <mergeCell ref="CMJ153:CML153"/>
    <mergeCell ref="CMM153:CMO153"/>
    <mergeCell ref="CKN153:CKP153"/>
    <mergeCell ref="CKQ153:CKS153"/>
    <mergeCell ref="CKT153:CKV153"/>
    <mergeCell ref="CLC153:CLE153"/>
    <mergeCell ref="CLF153:CLH153"/>
    <mergeCell ref="CLI153:CLK153"/>
    <mergeCell ref="CJJ153:CJL153"/>
    <mergeCell ref="CJM153:CJO153"/>
    <mergeCell ref="CJP153:CJR153"/>
    <mergeCell ref="CJY153:CKA153"/>
    <mergeCell ref="CKB153:CKD153"/>
    <mergeCell ref="CKE153:CKG153"/>
    <mergeCell ref="CIF153:CIH153"/>
    <mergeCell ref="CII153:CIK153"/>
    <mergeCell ref="CIL153:CIN153"/>
    <mergeCell ref="CIU153:CIW153"/>
    <mergeCell ref="CIX153:CIZ153"/>
    <mergeCell ref="CJA153:CJC153"/>
    <mergeCell ref="CHB153:CHD153"/>
    <mergeCell ref="CHE153:CHG153"/>
    <mergeCell ref="CHH153:CHJ153"/>
    <mergeCell ref="CHQ153:CHS153"/>
    <mergeCell ref="CHT153:CHV153"/>
    <mergeCell ref="CHW153:CHY153"/>
    <mergeCell ref="CFX153:CFZ153"/>
    <mergeCell ref="CGA153:CGC153"/>
    <mergeCell ref="CGD153:CGF153"/>
    <mergeCell ref="CGM153:CGO153"/>
    <mergeCell ref="CGP153:CGR153"/>
    <mergeCell ref="CGS153:CGU153"/>
    <mergeCell ref="CET153:CEV153"/>
    <mergeCell ref="CEW153:CEY153"/>
    <mergeCell ref="CEZ153:CFB153"/>
    <mergeCell ref="CFI153:CFK153"/>
    <mergeCell ref="CFL153:CFN153"/>
    <mergeCell ref="CFO153:CFQ153"/>
    <mergeCell ref="CDP153:CDR153"/>
    <mergeCell ref="CDS153:CDU153"/>
    <mergeCell ref="CDV153:CDX153"/>
    <mergeCell ref="CEE153:CEG153"/>
    <mergeCell ref="CEH153:CEJ153"/>
    <mergeCell ref="CEK153:CEM153"/>
    <mergeCell ref="CCL153:CCN153"/>
    <mergeCell ref="CCO153:CCQ153"/>
    <mergeCell ref="CCR153:CCT153"/>
    <mergeCell ref="CDA153:CDC153"/>
    <mergeCell ref="CDD153:CDF153"/>
    <mergeCell ref="CDG153:CDI153"/>
    <mergeCell ref="CBH153:CBJ153"/>
    <mergeCell ref="CBK153:CBM153"/>
    <mergeCell ref="CBN153:CBP153"/>
    <mergeCell ref="CBW153:CBY153"/>
    <mergeCell ref="CBZ153:CCB153"/>
    <mergeCell ref="CCC153:CCE153"/>
    <mergeCell ref="CAD153:CAF153"/>
    <mergeCell ref="CAG153:CAI153"/>
    <mergeCell ref="CAJ153:CAL153"/>
    <mergeCell ref="CAS153:CAU153"/>
    <mergeCell ref="CAV153:CAX153"/>
    <mergeCell ref="CAY153:CBA153"/>
    <mergeCell ref="BYZ153:BZB153"/>
    <mergeCell ref="BZC153:BZE153"/>
    <mergeCell ref="BZF153:BZH153"/>
    <mergeCell ref="BZO153:BZQ153"/>
    <mergeCell ref="BZR153:BZT153"/>
    <mergeCell ref="BZU153:BZW153"/>
    <mergeCell ref="BXV153:BXX153"/>
    <mergeCell ref="BXY153:BYA153"/>
    <mergeCell ref="BYB153:BYD153"/>
    <mergeCell ref="BYK153:BYM153"/>
    <mergeCell ref="BYN153:BYP153"/>
    <mergeCell ref="BYQ153:BYS153"/>
    <mergeCell ref="BWR153:BWT153"/>
    <mergeCell ref="BWU153:BWW153"/>
    <mergeCell ref="BWX153:BWZ153"/>
    <mergeCell ref="BXG153:BXI153"/>
    <mergeCell ref="BXJ153:BXL153"/>
    <mergeCell ref="BXM153:BXO153"/>
    <mergeCell ref="BVN153:BVP153"/>
    <mergeCell ref="BVQ153:BVS153"/>
    <mergeCell ref="BVT153:BVV153"/>
    <mergeCell ref="BWC153:BWE153"/>
    <mergeCell ref="BWF153:BWH153"/>
    <mergeCell ref="BWI153:BWK153"/>
    <mergeCell ref="BUJ153:BUL153"/>
    <mergeCell ref="BUM153:BUO153"/>
    <mergeCell ref="BUP153:BUR153"/>
    <mergeCell ref="BUY153:BVA153"/>
    <mergeCell ref="BVB153:BVD153"/>
    <mergeCell ref="BVE153:BVG153"/>
    <mergeCell ref="BTF153:BTH153"/>
    <mergeCell ref="BTI153:BTK153"/>
    <mergeCell ref="BTL153:BTN153"/>
    <mergeCell ref="BTU153:BTW153"/>
    <mergeCell ref="BTX153:BTZ153"/>
    <mergeCell ref="BUA153:BUC153"/>
    <mergeCell ref="BSB153:BSD153"/>
    <mergeCell ref="BSE153:BSG153"/>
    <mergeCell ref="BSH153:BSJ153"/>
    <mergeCell ref="BSQ153:BSS153"/>
    <mergeCell ref="BST153:BSV153"/>
    <mergeCell ref="BSW153:BSY153"/>
    <mergeCell ref="BQX153:BQZ153"/>
    <mergeCell ref="BRA153:BRC153"/>
    <mergeCell ref="BRD153:BRF153"/>
    <mergeCell ref="BRM153:BRO153"/>
    <mergeCell ref="BRP153:BRR153"/>
    <mergeCell ref="BRS153:BRU153"/>
    <mergeCell ref="BPT153:BPV153"/>
    <mergeCell ref="BPW153:BPY153"/>
    <mergeCell ref="BPZ153:BQB153"/>
    <mergeCell ref="BQI153:BQK153"/>
    <mergeCell ref="BQL153:BQN153"/>
    <mergeCell ref="BQO153:BQQ153"/>
    <mergeCell ref="BOP153:BOR153"/>
    <mergeCell ref="BOS153:BOU153"/>
    <mergeCell ref="BOV153:BOX153"/>
    <mergeCell ref="BPE153:BPG153"/>
    <mergeCell ref="BPH153:BPJ153"/>
    <mergeCell ref="BPK153:BPM153"/>
    <mergeCell ref="BNL153:BNN153"/>
    <mergeCell ref="BNO153:BNQ153"/>
    <mergeCell ref="BNR153:BNT153"/>
    <mergeCell ref="BOA153:BOC153"/>
    <mergeCell ref="BOD153:BOF153"/>
    <mergeCell ref="BOG153:BOI153"/>
    <mergeCell ref="BMH153:BMJ153"/>
    <mergeCell ref="BMK153:BMM153"/>
    <mergeCell ref="BMN153:BMP153"/>
    <mergeCell ref="BMW153:BMY153"/>
    <mergeCell ref="BMZ153:BNB153"/>
    <mergeCell ref="BNC153:BNE153"/>
    <mergeCell ref="BLD153:BLF153"/>
    <mergeCell ref="BLG153:BLI153"/>
    <mergeCell ref="BLJ153:BLL153"/>
    <mergeCell ref="BLS153:BLU153"/>
    <mergeCell ref="BLV153:BLX153"/>
    <mergeCell ref="BLY153:BMA153"/>
    <mergeCell ref="BJZ153:BKB153"/>
    <mergeCell ref="BKC153:BKE153"/>
    <mergeCell ref="BKF153:BKH153"/>
    <mergeCell ref="BKO153:BKQ153"/>
    <mergeCell ref="BKR153:BKT153"/>
    <mergeCell ref="BKU153:BKW153"/>
    <mergeCell ref="BIV153:BIX153"/>
    <mergeCell ref="BIY153:BJA153"/>
    <mergeCell ref="BJB153:BJD153"/>
    <mergeCell ref="BJK153:BJM153"/>
    <mergeCell ref="BJN153:BJP153"/>
    <mergeCell ref="BJQ153:BJS153"/>
    <mergeCell ref="BHR153:BHT153"/>
    <mergeCell ref="BHU153:BHW153"/>
    <mergeCell ref="BHX153:BHZ153"/>
    <mergeCell ref="BIG153:BII153"/>
    <mergeCell ref="BIJ153:BIL153"/>
    <mergeCell ref="BIM153:BIO153"/>
    <mergeCell ref="BGN153:BGP153"/>
    <mergeCell ref="BGQ153:BGS153"/>
    <mergeCell ref="BGT153:BGV153"/>
    <mergeCell ref="BHC153:BHE153"/>
    <mergeCell ref="BHF153:BHH153"/>
    <mergeCell ref="BHI153:BHK153"/>
    <mergeCell ref="BFJ153:BFL153"/>
    <mergeCell ref="BFM153:BFO153"/>
    <mergeCell ref="BFP153:BFR153"/>
    <mergeCell ref="BFY153:BGA153"/>
    <mergeCell ref="BGB153:BGD153"/>
    <mergeCell ref="BGE153:BGG153"/>
    <mergeCell ref="BEF153:BEH153"/>
    <mergeCell ref="BEI153:BEK153"/>
    <mergeCell ref="BEL153:BEN153"/>
    <mergeCell ref="BEU153:BEW153"/>
    <mergeCell ref="BEX153:BEZ153"/>
    <mergeCell ref="BFA153:BFC153"/>
    <mergeCell ref="BDB153:BDD153"/>
    <mergeCell ref="BDE153:BDG153"/>
    <mergeCell ref="BDH153:BDJ153"/>
    <mergeCell ref="BDQ153:BDS153"/>
    <mergeCell ref="BDT153:BDV153"/>
    <mergeCell ref="BDW153:BDY153"/>
    <mergeCell ref="BBX153:BBZ153"/>
    <mergeCell ref="BCA153:BCC153"/>
    <mergeCell ref="BCD153:BCF153"/>
    <mergeCell ref="BCM153:BCO153"/>
    <mergeCell ref="BCP153:BCR153"/>
    <mergeCell ref="BCS153:BCU153"/>
    <mergeCell ref="BAT153:BAV153"/>
    <mergeCell ref="BAW153:BAY153"/>
    <mergeCell ref="BAZ153:BBB153"/>
    <mergeCell ref="BBI153:BBK153"/>
    <mergeCell ref="BBL153:BBN153"/>
    <mergeCell ref="BBO153:BBQ153"/>
    <mergeCell ref="AZP153:AZR153"/>
    <mergeCell ref="AZS153:AZU153"/>
    <mergeCell ref="AZV153:AZX153"/>
    <mergeCell ref="BAE153:BAG153"/>
    <mergeCell ref="BAH153:BAJ153"/>
    <mergeCell ref="BAK153:BAM153"/>
    <mergeCell ref="AYL153:AYN153"/>
    <mergeCell ref="AYO153:AYQ153"/>
    <mergeCell ref="AYR153:AYT153"/>
    <mergeCell ref="AZA153:AZC153"/>
    <mergeCell ref="AZD153:AZF153"/>
    <mergeCell ref="AZG153:AZI153"/>
    <mergeCell ref="AXH153:AXJ153"/>
    <mergeCell ref="AXK153:AXM153"/>
    <mergeCell ref="AXN153:AXP153"/>
    <mergeCell ref="AXW153:AXY153"/>
    <mergeCell ref="AXZ153:AYB153"/>
    <mergeCell ref="AYC153:AYE153"/>
    <mergeCell ref="AWD153:AWF153"/>
    <mergeCell ref="AWG153:AWI153"/>
    <mergeCell ref="AWJ153:AWL153"/>
    <mergeCell ref="AWS153:AWU153"/>
    <mergeCell ref="AWV153:AWX153"/>
    <mergeCell ref="AWY153:AXA153"/>
    <mergeCell ref="AUZ153:AVB153"/>
    <mergeCell ref="AVC153:AVE153"/>
    <mergeCell ref="AVF153:AVH153"/>
    <mergeCell ref="AVO153:AVQ153"/>
    <mergeCell ref="AVR153:AVT153"/>
    <mergeCell ref="AVU153:AVW153"/>
    <mergeCell ref="ATV153:ATX153"/>
    <mergeCell ref="ATY153:AUA153"/>
    <mergeCell ref="AUB153:AUD153"/>
    <mergeCell ref="AUK153:AUM153"/>
    <mergeCell ref="AUN153:AUP153"/>
    <mergeCell ref="AUQ153:AUS153"/>
    <mergeCell ref="ASR153:AST153"/>
    <mergeCell ref="ASU153:ASW153"/>
    <mergeCell ref="ASX153:ASZ153"/>
    <mergeCell ref="ATG153:ATI153"/>
    <mergeCell ref="ATJ153:ATL153"/>
    <mergeCell ref="ATM153:ATO153"/>
    <mergeCell ref="ARN153:ARP153"/>
    <mergeCell ref="ARQ153:ARS153"/>
    <mergeCell ref="ART153:ARV153"/>
    <mergeCell ref="ASC153:ASE153"/>
    <mergeCell ref="ASF153:ASH153"/>
    <mergeCell ref="ASI153:ASK153"/>
    <mergeCell ref="AQJ153:AQL153"/>
    <mergeCell ref="AQM153:AQO153"/>
    <mergeCell ref="AQP153:AQR153"/>
    <mergeCell ref="AQY153:ARA153"/>
    <mergeCell ref="ARB153:ARD153"/>
    <mergeCell ref="ARE153:ARG153"/>
    <mergeCell ref="APF153:APH153"/>
    <mergeCell ref="API153:APK153"/>
    <mergeCell ref="APL153:APN153"/>
    <mergeCell ref="APU153:APW153"/>
    <mergeCell ref="APX153:APZ153"/>
    <mergeCell ref="AQA153:AQC153"/>
    <mergeCell ref="AOB153:AOD153"/>
    <mergeCell ref="AOE153:AOG153"/>
    <mergeCell ref="AOH153:AOJ153"/>
    <mergeCell ref="AOQ153:AOS153"/>
    <mergeCell ref="AOT153:AOV153"/>
    <mergeCell ref="AOW153:AOY153"/>
    <mergeCell ref="AMX153:AMZ153"/>
    <mergeCell ref="ANA153:ANC153"/>
    <mergeCell ref="AND153:ANF153"/>
    <mergeCell ref="ANM153:ANO153"/>
    <mergeCell ref="ANP153:ANR153"/>
    <mergeCell ref="ANS153:ANU153"/>
    <mergeCell ref="ALT153:ALV153"/>
    <mergeCell ref="ALW153:ALY153"/>
    <mergeCell ref="ALZ153:AMB153"/>
    <mergeCell ref="AMI153:AMK153"/>
    <mergeCell ref="AML153:AMN153"/>
    <mergeCell ref="AMO153:AMQ153"/>
    <mergeCell ref="AKP153:AKR153"/>
    <mergeCell ref="AKS153:AKU153"/>
    <mergeCell ref="AKV153:AKX153"/>
    <mergeCell ref="ALE153:ALG153"/>
    <mergeCell ref="ALH153:ALJ153"/>
    <mergeCell ref="ALK153:ALM153"/>
    <mergeCell ref="AJL153:AJN153"/>
    <mergeCell ref="AJO153:AJQ153"/>
    <mergeCell ref="AJR153:AJT153"/>
    <mergeCell ref="AKA153:AKC153"/>
    <mergeCell ref="AKD153:AKF153"/>
    <mergeCell ref="AKG153:AKI153"/>
    <mergeCell ref="AIH153:AIJ153"/>
    <mergeCell ref="AIK153:AIM153"/>
    <mergeCell ref="AIN153:AIP153"/>
    <mergeCell ref="AIW153:AIY153"/>
    <mergeCell ref="AIZ153:AJB153"/>
    <mergeCell ref="AJC153:AJE153"/>
    <mergeCell ref="AHD153:AHF153"/>
    <mergeCell ref="AHG153:AHI153"/>
    <mergeCell ref="AHJ153:AHL153"/>
    <mergeCell ref="AHS153:AHU153"/>
    <mergeCell ref="AHV153:AHX153"/>
    <mergeCell ref="AHY153:AIA153"/>
    <mergeCell ref="AFZ153:AGB153"/>
    <mergeCell ref="AGC153:AGE153"/>
    <mergeCell ref="AGF153:AGH153"/>
    <mergeCell ref="AGO153:AGQ153"/>
    <mergeCell ref="AGR153:AGT153"/>
    <mergeCell ref="AGU153:AGW153"/>
    <mergeCell ref="AEV153:AEX153"/>
    <mergeCell ref="AEY153:AFA153"/>
    <mergeCell ref="AFB153:AFD153"/>
    <mergeCell ref="AFK153:AFM153"/>
    <mergeCell ref="AFN153:AFP153"/>
    <mergeCell ref="AFQ153:AFS153"/>
    <mergeCell ref="ADR153:ADT153"/>
    <mergeCell ref="ADU153:ADW153"/>
    <mergeCell ref="ADX153:ADZ153"/>
    <mergeCell ref="AEG153:AEI153"/>
    <mergeCell ref="AEJ153:AEL153"/>
    <mergeCell ref="AEM153:AEO153"/>
    <mergeCell ref="ACN153:ACP153"/>
    <mergeCell ref="ACQ153:ACS153"/>
    <mergeCell ref="ACT153:ACV153"/>
    <mergeCell ref="ADC153:ADE153"/>
    <mergeCell ref="ADF153:ADH153"/>
    <mergeCell ref="ADI153:ADK153"/>
    <mergeCell ref="ABJ153:ABL153"/>
    <mergeCell ref="ABM153:ABO153"/>
    <mergeCell ref="ABP153:ABR153"/>
    <mergeCell ref="ABY153:ACA153"/>
    <mergeCell ref="ACB153:ACD153"/>
    <mergeCell ref="ACE153:ACG153"/>
    <mergeCell ref="AAF153:AAH153"/>
    <mergeCell ref="AAI153:AAK153"/>
    <mergeCell ref="AAL153:AAN153"/>
    <mergeCell ref="AAU153:AAW153"/>
    <mergeCell ref="AAX153:AAZ153"/>
    <mergeCell ref="ABA153:ABC153"/>
    <mergeCell ref="ZB153:ZD153"/>
    <mergeCell ref="ZE153:ZG153"/>
    <mergeCell ref="ZH153:ZJ153"/>
    <mergeCell ref="ZQ153:ZS153"/>
    <mergeCell ref="ZT153:ZV153"/>
    <mergeCell ref="ZW153:ZY153"/>
    <mergeCell ref="XX153:XZ153"/>
    <mergeCell ref="YA153:YC153"/>
    <mergeCell ref="YD153:YF153"/>
    <mergeCell ref="YM153:YO153"/>
    <mergeCell ref="YP153:YR153"/>
    <mergeCell ref="YS153:YU153"/>
    <mergeCell ref="WT153:WV153"/>
    <mergeCell ref="WW153:WY153"/>
    <mergeCell ref="WZ153:XB153"/>
    <mergeCell ref="XI153:XK153"/>
    <mergeCell ref="XL153:XN153"/>
    <mergeCell ref="XO153:XQ153"/>
    <mergeCell ref="VP153:VR153"/>
    <mergeCell ref="VS153:VU153"/>
    <mergeCell ref="VV153:VX153"/>
    <mergeCell ref="WE153:WG153"/>
    <mergeCell ref="WH153:WJ153"/>
    <mergeCell ref="WK153:WM153"/>
    <mergeCell ref="UL153:UN153"/>
    <mergeCell ref="UO153:UQ153"/>
    <mergeCell ref="UR153:UT153"/>
    <mergeCell ref="VA153:VC153"/>
    <mergeCell ref="VD153:VF153"/>
    <mergeCell ref="VG153:VI153"/>
    <mergeCell ref="TH153:TJ153"/>
    <mergeCell ref="TK153:TM153"/>
    <mergeCell ref="TN153:TP153"/>
    <mergeCell ref="TW153:TY153"/>
    <mergeCell ref="TZ153:UB153"/>
    <mergeCell ref="UC153:UE153"/>
    <mergeCell ref="SD153:SF153"/>
    <mergeCell ref="SG153:SI153"/>
    <mergeCell ref="SJ153:SL153"/>
    <mergeCell ref="SS153:SU153"/>
    <mergeCell ref="SV153:SX153"/>
    <mergeCell ref="SY153:TA153"/>
    <mergeCell ref="QZ153:RB153"/>
    <mergeCell ref="RC153:RE153"/>
    <mergeCell ref="RF153:RH153"/>
    <mergeCell ref="RO153:RQ153"/>
    <mergeCell ref="RR153:RT153"/>
    <mergeCell ref="RU153:RW153"/>
    <mergeCell ref="PV153:PX153"/>
    <mergeCell ref="PY153:QA153"/>
    <mergeCell ref="QB153:QD153"/>
    <mergeCell ref="QK153:QM153"/>
    <mergeCell ref="QN153:QP153"/>
    <mergeCell ref="QQ153:QS153"/>
    <mergeCell ref="OR153:OT153"/>
    <mergeCell ref="OU153:OW153"/>
    <mergeCell ref="OX153:OZ153"/>
    <mergeCell ref="PG153:PI153"/>
    <mergeCell ref="PJ153:PL153"/>
    <mergeCell ref="PM153:PO153"/>
    <mergeCell ref="NN153:NP153"/>
    <mergeCell ref="NQ153:NS153"/>
    <mergeCell ref="NT153:NV153"/>
    <mergeCell ref="OC153:OE153"/>
    <mergeCell ref="OF153:OH153"/>
    <mergeCell ref="OI153:OK153"/>
    <mergeCell ref="MJF152:MJH152"/>
    <mergeCell ref="MJO152:MJQ152"/>
    <mergeCell ref="MJR152:MJT152"/>
    <mergeCell ref="MJU152:MJW152"/>
    <mergeCell ref="MKD152:MKF152"/>
    <mergeCell ref="C153:E153"/>
    <mergeCell ref="F153:H153"/>
    <mergeCell ref="I153:K153"/>
    <mergeCell ref="NB153:ND153"/>
    <mergeCell ref="NE153:NG153"/>
    <mergeCell ref="MIB152:MID152"/>
    <mergeCell ref="MIK152:MIM152"/>
    <mergeCell ref="MIN152:MIP152"/>
    <mergeCell ref="MIQ152:MIS152"/>
    <mergeCell ref="MIZ152:MJB152"/>
    <mergeCell ref="MJC152:MJE152"/>
    <mergeCell ref="MGX152:MGZ152"/>
    <mergeCell ref="MHG152:MHI152"/>
    <mergeCell ref="MHJ152:MHL152"/>
    <mergeCell ref="MHM152:MHO152"/>
    <mergeCell ref="MHV152:MHX152"/>
    <mergeCell ref="MHY152:MIA152"/>
    <mergeCell ref="MFT152:MFV152"/>
    <mergeCell ref="MGC152:MGE152"/>
    <mergeCell ref="MGF152:MGH152"/>
    <mergeCell ref="MGI152:MGK152"/>
    <mergeCell ref="MGR152:MGT152"/>
    <mergeCell ref="MGU152:MGW152"/>
    <mergeCell ref="MEP152:MER152"/>
    <mergeCell ref="MEY152:MFA152"/>
    <mergeCell ref="MFB152:MFD152"/>
    <mergeCell ref="MFE152:MFG152"/>
    <mergeCell ref="MFN152:MFP152"/>
    <mergeCell ref="MFQ152:MFS152"/>
    <mergeCell ref="MDL152:MDN152"/>
    <mergeCell ref="MDU152:MDW152"/>
    <mergeCell ref="MDX152:MDZ152"/>
    <mergeCell ref="MEA152:MEC152"/>
    <mergeCell ref="MEJ152:MEL152"/>
    <mergeCell ref="MEM152:MEO152"/>
    <mergeCell ref="MCH152:MCJ152"/>
    <mergeCell ref="MCQ152:MCS152"/>
    <mergeCell ref="MCT152:MCV152"/>
    <mergeCell ref="MCW152:MCY152"/>
    <mergeCell ref="MDF152:MDH152"/>
    <mergeCell ref="MDI152:MDK152"/>
    <mergeCell ref="MBD152:MBF152"/>
    <mergeCell ref="MBM152:MBO152"/>
    <mergeCell ref="MBP152:MBR152"/>
    <mergeCell ref="MBS152:MBU152"/>
    <mergeCell ref="MCB152:MCD152"/>
    <mergeCell ref="MCE152:MCG152"/>
    <mergeCell ref="LZZ152:MAB152"/>
    <mergeCell ref="MAI152:MAK152"/>
    <mergeCell ref="MAL152:MAN152"/>
    <mergeCell ref="MAO152:MAQ152"/>
    <mergeCell ref="MAX152:MAZ152"/>
    <mergeCell ref="MBA152:MBC152"/>
    <mergeCell ref="LYV152:LYX152"/>
    <mergeCell ref="LZE152:LZG152"/>
    <mergeCell ref="LZH152:LZJ152"/>
    <mergeCell ref="LZK152:LZM152"/>
    <mergeCell ref="LZT152:LZV152"/>
    <mergeCell ref="LZW152:LZY152"/>
    <mergeCell ref="LXR152:LXT152"/>
    <mergeCell ref="LYA152:LYC152"/>
    <mergeCell ref="LYD152:LYF152"/>
    <mergeCell ref="LYG152:LYI152"/>
    <mergeCell ref="LYP152:LYR152"/>
    <mergeCell ref="LYS152:LYU152"/>
    <mergeCell ref="LWN152:LWP152"/>
    <mergeCell ref="LWW152:LWY152"/>
    <mergeCell ref="LWZ152:LXB152"/>
    <mergeCell ref="LXC152:LXE152"/>
    <mergeCell ref="LXL152:LXN152"/>
    <mergeCell ref="LXO152:LXQ152"/>
    <mergeCell ref="LVJ152:LVL152"/>
    <mergeCell ref="LVS152:LVU152"/>
    <mergeCell ref="LVV152:LVX152"/>
    <mergeCell ref="LVY152:LWA152"/>
    <mergeCell ref="LWH152:LWJ152"/>
    <mergeCell ref="LWK152:LWM152"/>
    <mergeCell ref="LUF152:LUH152"/>
    <mergeCell ref="LUO152:LUQ152"/>
    <mergeCell ref="LUR152:LUT152"/>
    <mergeCell ref="LUU152:LUW152"/>
    <mergeCell ref="LVD152:LVF152"/>
    <mergeCell ref="LVG152:LVI152"/>
    <mergeCell ref="LTB152:LTD152"/>
    <mergeCell ref="LTK152:LTM152"/>
    <mergeCell ref="LTN152:LTP152"/>
    <mergeCell ref="LTQ152:LTS152"/>
    <mergeCell ref="LTZ152:LUB152"/>
    <mergeCell ref="LUC152:LUE152"/>
    <mergeCell ref="LRX152:LRZ152"/>
    <mergeCell ref="LSG152:LSI152"/>
    <mergeCell ref="LSJ152:LSL152"/>
    <mergeCell ref="LSM152:LSO152"/>
    <mergeCell ref="LSV152:LSX152"/>
    <mergeCell ref="LSY152:LTA152"/>
    <mergeCell ref="LQT152:LQV152"/>
    <mergeCell ref="LRC152:LRE152"/>
    <mergeCell ref="LRF152:LRH152"/>
    <mergeCell ref="LRI152:LRK152"/>
    <mergeCell ref="LRR152:LRT152"/>
    <mergeCell ref="LRU152:LRW152"/>
    <mergeCell ref="LPP152:LPR152"/>
    <mergeCell ref="LPY152:LQA152"/>
    <mergeCell ref="LQB152:LQD152"/>
    <mergeCell ref="LQE152:LQG152"/>
    <mergeCell ref="LQN152:LQP152"/>
    <mergeCell ref="LQQ152:LQS152"/>
    <mergeCell ref="LOL152:LON152"/>
    <mergeCell ref="LOU152:LOW152"/>
    <mergeCell ref="LOX152:LOZ152"/>
    <mergeCell ref="LPA152:LPC152"/>
    <mergeCell ref="LPJ152:LPL152"/>
    <mergeCell ref="LPM152:LPO152"/>
    <mergeCell ref="LNH152:LNJ152"/>
    <mergeCell ref="LNQ152:LNS152"/>
    <mergeCell ref="LNT152:LNV152"/>
    <mergeCell ref="LNW152:LNY152"/>
    <mergeCell ref="LOF152:LOH152"/>
    <mergeCell ref="LOI152:LOK152"/>
    <mergeCell ref="LMD152:LMF152"/>
    <mergeCell ref="LMM152:LMO152"/>
    <mergeCell ref="LMP152:LMR152"/>
    <mergeCell ref="LMS152:LMU152"/>
    <mergeCell ref="LNB152:LND152"/>
    <mergeCell ref="LNE152:LNG152"/>
    <mergeCell ref="LKZ152:LLB152"/>
    <mergeCell ref="LLI152:LLK152"/>
    <mergeCell ref="LLL152:LLN152"/>
    <mergeCell ref="LLO152:LLQ152"/>
    <mergeCell ref="LLX152:LLZ152"/>
    <mergeCell ref="LMA152:LMC152"/>
    <mergeCell ref="LJV152:LJX152"/>
    <mergeCell ref="LKE152:LKG152"/>
    <mergeCell ref="LKH152:LKJ152"/>
    <mergeCell ref="LKK152:LKM152"/>
    <mergeCell ref="LKT152:LKV152"/>
    <mergeCell ref="LKW152:LKY152"/>
    <mergeCell ref="LIR152:LIT152"/>
    <mergeCell ref="LJA152:LJC152"/>
    <mergeCell ref="LJD152:LJF152"/>
    <mergeCell ref="LJG152:LJI152"/>
    <mergeCell ref="LJP152:LJR152"/>
    <mergeCell ref="LJS152:LJU152"/>
    <mergeCell ref="LHN152:LHP152"/>
    <mergeCell ref="LHW152:LHY152"/>
    <mergeCell ref="LHZ152:LIB152"/>
    <mergeCell ref="LIC152:LIE152"/>
    <mergeCell ref="LIL152:LIN152"/>
    <mergeCell ref="LIO152:LIQ152"/>
    <mergeCell ref="LGJ152:LGL152"/>
    <mergeCell ref="LGS152:LGU152"/>
    <mergeCell ref="LGV152:LGX152"/>
    <mergeCell ref="LGY152:LHA152"/>
    <mergeCell ref="LHH152:LHJ152"/>
    <mergeCell ref="LHK152:LHM152"/>
    <mergeCell ref="LFF152:LFH152"/>
    <mergeCell ref="LFO152:LFQ152"/>
    <mergeCell ref="LFR152:LFT152"/>
    <mergeCell ref="LFU152:LFW152"/>
    <mergeCell ref="LGD152:LGF152"/>
    <mergeCell ref="LGG152:LGI152"/>
    <mergeCell ref="LEB152:LED152"/>
    <mergeCell ref="LEK152:LEM152"/>
    <mergeCell ref="LEN152:LEP152"/>
    <mergeCell ref="LEQ152:LES152"/>
    <mergeCell ref="LEZ152:LFB152"/>
    <mergeCell ref="LFC152:LFE152"/>
    <mergeCell ref="LCX152:LCZ152"/>
    <mergeCell ref="LDG152:LDI152"/>
    <mergeCell ref="LDJ152:LDL152"/>
    <mergeCell ref="LDM152:LDO152"/>
    <mergeCell ref="LDV152:LDX152"/>
    <mergeCell ref="LDY152:LEA152"/>
    <mergeCell ref="LBT152:LBV152"/>
    <mergeCell ref="LCC152:LCE152"/>
    <mergeCell ref="LCF152:LCH152"/>
    <mergeCell ref="LCI152:LCK152"/>
    <mergeCell ref="LCR152:LCT152"/>
    <mergeCell ref="LCU152:LCW152"/>
    <mergeCell ref="LAP152:LAR152"/>
    <mergeCell ref="LAY152:LBA152"/>
    <mergeCell ref="LBB152:LBD152"/>
    <mergeCell ref="LBE152:LBG152"/>
    <mergeCell ref="LBN152:LBP152"/>
    <mergeCell ref="LBQ152:LBS152"/>
    <mergeCell ref="KZL152:KZN152"/>
    <mergeCell ref="KZU152:KZW152"/>
    <mergeCell ref="KZX152:KZZ152"/>
    <mergeCell ref="LAA152:LAC152"/>
    <mergeCell ref="LAJ152:LAL152"/>
    <mergeCell ref="LAM152:LAO152"/>
    <mergeCell ref="KYH152:KYJ152"/>
    <mergeCell ref="KYQ152:KYS152"/>
    <mergeCell ref="KYT152:KYV152"/>
    <mergeCell ref="KYW152:KYY152"/>
    <mergeCell ref="KZF152:KZH152"/>
    <mergeCell ref="KZI152:KZK152"/>
    <mergeCell ref="KXD152:KXF152"/>
    <mergeCell ref="KXM152:KXO152"/>
    <mergeCell ref="KXP152:KXR152"/>
    <mergeCell ref="KXS152:KXU152"/>
    <mergeCell ref="KYB152:KYD152"/>
    <mergeCell ref="KYE152:KYG152"/>
    <mergeCell ref="KVZ152:KWB152"/>
    <mergeCell ref="KWI152:KWK152"/>
    <mergeCell ref="KWL152:KWN152"/>
    <mergeCell ref="KWO152:KWQ152"/>
    <mergeCell ref="KWX152:KWZ152"/>
    <mergeCell ref="KXA152:KXC152"/>
    <mergeCell ref="KUV152:KUX152"/>
    <mergeCell ref="KVE152:KVG152"/>
    <mergeCell ref="KVH152:KVJ152"/>
    <mergeCell ref="KVK152:KVM152"/>
    <mergeCell ref="KVT152:KVV152"/>
    <mergeCell ref="KVW152:KVY152"/>
    <mergeCell ref="KTR152:KTT152"/>
    <mergeCell ref="KUA152:KUC152"/>
    <mergeCell ref="KUD152:KUF152"/>
    <mergeCell ref="KUG152:KUI152"/>
    <mergeCell ref="KUP152:KUR152"/>
    <mergeCell ref="KUS152:KUU152"/>
    <mergeCell ref="KSN152:KSP152"/>
    <mergeCell ref="KSW152:KSY152"/>
    <mergeCell ref="KSZ152:KTB152"/>
    <mergeCell ref="KTC152:KTE152"/>
    <mergeCell ref="KTL152:KTN152"/>
    <mergeCell ref="KTO152:KTQ152"/>
    <mergeCell ref="KRJ152:KRL152"/>
    <mergeCell ref="KRS152:KRU152"/>
    <mergeCell ref="KRV152:KRX152"/>
    <mergeCell ref="KRY152:KSA152"/>
    <mergeCell ref="KSH152:KSJ152"/>
    <mergeCell ref="KSK152:KSM152"/>
    <mergeCell ref="KQF152:KQH152"/>
    <mergeCell ref="KQO152:KQQ152"/>
    <mergeCell ref="KQR152:KQT152"/>
    <mergeCell ref="KQU152:KQW152"/>
    <mergeCell ref="KRD152:KRF152"/>
    <mergeCell ref="KRG152:KRI152"/>
    <mergeCell ref="KPB152:KPD152"/>
    <mergeCell ref="KPK152:KPM152"/>
    <mergeCell ref="KPN152:KPP152"/>
    <mergeCell ref="KPQ152:KPS152"/>
    <mergeCell ref="KPZ152:KQB152"/>
    <mergeCell ref="KQC152:KQE152"/>
    <mergeCell ref="KNX152:KNZ152"/>
    <mergeCell ref="KOG152:KOI152"/>
    <mergeCell ref="KOJ152:KOL152"/>
    <mergeCell ref="KOM152:KOO152"/>
    <mergeCell ref="KOV152:KOX152"/>
    <mergeCell ref="KOY152:KPA152"/>
    <mergeCell ref="KMT152:KMV152"/>
    <mergeCell ref="KNC152:KNE152"/>
    <mergeCell ref="KNF152:KNH152"/>
    <mergeCell ref="KNI152:KNK152"/>
    <mergeCell ref="KNR152:KNT152"/>
    <mergeCell ref="KNU152:KNW152"/>
    <mergeCell ref="KLP152:KLR152"/>
    <mergeCell ref="KLY152:KMA152"/>
    <mergeCell ref="KMB152:KMD152"/>
    <mergeCell ref="KME152:KMG152"/>
    <mergeCell ref="KMN152:KMP152"/>
    <mergeCell ref="KMQ152:KMS152"/>
    <mergeCell ref="KKL152:KKN152"/>
    <mergeCell ref="KKU152:KKW152"/>
    <mergeCell ref="KKX152:KKZ152"/>
    <mergeCell ref="KLA152:KLC152"/>
    <mergeCell ref="KLJ152:KLL152"/>
    <mergeCell ref="KLM152:KLO152"/>
    <mergeCell ref="KJH152:KJJ152"/>
    <mergeCell ref="KJQ152:KJS152"/>
    <mergeCell ref="KJT152:KJV152"/>
    <mergeCell ref="KJW152:KJY152"/>
    <mergeCell ref="KKF152:KKH152"/>
    <mergeCell ref="KKI152:KKK152"/>
    <mergeCell ref="KID152:KIF152"/>
    <mergeCell ref="KIM152:KIO152"/>
    <mergeCell ref="KIP152:KIR152"/>
    <mergeCell ref="KIS152:KIU152"/>
    <mergeCell ref="KJB152:KJD152"/>
    <mergeCell ref="KJE152:KJG152"/>
    <mergeCell ref="KGZ152:KHB152"/>
    <mergeCell ref="KHI152:KHK152"/>
    <mergeCell ref="KHL152:KHN152"/>
    <mergeCell ref="KHO152:KHQ152"/>
    <mergeCell ref="KHX152:KHZ152"/>
    <mergeCell ref="KIA152:KIC152"/>
    <mergeCell ref="KFV152:KFX152"/>
    <mergeCell ref="KGE152:KGG152"/>
    <mergeCell ref="KGH152:KGJ152"/>
    <mergeCell ref="KGK152:KGM152"/>
    <mergeCell ref="KGT152:KGV152"/>
    <mergeCell ref="KGW152:KGY152"/>
    <mergeCell ref="KER152:KET152"/>
    <mergeCell ref="KFA152:KFC152"/>
    <mergeCell ref="KFD152:KFF152"/>
    <mergeCell ref="KFG152:KFI152"/>
    <mergeCell ref="KFP152:KFR152"/>
    <mergeCell ref="KFS152:KFU152"/>
    <mergeCell ref="KDN152:KDP152"/>
    <mergeCell ref="KDW152:KDY152"/>
    <mergeCell ref="KDZ152:KEB152"/>
    <mergeCell ref="KEC152:KEE152"/>
    <mergeCell ref="KEL152:KEN152"/>
    <mergeCell ref="KEO152:KEQ152"/>
    <mergeCell ref="KCJ152:KCL152"/>
    <mergeCell ref="KCS152:KCU152"/>
    <mergeCell ref="KCV152:KCX152"/>
    <mergeCell ref="KCY152:KDA152"/>
    <mergeCell ref="KDH152:KDJ152"/>
    <mergeCell ref="KDK152:KDM152"/>
    <mergeCell ref="KBF152:KBH152"/>
    <mergeCell ref="KBO152:KBQ152"/>
    <mergeCell ref="KBR152:KBT152"/>
    <mergeCell ref="KBU152:KBW152"/>
    <mergeCell ref="KCD152:KCF152"/>
    <mergeCell ref="KCG152:KCI152"/>
    <mergeCell ref="KAB152:KAD152"/>
    <mergeCell ref="KAK152:KAM152"/>
    <mergeCell ref="KAN152:KAP152"/>
    <mergeCell ref="KAQ152:KAS152"/>
    <mergeCell ref="KAZ152:KBB152"/>
    <mergeCell ref="KBC152:KBE152"/>
    <mergeCell ref="JYX152:JYZ152"/>
    <mergeCell ref="JZG152:JZI152"/>
    <mergeCell ref="JZJ152:JZL152"/>
    <mergeCell ref="JZM152:JZO152"/>
    <mergeCell ref="JZV152:JZX152"/>
    <mergeCell ref="JZY152:KAA152"/>
    <mergeCell ref="JXT152:JXV152"/>
    <mergeCell ref="JYC152:JYE152"/>
    <mergeCell ref="JYF152:JYH152"/>
    <mergeCell ref="JYI152:JYK152"/>
    <mergeCell ref="JYR152:JYT152"/>
    <mergeCell ref="JYU152:JYW152"/>
    <mergeCell ref="JWP152:JWR152"/>
    <mergeCell ref="JWY152:JXA152"/>
    <mergeCell ref="JXB152:JXD152"/>
    <mergeCell ref="JXE152:JXG152"/>
    <mergeCell ref="JXN152:JXP152"/>
    <mergeCell ref="JXQ152:JXS152"/>
    <mergeCell ref="JVL152:JVN152"/>
    <mergeCell ref="JVU152:JVW152"/>
    <mergeCell ref="JVX152:JVZ152"/>
    <mergeCell ref="JWA152:JWC152"/>
    <mergeCell ref="JWJ152:JWL152"/>
    <mergeCell ref="JWM152:JWO152"/>
    <mergeCell ref="JUH152:JUJ152"/>
    <mergeCell ref="JUQ152:JUS152"/>
    <mergeCell ref="JUT152:JUV152"/>
    <mergeCell ref="JUW152:JUY152"/>
    <mergeCell ref="JVF152:JVH152"/>
    <mergeCell ref="JVI152:JVK152"/>
    <mergeCell ref="JTD152:JTF152"/>
    <mergeCell ref="JTM152:JTO152"/>
    <mergeCell ref="JTP152:JTR152"/>
    <mergeCell ref="JTS152:JTU152"/>
    <mergeCell ref="JUB152:JUD152"/>
    <mergeCell ref="JUE152:JUG152"/>
    <mergeCell ref="JRZ152:JSB152"/>
    <mergeCell ref="JSI152:JSK152"/>
    <mergeCell ref="JSL152:JSN152"/>
    <mergeCell ref="JSO152:JSQ152"/>
    <mergeCell ref="JSX152:JSZ152"/>
    <mergeCell ref="JTA152:JTC152"/>
    <mergeCell ref="JQV152:JQX152"/>
    <mergeCell ref="JRE152:JRG152"/>
    <mergeCell ref="JRH152:JRJ152"/>
    <mergeCell ref="JRK152:JRM152"/>
    <mergeCell ref="JRT152:JRV152"/>
    <mergeCell ref="JRW152:JRY152"/>
    <mergeCell ref="JPR152:JPT152"/>
    <mergeCell ref="JQA152:JQC152"/>
    <mergeCell ref="JQD152:JQF152"/>
    <mergeCell ref="JQG152:JQI152"/>
    <mergeCell ref="JQP152:JQR152"/>
    <mergeCell ref="JQS152:JQU152"/>
    <mergeCell ref="JON152:JOP152"/>
    <mergeCell ref="JOW152:JOY152"/>
    <mergeCell ref="JOZ152:JPB152"/>
    <mergeCell ref="JPC152:JPE152"/>
    <mergeCell ref="JPL152:JPN152"/>
    <mergeCell ref="JPO152:JPQ152"/>
    <mergeCell ref="JNJ152:JNL152"/>
    <mergeCell ref="JNS152:JNU152"/>
    <mergeCell ref="JNV152:JNX152"/>
    <mergeCell ref="JNY152:JOA152"/>
    <mergeCell ref="JOH152:JOJ152"/>
    <mergeCell ref="JOK152:JOM152"/>
    <mergeCell ref="JMF152:JMH152"/>
    <mergeCell ref="JMO152:JMQ152"/>
    <mergeCell ref="JMR152:JMT152"/>
    <mergeCell ref="JMU152:JMW152"/>
    <mergeCell ref="JND152:JNF152"/>
    <mergeCell ref="JNG152:JNI152"/>
    <mergeCell ref="JLB152:JLD152"/>
    <mergeCell ref="JLK152:JLM152"/>
    <mergeCell ref="JLN152:JLP152"/>
    <mergeCell ref="JLQ152:JLS152"/>
    <mergeCell ref="JLZ152:JMB152"/>
    <mergeCell ref="JMC152:JME152"/>
    <mergeCell ref="JJX152:JJZ152"/>
    <mergeCell ref="JKG152:JKI152"/>
    <mergeCell ref="JKJ152:JKL152"/>
    <mergeCell ref="JKM152:JKO152"/>
    <mergeCell ref="JKV152:JKX152"/>
    <mergeCell ref="JKY152:JLA152"/>
    <mergeCell ref="JIT152:JIV152"/>
    <mergeCell ref="JJC152:JJE152"/>
    <mergeCell ref="JJF152:JJH152"/>
    <mergeCell ref="JJI152:JJK152"/>
    <mergeCell ref="JJR152:JJT152"/>
    <mergeCell ref="JJU152:JJW152"/>
    <mergeCell ref="JHP152:JHR152"/>
    <mergeCell ref="JHY152:JIA152"/>
    <mergeCell ref="JIB152:JID152"/>
    <mergeCell ref="JIE152:JIG152"/>
    <mergeCell ref="JIN152:JIP152"/>
    <mergeCell ref="JIQ152:JIS152"/>
    <mergeCell ref="JGL152:JGN152"/>
    <mergeCell ref="JGU152:JGW152"/>
    <mergeCell ref="JGX152:JGZ152"/>
    <mergeCell ref="JHA152:JHC152"/>
    <mergeCell ref="JHJ152:JHL152"/>
    <mergeCell ref="JHM152:JHO152"/>
    <mergeCell ref="JFH152:JFJ152"/>
    <mergeCell ref="JFQ152:JFS152"/>
    <mergeCell ref="JFT152:JFV152"/>
    <mergeCell ref="JFW152:JFY152"/>
    <mergeCell ref="JGF152:JGH152"/>
    <mergeCell ref="JGI152:JGK152"/>
    <mergeCell ref="JED152:JEF152"/>
    <mergeCell ref="JEM152:JEO152"/>
    <mergeCell ref="JEP152:JER152"/>
    <mergeCell ref="JES152:JEU152"/>
    <mergeCell ref="JFB152:JFD152"/>
    <mergeCell ref="JFE152:JFG152"/>
    <mergeCell ref="JCZ152:JDB152"/>
    <mergeCell ref="JDI152:JDK152"/>
    <mergeCell ref="JDL152:JDN152"/>
    <mergeCell ref="JDO152:JDQ152"/>
    <mergeCell ref="JDX152:JDZ152"/>
    <mergeCell ref="JEA152:JEC152"/>
    <mergeCell ref="JBV152:JBX152"/>
    <mergeCell ref="JCE152:JCG152"/>
    <mergeCell ref="JCH152:JCJ152"/>
    <mergeCell ref="JCK152:JCM152"/>
    <mergeCell ref="JCT152:JCV152"/>
    <mergeCell ref="JCW152:JCY152"/>
    <mergeCell ref="JAR152:JAT152"/>
    <mergeCell ref="JBA152:JBC152"/>
    <mergeCell ref="JBD152:JBF152"/>
    <mergeCell ref="JBG152:JBI152"/>
    <mergeCell ref="JBP152:JBR152"/>
    <mergeCell ref="JBS152:JBU152"/>
    <mergeCell ref="IZN152:IZP152"/>
    <mergeCell ref="IZW152:IZY152"/>
    <mergeCell ref="IZZ152:JAB152"/>
    <mergeCell ref="JAC152:JAE152"/>
    <mergeCell ref="JAL152:JAN152"/>
    <mergeCell ref="JAO152:JAQ152"/>
    <mergeCell ref="IYJ152:IYL152"/>
    <mergeCell ref="IYS152:IYU152"/>
    <mergeCell ref="IYV152:IYX152"/>
    <mergeCell ref="IYY152:IZA152"/>
    <mergeCell ref="IZH152:IZJ152"/>
    <mergeCell ref="IZK152:IZM152"/>
    <mergeCell ref="IXF152:IXH152"/>
    <mergeCell ref="IXO152:IXQ152"/>
    <mergeCell ref="IXR152:IXT152"/>
    <mergeCell ref="IXU152:IXW152"/>
    <mergeCell ref="IYD152:IYF152"/>
    <mergeCell ref="IYG152:IYI152"/>
    <mergeCell ref="IWB152:IWD152"/>
    <mergeCell ref="IWK152:IWM152"/>
    <mergeCell ref="IWN152:IWP152"/>
    <mergeCell ref="IWQ152:IWS152"/>
    <mergeCell ref="IWZ152:IXB152"/>
    <mergeCell ref="IXC152:IXE152"/>
    <mergeCell ref="IUX152:IUZ152"/>
    <mergeCell ref="IVG152:IVI152"/>
    <mergeCell ref="IVJ152:IVL152"/>
    <mergeCell ref="IVM152:IVO152"/>
    <mergeCell ref="IVV152:IVX152"/>
    <mergeCell ref="IVY152:IWA152"/>
    <mergeCell ref="ITT152:ITV152"/>
    <mergeCell ref="IUC152:IUE152"/>
    <mergeCell ref="IUF152:IUH152"/>
    <mergeCell ref="IUI152:IUK152"/>
    <mergeCell ref="IUR152:IUT152"/>
    <mergeCell ref="IUU152:IUW152"/>
    <mergeCell ref="ISP152:ISR152"/>
    <mergeCell ref="ISY152:ITA152"/>
    <mergeCell ref="ITB152:ITD152"/>
    <mergeCell ref="ITE152:ITG152"/>
    <mergeCell ref="ITN152:ITP152"/>
    <mergeCell ref="ITQ152:ITS152"/>
    <mergeCell ref="IRL152:IRN152"/>
    <mergeCell ref="IRU152:IRW152"/>
    <mergeCell ref="IRX152:IRZ152"/>
    <mergeCell ref="ISA152:ISC152"/>
    <mergeCell ref="ISJ152:ISL152"/>
    <mergeCell ref="ISM152:ISO152"/>
    <mergeCell ref="IQH152:IQJ152"/>
    <mergeCell ref="IQQ152:IQS152"/>
    <mergeCell ref="IQT152:IQV152"/>
    <mergeCell ref="IQW152:IQY152"/>
    <mergeCell ref="IRF152:IRH152"/>
    <mergeCell ref="IRI152:IRK152"/>
    <mergeCell ref="IPD152:IPF152"/>
    <mergeCell ref="IPM152:IPO152"/>
    <mergeCell ref="IPP152:IPR152"/>
    <mergeCell ref="IPS152:IPU152"/>
    <mergeCell ref="IQB152:IQD152"/>
    <mergeCell ref="IQE152:IQG152"/>
    <mergeCell ref="INZ152:IOB152"/>
    <mergeCell ref="IOI152:IOK152"/>
    <mergeCell ref="IOL152:ION152"/>
    <mergeCell ref="IOO152:IOQ152"/>
    <mergeCell ref="IOX152:IOZ152"/>
    <mergeCell ref="IPA152:IPC152"/>
    <mergeCell ref="IMV152:IMX152"/>
    <mergeCell ref="INE152:ING152"/>
    <mergeCell ref="INH152:INJ152"/>
    <mergeCell ref="INK152:INM152"/>
    <mergeCell ref="INT152:INV152"/>
    <mergeCell ref="INW152:INY152"/>
    <mergeCell ref="ILR152:ILT152"/>
    <mergeCell ref="IMA152:IMC152"/>
    <mergeCell ref="IMD152:IMF152"/>
    <mergeCell ref="IMG152:IMI152"/>
    <mergeCell ref="IMP152:IMR152"/>
    <mergeCell ref="IMS152:IMU152"/>
    <mergeCell ref="IKN152:IKP152"/>
    <mergeCell ref="IKW152:IKY152"/>
    <mergeCell ref="IKZ152:ILB152"/>
    <mergeCell ref="ILC152:ILE152"/>
    <mergeCell ref="ILL152:ILN152"/>
    <mergeCell ref="ILO152:ILQ152"/>
    <mergeCell ref="IJJ152:IJL152"/>
    <mergeCell ref="IJS152:IJU152"/>
    <mergeCell ref="IJV152:IJX152"/>
    <mergeCell ref="IJY152:IKA152"/>
    <mergeCell ref="IKH152:IKJ152"/>
    <mergeCell ref="IKK152:IKM152"/>
    <mergeCell ref="IIF152:IIH152"/>
    <mergeCell ref="IIO152:IIQ152"/>
    <mergeCell ref="IIR152:IIT152"/>
    <mergeCell ref="IIU152:IIW152"/>
    <mergeCell ref="IJD152:IJF152"/>
    <mergeCell ref="IJG152:IJI152"/>
    <mergeCell ref="IHB152:IHD152"/>
    <mergeCell ref="IHK152:IHM152"/>
    <mergeCell ref="IHN152:IHP152"/>
    <mergeCell ref="IHQ152:IHS152"/>
    <mergeCell ref="IHZ152:IIB152"/>
    <mergeCell ref="IIC152:IIE152"/>
    <mergeCell ref="IFX152:IFZ152"/>
    <mergeCell ref="IGG152:IGI152"/>
    <mergeCell ref="IGJ152:IGL152"/>
    <mergeCell ref="IGM152:IGO152"/>
    <mergeCell ref="IGV152:IGX152"/>
    <mergeCell ref="IGY152:IHA152"/>
    <mergeCell ref="IET152:IEV152"/>
    <mergeCell ref="IFC152:IFE152"/>
    <mergeCell ref="IFF152:IFH152"/>
    <mergeCell ref="IFI152:IFK152"/>
    <mergeCell ref="IFR152:IFT152"/>
    <mergeCell ref="IFU152:IFW152"/>
    <mergeCell ref="IDP152:IDR152"/>
    <mergeCell ref="IDY152:IEA152"/>
    <mergeCell ref="IEB152:IED152"/>
    <mergeCell ref="IEE152:IEG152"/>
    <mergeCell ref="IEN152:IEP152"/>
    <mergeCell ref="IEQ152:IES152"/>
    <mergeCell ref="ICL152:ICN152"/>
    <mergeCell ref="ICU152:ICW152"/>
    <mergeCell ref="ICX152:ICZ152"/>
    <mergeCell ref="IDA152:IDC152"/>
    <mergeCell ref="IDJ152:IDL152"/>
    <mergeCell ref="IDM152:IDO152"/>
    <mergeCell ref="IBH152:IBJ152"/>
    <mergeCell ref="IBQ152:IBS152"/>
    <mergeCell ref="IBT152:IBV152"/>
    <mergeCell ref="IBW152:IBY152"/>
    <mergeCell ref="ICF152:ICH152"/>
    <mergeCell ref="ICI152:ICK152"/>
    <mergeCell ref="IAD152:IAF152"/>
    <mergeCell ref="IAM152:IAO152"/>
    <mergeCell ref="IAP152:IAR152"/>
    <mergeCell ref="IAS152:IAU152"/>
    <mergeCell ref="IBB152:IBD152"/>
    <mergeCell ref="IBE152:IBG152"/>
    <mergeCell ref="HYZ152:HZB152"/>
    <mergeCell ref="HZI152:HZK152"/>
    <mergeCell ref="HZL152:HZN152"/>
    <mergeCell ref="HZO152:HZQ152"/>
    <mergeCell ref="HZX152:HZZ152"/>
    <mergeCell ref="IAA152:IAC152"/>
    <mergeCell ref="HXV152:HXX152"/>
    <mergeCell ref="HYE152:HYG152"/>
    <mergeCell ref="HYH152:HYJ152"/>
    <mergeCell ref="HYK152:HYM152"/>
    <mergeCell ref="HYT152:HYV152"/>
    <mergeCell ref="HYW152:HYY152"/>
    <mergeCell ref="HWR152:HWT152"/>
    <mergeCell ref="HXA152:HXC152"/>
    <mergeCell ref="HXD152:HXF152"/>
    <mergeCell ref="HXG152:HXI152"/>
    <mergeCell ref="HXP152:HXR152"/>
    <mergeCell ref="HXS152:HXU152"/>
    <mergeCell ref="HVN152:HVP152"/>
    <mergeCell ref="HVW152:HVY152"/>
    <mergeCell ref="HVZ152:HWB152"/>
    <mergeCell ref="HWC152:HWE152"/>
    <mergeCell ref="HWL152:HWN152"/>
    <mergeCell ref="HWO152:HWQ152"/>
    <mergeCell ref="HUJ152:HUL152"/>
    <mergeCell ref="HUS152:HUU152"/>
    <mergeCell ref="HUV152:HUX152"/>
    <mergeCell ref="HUY152:HVA152"/>
    <mergeCell ref="HVH152:HVJ152"/>
    <mergeCell ref="HVK152:HVM152"/>
    <mergeCell ref="HTF152:HTH152"/>
    <mergeCell ref="HTO152:HTQ152"/>
    <mergeCell ref="HTR152:HTT152"/>
    <mergeCell ref="HTU152:HTW152"/>
    <mergeCell ref="HUD152:HUF152"/>
    <mergeCell ref="HUG152:HUI152"/>
    <mergeCell ref="HSB152:HSD152"/>
    <mergeCell ref="HSK152:HSM152"/>
    <mergeCell ref="HSN152:HSP152"/>
    <mergeCell ref="HSQ152:HSS152"/>
    <mergeCell ref="HSZ152:HTB152"/>
    <mergeCell ref="HTC152:HTE152"/>
    <mergeCell ref="HQX152:HQZ152"/>
    <mergeCell ref="HRG152:HRI152"/>
    <mergeCell ref="HRJ152:HRL152"/>
    <mergeCell ref="HRM152:HRO152"/>
    <mergeCell ref="HRV152:HRX152"/>
    <mergeCell ref="HRY152:HSA152"/>
    <mergeCell ref="HPT152:HPV152"/>
    <mergeCell ref="HQC152:HQE152"/>
    <mergeCell ref="HQF152:HQH152"/>
    <mergeCell ref="HQI152:HQK152"/>
    <mergeCell ref="HQR152:HQT152"/>
    <mergeCell ref="HQU152:HQW152"/>
    <mergeCell ref="HOP152:HOR152"/>
    <mergeCell ref="HOY152:HPA152"/>
    <mergeCell ref="HPB152:HPD152"/>
    <mergeCell ref="HPE152:HPG152"/>
    <mergeCell ref="HPN152:HPP152"/>
    <mergeCell ref="HPQ152:HPS152"/>
    <mergeCell ref="HNL152:HNN152"/>
    <mergeCell ref="HNU152:HNW152"/>
    <mergeCell ref="HNX152:HNZ152"/>
    <mergeCell ref="HOA152:HOC152"/>
    <mergeCell ref="HOJ152:HOL152"/>
    <mergeCell ref="HOM152:HOO152"/>
    <mergeCell ref="HMH152:HMJ152"/>
    <mergeCell ref="HMQ152:HMS152"/>
    <mergeCell ref="HMT152:HMV152"/>
    <mergeCell ref="HMW152:HMY152"/>
    <mergeCell ref="HNF152:HNH152"/>
    <mergeCell ref="HNI152:HNK152"/>
    <mergeCell ref="HLD152:HLF152"/>
    <mergeCell ref="HLM152:HLO152"/>
    <mergeCell ref="HLP152:HLR152"/>
    <mergeCell ref="HLS152:HLU152"/>
    <mergeCell ref="HMB152:HMD152"/>
    <mergeCell ref="HME152:HMG152"/>
    <mergeCell ref="HJZ152:HKB152"/>
    <mergeCell ref="HKI152:HKK152"/>
    <mergeCell ref="HKL152:HKN152"/>
    <mergeCell ref="HKO152:HKQ152"/>
    <mergeCell ref="HKX152:HKZ152"/>
    <mergeCell ref="HLA152:HLC152"/>
    <mergeCell ref="HIV152:HIX152"/>
    <mergeCell ref="HJE152:HJG152"/>
    <mergeCell ref="HJH152:HJJ152"/>
    <mergeCell ref="HJK152:HJM152"/>
    <mergeCell ref="HJT152:HJV152"/>
    <mergeCell ref="HJW152:HJY152"/>
    <mergeCell ref="HHR152:HHT152"/>
    <mergeCell ref="HIA152:HIC152"/>
    <mergeCell ref="HID152:HIF152"/>
    <mergeCell ref="HIG152:HII152"/>
    <mergeCell ref="HIP152:HIR152"/>
    <mergeCell ref="HIS152:HIU152"/>
    <mergeCell ref="HGN152:HGP152"/>
    <mergeCell ref="HGW152:HGY152"/>
    <mergeCell ref="HGZ152:HHB152"/>
    <mergeCell ref="HHC152:HHE152"/>
    <mergeCell ref="HHL152:HHN152"/>
    <mergeCell ref="HHO152:HHQ152"/>
    <mergeCell ref="HFJ152:HFL152"/>
    <mergeCell ref="HFS152:HFU152"/>
    <mergeCell ref="HFV152:HFX152"/>
    <mergeCell ref="HFY152:HGA152"/>
    <mergeCell ref="HGH152:HGJ152"/>
    <mergeCell ref="HGK152:HGM152"/>
    <mergeCell ref="HEF152:HEH152"/>
    <mergeCell ref="HEO152:HEQ152"/>
    <mergeCell ref="HER152:HET152"/>
    <mergeCell ref="HEU152:HEW152"/>
    <mergeCell ref="HFD152:HFF152"/>
    <mergeCell ref="HFG152:HFI152"/>
    <mergeCell ref="HDB152:HDD152"/>
    <mergeCell ref="HDK152:HDM152"/>
    <mergeCell ref="HDN152:HDP152"/>
    <mergeCell ref="HDQ152:HDS152"/>
    <mergeCell ref="HDZ152:HEB152"/>
    <mergeCell ref="HEC152:HEE152"/>
    <mergeCell ref="HBX152:HBZ152"/>
    <mergeCell ref="HCG152:HCI152"/>
    <mergeCell ref="HCJ152:HCL152"/>
    <mergeCell ref="HCM152:HCO152"/>
    <mergeCell ref="HCV152:HCX152"/>
    <mergeCell ref="HCY152:HDA152"/>
    <mergeCell ref="HAT152:HAV152"/>
    <mergeCell ref="HBC152:HBE152"/>
    <mergeCell ref="HBF152:HBH152"/>
    <mergeCell ref="HBI152:HBK152"/>
    <mergeCell ref="HBR152:HBT152"/>
    <mergeCell ref="HBU152:HBW152"/>
    <mergeCell ref="GZP152:GZR152"/>
    <mergeCell ref="GZY152:HAA152"/>
    <mergeCell ref="HAB152:HAD152"/>
    <mergeCell ref="HAE152:HAG152"/>
    <mergeCell ref="HAN152:HAP152"/>
    <mergeCell ref="HAQ152:HAS152"/>
    <mergeCell ref="GYL152:GYN152"/>
    <mergeCell ref="GYU152:GYW152"/>
    <mergeCell ref="GYX152:GYZ152"/>
    <mergeCell ref="GZA152:GZC152"/>
    <mergeCell ref="GZJ152:GZL152"/>
    <mergeCell ref="GZM152:GZO152"/>
    <mergeCell ref="GXH152:GXJ152"/>
    <mergeCell ref="GXQ152:GXS152"/>
    <mergeCell ref="GXT152:GXV152"/>
    <mergeCell ref="GXW152:GXY152"/>
    <mergeCell ref="GYF152:GYH152"/>
    <mergeCell ref="GYI152:GYK152"/>
    <mergeCell ref="GWD152:GWF152"/>
    <mergeCell ref="GWM152:GWO152"/>
    <mergeCell ref="GWP152:GWR152"/>
    <mergeCell ref="GWS152:GWU152"/>
    <mergeCell ref="GXB152:GXD152"/>
    <mergeCell ref="GXE152:GXG152"/>
    <mergeCell ref="GUZ152:GVB152"/>
    <mergeCell ref="GVI152:GVK152"/>
    <mergeCell ref="GVL152:GVN152"/>
    <mergeCell ref="GVO152:GVQ152"/>
    <mergeCell ref="GVX152:GVZ152"/>
    <mergeCell ref="GWA152:GWC152"/>
    <mergeCell ref="GTV152:GTX152"/>
    <mergeCell ref="GUE152:GUG152"/>
    <mergeCell ref="GUH152:GUJ152"/>
    <mergeCell ref="GUK152:GUM152"/>
    <mergeCell ref="GUT152:GUV152"/>
    <mergeCell ref="GUW152:GUY152"/>
    <mergeCell ref="GSR152:GST152"/>
    <mergeCell ref="GTA152:GTC152"/>
    <mergeCell ref="GTD152:GTF152"/>
    <mergeCell ref="GTG152:GTI152"/>
    <mergeCell ref="GTP152:GTR152"/>
    <mergeCell ref="GTS152:GTU152"/>
    <mergeCell ref="GRN152:GRP152"/>
    <mergeCell ref="GRW152:GRY152"/>
    <mergeCell ref="GRZ152:GSB152"/>
    <mergeCell ref="GSC152:GSE152"/>
    <mergeCell ref="GSL152:GSN152"/>
    <mergeCell ref="GSO152:GSQ152"/>
    <mergeCell ref="GQJ152:GQL152"/>
    <mergeCell ref="GQS152:GQU152"/>
    <mergeCell ref="GQV152:GQX152"/>
    <mergeCell ref="GQY152:GRA152"/>
    <mergeCell ref="GRH152:GRJ152"/>
    <mergeCell ref="GRK152:GRM152"/>
    <mergeCell ref="GPF152:GPH152"/>
    <mergeCell ref="GPO152:GPQ152"/>
    <mergeCell ref="GPR152:GPT152"/>
    <mergeCell ref="GPU152:GPW152"/>
    <mergeCell ref="GQD152:GQF152"/>
    <mergeCell ref="GQG152:GQI152"/>
    <mergeCell ref="GOB152:GOD152"/>
    <mergeCell ref="GOK152:GOM152"/>
    <mergeCell ref="GON152:GOP152"/>
    <mergeCell ref="GOQ152:GOS152"/>
    <mergeCell ref="GOZ152:GPB152"/>
    <mergeCell ref="GPC152:GPE152"/>
    <mergeCell ref="GMX152:GMZ152"/>
    <mergeCell ref="GNG152:GNI152"/>
    <mergeCell ref="GNJ152:GNL152"/>
    <mergeCell ref="GNM152:GNO152"/>
    <mergeCell ref="GNV152:GNX152"/>
    <mergeCell ref="GNY152:GOA152"/>
    <mergeCell ref="GLT152:GLV152"/>
    <mergeCell ref="GMC152:GME152"/>
    <mergeCell ref="GMF152:GMH152"/>
    <mergeCell ref="GMI152:GMK152"/>
    <mergeCell ref="GMR152:GMT152"/>
    <mergeCell ref="GMU152:GMW152"/>
    <mergeCell ref="GKP152:GKR152"/>
    <mergeCell ref="GKY152:GLA152"/>
    <mergeCell ref="GLB152:GLD152"/>
    <mergeCell ref="GLE152:GLG152"/>
    <mergeCell ref="GLN152:GLP152"/>
    <mergeCell ref="GLQ152:GLS152"/>
    <mergeCell ref="GJL152:GJN152"/>
    <mergeCell ref="GJU152:GJW152"/>
    <mergeCell ref="GJX152:GJZ152"/>
    <mergeCell ref="GKA152:GKC152"/>
    <mergeCell ref="GKJ152:GKL152"/>
    <mergeCell ref="GKM152:GKO152"/>
    <mergeCell ref="GIH152:GIJ152"/>
    <mergeCell ref="GIQ152:GIS152"/>
    <mergeCell ref="GIT152:GIV152"/>
    <mergeCell ref="GIW152:GIY152"/>
    <mergeCell ref="GJF152:GJH152"/>
    <mergeCell ref="GJI152:GJK152"/>
    <mergeCell ref="GHD152:GHF152"/>
    <mergeCell ref="GHM152:GHO152"/>
    <mergeCell ref="GHP152:GHR152"/>
    <mergeCell ref="GHS152:GHU152"/>
    <mergeCell ref="GIB152:GID152"/>
    <mergeCell ref="GIE152:GIG152"/>
    <mergeCell ref="GFZ152:GGB152"/>
    <mergeCell ref="GGI152:GGK152"/>
    <mergeCell ref="GGL152:GGN152"/>
    <mergeCell ref="GGO152:GGQ152"/>
    <mergeCell ref="GGX152:GGZ152"/>
    <mergeCell ref="GHA152:GHC152"/>
    <mergeCell ref="GEV152:GEX152"/>
    <mergeCell ref="GFE152:GFG152"/>
    <mergeCell ref="GFH152:GFJ152"/>
    <mergeCell ref="GFK152:GFM152"/>
    <mergeCell ref="GFT152:GFV152"/>
    <mergeCell ref="GFW152:GFY152"/>
    <mergeCell ref="GDR152:GDT152"/>
    <mergeCell ref="GEA152:GEC152"/>
    <mergeCell ref="GED152:GEF152"/>
    <mergeCell ref="GEG152:GEI152"/>
    <mergeCell ref="GEP152:GER152"/>
    <mergeCell ref="GES152:GEU152"/>
    <mergeCell ref="GCN152:GCP152"/>
    <mergeCell ref="GCW152:GCY152"/>
    <mergeCell ref="GCZ152:GDB152"/>
    <mergeCell ref="GDC152:GDE152"/>
    <mergeCell ref="GDL152:GDN152"/>
    <mergeCell ref="GDO152:GDQ152"/>
    <mergeCell ref="GBJ152:GBL152"/>
    <mergeCell ref="GBS152:GBU152"/>
    <mergeCell ref="GBV152:GBX152"/>
    <mergeCell ref="GBY152:GCA152"/>
    <mergeCell ref="GCH152:GCJ152"/>
    <mergeCell ref="GCK152:GCM152"/>
    <mergeCell ref="GAF152:GAH152"/>
    <mergeCell ref="GAO152:GAQ152"/>
    <mergeCell ref="GAR152:GAT152"/>
    <mergeCell ref="GAU152:GAW152"/>
    <mergeCell ref="GBD152:GBF152"/>
    <mergeCell ref="GBG152:GBI152"/>
    <mergeCell ref="FZB152:FZD152"/>
    <mergeCell ref="FZK152:FZM152"/>
    <mergeCell ref="FZN152:FZP152"/>
    <mergeCell ref="FZQ152:FZS152"/>
    <mergeCell ref="FZZ152:GAB152"/>
    <mergeCell ref="GAC152:GAE152"/>
    <mergeCell ref="FXX152:FXZ152"/>
    <mergeCell ref="FYG152:FYI152"/>
    <mergeCell ref="FYJ152:FYL152"/>
    <mergeCell ref="FYM152:FYO152"/>
    <mergeCell ref="FYV152:FYX152"/>
    <mergeCell ref="FYY152:FZA152"/>
    <mergeCell ref="FWT152:FWV152"/>
    <mergeCell ref="FXC152:FXE152"/>
    <mergeCell ref="FXF152:FXH152"/>
    <mergeCell ref="FXI152:FXK152"/>
    <mergeCell ref="FXR152:FXT152"/>
    <mergeCell ref="FXU152:FXW152"/>
    <mergeCell ref="FVP152:FVR152"/>
    <mergeCell ref="FVY152:FWA152"/>
    <mergeCell ref="FWB152:FWD152"/>
    <mergeCell ref="FWE152:FWG152"/>
    <mergeCell ref="FWN152:FWP152"/>
    <mergeCell ref="FWQ152:FWS152"/>
    <mergeCell ref="FUL152:FUN152"/>
    <mergeCell ref="FUU152:FUW152"/>
    <mergeCell ref="FUX152:FUZ152"/>
    <mergeCell ref="FVA152:FVC152"/>
    <mergeCell ref="FVJ152:FVL152"/>
    <mergeCell ref="FVM152:FVO152"/>
    <mergeCell ref="FTH152:FTJ152"/>
    <mergeCell ref="FTQ152:FTS152"/>
    <mergeCell ref="FTT152:FTV152"/>
    <mergeCell ref="FTW152:FTY152"/>
    <mergeCell ref="FUF152:FUH152"/>
    <mergeCell ref="FUI152:FUK152"/>
    <mergeCell ref="FSD152:FSF152"/>
    <mergeCell ref="FSM152:FSO152"/>
    <mergeCell ref="FSP152:FSR152"/>
    <mergeCell ref="FSS152:FSU152"/>
    <mergeCell ref="FTB152:FTD152"/>
    <mergeCell ref="FTE152:FTG152"/>
    <mergeCell ref="FQZ152:FRB152"/>
    <mergeCell ref="FRI152:FRK152"/>
    <mergeCell ref="FRL152:FRN152"/>
    <mergeCell ref="FRO152:FRQ152"/>
    <mergeCell ref="FRX152:FRZ152"/>
    <mergeCell ref="FSA152:FSC152"/>
    <mergeCell ref="FPV152:FPX152"/>
    <mergeCell ref="FQE152:FQG152"/>
    <mergeCell ref="FQH152:FQJ152"/>
    <mergeCell ref="FQK152:FQM152"/>
    <mergeCell ref="FQT152:FQV152"/>
    <mergeCell ref="FQW152:FQY152"/>
    <mergeCell ref="FOR152:FOT152"/>
    <mergeCell ref="FPA152:FPC152"/>
    <mergeCell ref="FPD152:FPF152"/>
    <mergeCell ref="FPG152:FPI152"/>
    <mergeCell ref="FPP152:FPR152"/>
    <mergeCell ref="FPS152:FPU152"/>
    <mergeCell ref="FNN152:FNP152"/>
    <mergeCell ref="FNW152:FNY152"/>
    <mergeCell ref="FNZ152:FOB152"/>
    <mergeCell ref="FOC152:FOE152"/>
    <mergeCell ref="FOL152:FON152"/>
    <mergeCell ref="FOO152:FOQ152"/>
    <mergeCell ref="FMJ152:FML152"/>
    <mergeCell ref="FMS152:FMU152"/>
    <mergeCell ref="FMV152:FMX152"/>
    <mergeCell ref="FMY152:FNA152"/>
    <mergeCell ref="FNH152:FNJ152"/>
    <mergeCell ref="FNK152:FNM152"/>
    <mergeCell ref="FLF152:FLH152"/>
    <mergeCell ref="FLO152:FLQ152"/>
    <mergeCell ref="FLR152:FLT152"/>
    <mergeCell ref="FLU152:FLW152"/>
    <mergeCell ref="FMD152:FMF152"/>
    <mergeCell ref="FMG152:FMI152"/>
    <mergeCell ref="FKB152:FKD152"/>
    <mergeCell ref="FKK152:FKM152"/>
    <mergeCell ref="FKN152:FKP152"/>
    <mergeCell ref="FKQ152:FKS152"/>
    <mergeCell ref="FKZ152:FLB152"/>
    <mergeCell ref="FLC152:FLE152"/>
    <mergeCell ref="FIX152:FIZ152"/>
    <mergeCell ref="FJG152:FJI152"/>
    <mergeCell ref="FJJ152:FJL152"/>
    <mergeCell ref="FJM152:FJO152"/>
    <mergeCell ref="FJV152:FJX152"/>
    <mergeCell ref="FJY152:FKA152"/>
    <mergeCell ref="FHT152:FHV152"/>
    <mergeCell ref="FIC152:FIE152"/>
    <mergeCell ref="FIF152:FIH152"/>
    <mergeCell ref="FII152:FIK152"/>
    <mergeCell ref="FIR152:FIT152"/>
    <mergeCell ref="FIU152:FIW152"/>
    <mergeCell ref="FGP152:FGR152"/>
    <mergeCell ref="FGY152:FHA152"/>
    <mergeCell ref="FHB152:FHD152"/>
    <mergeCell ref="FHE152:FHG152"/>
    <mergeCell ref="FHN152:FHP152"/>
    <mergeCell ref="FHQ152:FHS152"/>
    <mergeCell ref="FFL152:FFN152"/>
    <mergeCell ref="FFU152:FFW152"/>
    <mergeCell ref="FFX152:FFZ152"/>
    <mergeCell ref="FGA152:FGC152"/>
    <mergeCell ref="FGJ152:FGL152"/>
    <mergeCell ref="FGM152:FGO152"/>
    <mergeCell ref="FEH152:FEJ152"/>
    <mergeCell ref="FEQ152:FES152"/>
    <mergeCell ref="FET152:FEV152"/>
    <mergeCell ref="FEW152:FEY152"/>
    <mergeCell ref="FFF152:FFH152"/>
    <mergeCell ref="FFI152:FFK152"/>
    <mergeCell ref="FDD152:FDF152"/>
    <mergeCell ref="FDM152:FDO152"/>
    <mergeCell ref="FDP152:FDR152"/>
    <mergeCell ref="FDS152:FDU152"/>
    <mergeCell ref="FEB152:FED152"/>
    <mergeCell ref="FEE152:FEG152"/>
    <mergeCell ref="FBZ152:FCB152"/>
    <mergeCell ref="FCI152:FCK152"/>
    <mergeCell ref="FCL152:FCN152"/>
    <mergeCell ref="FCO152:FCQ152"/>
    <mergeCell ref="FCX152:FCZ152"/>
    <mergeCell ref="FDA152:FDC152"/>
    <mergeCell ref="FAV152:FAX152"/>
    <mergeCell ref="FBE152:FBG152"/>
    <mergeCell ref="FBH152:FBJ152"/>
    <mergeCell ref="FBK152:FBM152"/>
    <mergeCell ref="FBT152:FBV152"/>
    <mergeCell ref="FBW152:FBY152"/>
    <mergeCell ref="EZR152:EZT152"/>
    <mergeCell ref="FAA152:FAC152"/>
    <mergeCell ref="FAD152:FAF152"/>
    <mergeCell ref="FAG152:FAI152"/>
    <mergeCell ref="FAP152:FAR152"/>
    <mergeCell ref="FAS152:FAU152"/>
    <mergeCell ref="EYN152:EYP152"/>
    <mergeCell ref="EYW152:EYY152"/>
    <mergeCell ref="EYZ152:EZB152"/>
    <mergeCell ref="EZC152:EZE152"/>
    <mergeCell ref="EZL152:EZN152"/>
    <mergeCell ref="EZO152:EZQ152"/>
    <mergeCell ref="EXJ152:EXL152"/>
    <mergeCell ref="EXS152:EXU152"/>
    <mergeCell ref="EXV152:EXX152"/>
    <mergeCell ref="EXY152:EYA152"/>
    <mergeCell ref="EYH152:EYJ152"/>
    <mergeCell ref="EYK152:EYM152"/>
    <mergeCell ref="EWF152:EWH152"/>
    <mergeCell ref="EWO152:EWQ152"/>
    <mergeCell ref="EWR152:EWT152"/>
    <mergeCell ref="EWU152:EWW152"/>
    <mergeCell ref="EXD152:EXF152"/>
    <mergeCell ref="EXG152:EXI152"/>
    <mergeCell ref="EVB152:EVD152"/>
    <mergeCell ref="EVK152:EVM152"/>
    <mergeCell ref="EVN152:EVP152"/>
    <mergeCell ref="EVQ152:EVS152"/>
    <mergeCell ref="EVZ152:EWB152"/>
    <mergeCell ref="EWC152:EWE152"/>
    <mergeCell ref="ETX152:ETZ152"/>
    <mergeCell ref="EUG152:EUI152"/>
    <mergeCell ref="EUJ152:EUL152"/>
    <mergeCell ref="EUM152:EUO152"/>
    <mergeCell ref="EUV152:EUX152"/>
    <mergeCell ref="EUY152:EVA152"/>
    <mergeCell ref="EST152:ESV152"/>
    <mergeCell ref="ETC152:ETE152"/>
    <mergeCell ref="ETF152:ETH152"/>
    <mergeCell ref="ETI152:ETK152"/>
    <mergeCell ref="ETR152:ETT152"/>
    <mergeCell ref="ETU152:ETW152"/>
    <mergeCell ref="ERP152:ERR152"/>
    <mergeCell ref="ERY152:ESA152"/>
    <mergeCell ref="ESB152:ESD152"/>
    <mergeCell ref="ESE152:ESG152"/>
    <mergeCell ref="ESN152:ESP152"/>
    <mergeCell ref="ESQ152:ESS152"/>
    <mergeCell ref="EQL152:EQN152"/>
    <mergeCell ref="EQU152:EQW152"/>
    <mergeCell ref="EQX152:EQZ152"/>
    <mergeCell ref="ERA152:ERC152"/>
    <mergeCell ref="ERJ152:ERL152"/>
    <mergeCell ref="ERM152:ERO152"/>
    <mergeCell ref="EPH152:EPJ152"/>
    <mergeCell ref="EPQ152:EPS152"/>
    <mergeCell ref="EPT152:EPV152"/>
    <mergeCell ref="EPW152:EPY152"/>
    <mergeCell ref="EQF152:EQH152"/>
    <mergeCell ref="EQI152:EQK152"/>
    <mergeCell ref="EOD152:EOF152"/>
    <mergeCell ref="EOM152:EOO152"/>
    <mergeCell ref="EOP152:EOR152"/>
    <mergeCell ref="EOS152:EOU152"/>
    <mergeCell ref="EPB152:EPD152"/>
    <mergeCell ref="EPE152:EPG152"/>
    <mergeCell ref="EMZ152:ENB152"/>
    <mergeCell ref="ENI152:ENK152"/>
    <mergeCell ref="ENL152:ENN152"/>
    <mergeCell ref="ENO152:ENQ152"/>
    <mergeCell ref="ENX152:ENZ152"/>
    <mergeCell ref="EOA152:EOC152"/>
    <mergeCell ref="ELV152:ELX152"/>
    <mergeCell ref="EME152:EMG152"/>
    <mergeCell ref="EMH152:EMJ152"/>
    <mergeCell ref="EMK152:EMM152"/>
    <mergeCell ref="EMT152:EMV152"/>
    <mergeCell ref="EMW152:EMY152"/>
    <mergeCell ref="EKR152:EKT152"/>
    <mergeCell ref="ELA152:ELC152"/>
    <mergeCell ref="ELD152:ELF152"/>
    <mergeCell ref="ELG152:ELI152"/>
    <mergeCell ref="ELP152:ELR152"/>
    <mergeCell ref="ELS152:ELU152"/>
    <mergeCell ref="EJN152:EJP152"/>
    <mergeCell ref="EJW152:EJY152"/>
    <mergeCell ref="EJZ152:EKB152"/>
    <mergeCell ref="EKC152:EKE152"/>
    <mergeCell ref="EKL152:EKN152"/>
    <mergeCell ref="EKO152:EKQ152"/>
    <mergeCell ref="EIJ152:EIL152"/>
    <mergeCell ref="EIS152:EIU152"/>
    <mergeCell ref="EIV152:EIX152"/>
    <mergeCell ref="EIY152:EJA152"/>
    <mergeCell ref="EJH152:EJJ152"/>
    <mergeCell ref="EJK152:EJM152"/>
    <mergeCell ref="EHF152:EHH152"/>
    <mergeCell ref="EHO152:EHQ152"/>
    <mergeCell ref="EHR152:EHT152"/>
    <mergeCell ref="EHU152:EHW152"/>
    <mergeCell ref="EID152:EIF152"/>
    <mergeCell ref="EIG152:EII152"/>
    <mergeCell ref="EGB152:EGD152"/>
    <mergeCell ref="EGK152:EGM152"/>
    <mergeCell ref="EGN152:EGP152"/>
    <mergeCell ref="EGQ152:EGS152"/>
    <mergeCell ref="EGZ152:EHB152"/>
    <mergeCell ref="EHC152:EHE152"/>
    <mergeCell ref="EEX152:EEZ152"/>
    <mergeCell ref="EFG152:EFI152"/>
    <mergeCell ref="EFJ152:EFL152"/>
    <mergeCell ref="EFM152:EFO152"/>
    <mergeCell ref="EFV152:EFX152"/>
    <mergeCell ref="EFY152:EGA152"/>
    <mergeCell ref="EDT152:EDV152"/>
    <mergeCell ref="EEC152:EEE152"/>
    <mergeCell ref="EEF152:EEH152"/>
    <mergeCell ref="EEI152:EEK152"/>
    <mergeCell ref="EER152:EET152"/>
    <mergeCell ref="EEU152:EEW152"/>
    <mergeCell ref="ECP152:ECR152"/>
    <mergeCell ref="ECY152:EDA152"/>
    <mergeCell ref="EDB152:EDD152"/>
    <mergeCell ref="EDE152:EDG152"/>
    <mergeCell ref="EDN152:EDP152"/>
    <mergeCell ref="EDQ152:EDS152"/>
    <mergeCell ref="EBL152:EBN152"/>
    <mergeCell ref="EBU152:EBW152"/>
    <mergeCell ref="EBX152:EBZ152"/>
    <mergeCell ref="ECA152:ECC152"/>
    <mergeCell ref="ECJ152:ECL152"/>
    <mergeCell ref="ECM152:ECO152"/>
    <mergeCell ref="EAH152:EAJ152"/>
    <mergeCell ref="EAQ152:EAS152"/>
    <mergeCell ref="EAT152:EAV152"/>
    <mergeCell ref="EAW152:EAY152"/>
    <mergeCell ref="EBF152:EBH152"/>
    <mergeCell ref="EBI152:EBK152"/>
    <mergeCell ref="DZD152:DZF152"/>
    <mergeCell ref="DZM152:DZO152"/>
    <mergeCell ref="DZP152:DZR152"/>
    <mergeCell ref="DZS152:DZU152"/>
    <mergeCell ref="EAB152:EAD152"/>
    <mergeCell ref="EAE152:EAG152"/>
    <mergeCell ref="DXZ152:DYB152"/>
    <mergeCell ref="DYI152:DYK152"/>
    <mergeCell ref="DYL152:DYN152"/>
    <mergeCell ref="DYO152:DYQ152"/>
    <mergeCell ref="DYX152:DYZ152"/>
    <mergeCell ref="DZA152:DZC152"/>
    <mergeCell ref="DWV152:DWX152"/>
    <mergeCell ref="DXE152:DXG152"/>
    <mergeCell ref="DXH152:DXJ152"/>
    <mergeCell ref="DXK152:DXM152"/>
    <mergeCell ref="DXT152:DXV152"/>
    <mergeCell ref="DXW152:DXY152"/>
    <mergeCell ref="DVR152:DVT152"/>
    <mergeCell ref="DWA152:DWC152"/>
    <mergeCell ref="DWD152:DWF152"/>
    <mergeCell ref="DWG152:DWI152"/>
    <mergeCell ref="DWP152:DWR152"/>
    <mergeCell ref="DWS152:DWU152"/>
    <mergeCell ref="DUN152:DUP152"/>
    <mergeCell ref="DUW152:DUY152"/>
    <mergeCell ref="DUZ152:DVB152"/>
    <mergeCell ref="DVC152:DVE152"/>
    <mergeCell ref="DVL152:DVN152"/>
    <mergeCell ref="DVO152:DVQ152"/>
    <mergeCell ref="DTJ152:DTL152"/>
    <mergeCell ref="DTS152:DTU152"/>
    <mergeCell ref="DTV152:DTX152"/>
    <mergeCell ref="DTY152:DUA152"/>
    <mergeCell ref="DUH152:DUJ152"/>
    <mergeCell ref="DUK152:DUM152"/>
    <mergeCell ref="DSF152:DSH152"/>
    <mergeCell ref="DSO152:DSQ152"/>
    <mergeCell ref="DSR152:DST152"/>
    <mergeCell ref="DSU152:DSW152"/>
    <mergeCell ref="DTD152:DTF152"/>
    <mergeCell ref="DTG152:DTI152"/>
    <mergeCell ref="DRB152:DRD152"/>
    <mergeCell ref="DRK152:DRM152"/>
    <mergeCell ref="DRN152:DRP152"/>
    <mergeCell ref="DRQ152:DRS152"/>
    <mergeCell ref="DRZ152:DSB152"/>
    <mergeCell ref="DSC152:DSE152"/>
    <mergeCell ref="DPX152:DPZ152"/>
    <mergeCell ref="DQG152:DQI152"/>
    <mergeCell ref="DQJ152:DQL152"/>
    <mergeCell ref="DQM152:DQO152"/>
    <mergeCell ref="DQV152:DQX152"/>
    <mergeCell ref="DQY152:DRA152"/>
    <mergeCell ref="DOT152:DOV152"/>
    <mergeCell ref="DPC152:DPE152"/>
    <mergeCell ref="DPF152:DPH152"/>
    <mergeCell ref="DPI152:DPK152"/>
    <mergeCell ref="DPR152:DPT152"/>
    <mergeCell ref="DPU152:DPW152"/>
    <mergeCell ref="DNP152:DNR152"/>
    <mergeCell ref="DNY152:DOA152"/>
    <mergeCell ref="DOB152:DOD152"/>
    <mergeCell ref="DOE152:DOG152"/>
    <mergeCell ref="DON152:DOP152"/>
    <mergeCell ref="DOQ152:DOS152"/>
    <mergeCell ref="DML152:DMN152"/>
    <mergeCell ref="DMU152:DMW152"/>
    <mergeCell ref="DMX152:DMZ152"/>
    <mergeCell ref="DNA152:DNC152"/>
    <mergeCell ref="DNJ152:DNL152"/>
    <mergeCell ref="DNM152:DNO152"/>
    <mergeCell ref="DLH152:DLJ152"/>
    <mergeCell ref="DLQ152:DLS152"/>
    <mergeCell ref="DLT152:DLV152"/>
    <mergeCell ref="DLW152:DLY152"/>
    <mergeCell ref="DMF152:DMH152"/>
    <mergeCell ref="DMI152:DMK152"/>
    <mergeCell ref="DKD152:DKF152"/>
    <mergeCell ref="DKM152:DKO152"/>
    <mergeCell ref="DKP152:DKR152"/>
    <mergeCell ref="DKS152:DKU152"/>
    <mergeCell ref="DLB152:DLD152"/>
    <mergeCell ref="DLE152:DLG152"/>
    <mergeCell ref="DIZ152:DJB152"/>
    <mergeCell ref="DJI152:DJK152"/>
    <mergeCell ref="DJL152:DJN152"/>
    <mergeCell ref="DJO152:DJQ152"/>
    <mergeCell ref="DJX152:DJZ152"/>
    <mergeCell ref="DKA152:DKC152"/>
    <mergeCell ref="DHV152:DHX152"/>
    <mergeCell ref="DIE152:DIG152"/>
    <mergeCell ref="DIH152:DIJ152"/>
    <mergeCell ref="DIK152:DIM152"/>
    <mergeCell ref="DIT152:DIV152"/>
    <mergeCell ref="DIW152:DIY152"/>
    <mergeCell ref="DGR152:DGT152"/>
    <mergeCell ref="DHA152:DHC152"/>
    <mergeCell ref="DHD152:DHF152"/>
    <mergeCell ref="DHG152:DHI152"/>
    <mergeCell ref="DHP152:DHR152"/>
    <mergeCell ref="DHS152:DHU152"/>
    <mergeCell ref="DFN152:DFP152"/>
    <mergeCell ref="DFW152:DFY152"/>
    <mergeCell ref="DFZ152:DGB152"/>
    <mergeCell ref="DGC152:DGE152"/>
    <mergeCell ref="DGL152:DGN152"/>
    <mergeCell ref="DGO152:DGQ152"/>
    <mergeCell ref="DEJ152:DEL152"/>
    <mergeCell ref="DES152:DEU152"/>
    <mergeCell ref="DEV152:DEX152"/>
    <mergeCell ref="DEY152:DFA152"/>
    <mergeCell ref="DFH152:DFJ152"/>
    <mergeCell ref="DFK152:DFM152"/>
    <mergeCell ref="DDF152:DDH152"/>
    <mergeCell ref="DDO152:DDQ152"/>
    <mergeCell ref="DDR152:DDT152"/>
    <mergeCell ref="DDU152:DDW152"/>
    <mergeCell ref="DED152:DEF152"/>
    <mergeCell ref="DEG152:DEI152"/>
    <mergeCell ref="DCB152:DCD152"/>
    <mergeCell ref="DCK152:DCM152"/>
    <mergeCell ref="DCN152:DCP152"/>
    <mergeCell ref="DCQ152:DCS152"/>
    <mergeCell ref="DCZ152:DDB152"/>
    <mergeCell ref="DDC152:DDE152"/>
    <mergeCell ref="DAX152:DAZ152"/>
    <mergeCell ref="DBG152:DBI152"/>
    <mergeCell ref="DBJ152:DBL152"/>
    <mergeCell ref="DBM152:DBO152"/>
    <mergeCell ref="DBV152:DBX152"/>
    <mergeCell ref="DBY152:DCA152"/>
    <mergeCell ref="CZT152:CZV152"/>
    <mergeCell ref="DAC152:DAE152"/>
    <mergeCell ref="DAF152:DAH152"/>
    <mergeCell ref="DAI152:DAK152"/>
    <mergeCell ref="DAR152:DAT152"/>
    <mergeCell ref="DAU152:DAW152"/>
    <mergeCell ref="CYP152:CYR152"/>
    <mergeCell ref="CYY152:CZA152"/>
    <mergeCell ref="CZB152:CZD152"/>
    <mergeCell ref="CZE152:CZG152"/>
    <mergeCell ref="CZN152:CZP152"/>
    <mergeCell ref="CZQ152:CZS152"/>
    <mergeCell ref="CXL152:CXN152"/>
    <mergeCell ref="CXU152:CXW152"/>
    <mergeCell ref="CXX152:CXZ152"/>
    <mergeCell ref="CYA152:CYC152"/>
    <mergeCell ref="CYJ152:CYL152"/>
    <mergeCell ref="CYM152:CYO152"/>
    <mergeCell ref="CWH152:CWJ152"/>
    <mergeCell ref="CWQ152:CWS152"/>
    <mergeCell ref="CWT152:CWV152"/>
    <mergeCell ref="CWW152:CWY152"/>
    <mergeCell ref="CXF152:CXH152"/>
    <mergeCell ref="CXI152:CXK152"/>
    <mergeCell ref="CVD152:CVF152"/>
    <mergeCell ref="CVM152:CVO152"/>
    <mergeCell ref="CVP152:CVR152"/>
    <mergeCell ref="CVS152:CVU152"/>
    <mergeCell ref="CWB152:CWD152"/>
    <mergeCell ref="CWE152:CWG152"/>
    <mergeCell ref="CTZ152:CUB152"/>
    <mergeCell ref="CUI152:CUK152"/>
    <mergeCell ref="CUL152:CUN152"/>
    <mergeCell ref="CUO152:CUQ152"/>
    <mergeCell ref="CUX152:CUZ152"/>
    <mergeCell ref="CVA152:CVC152"/>
    <mergeCell ref="CSV152:CSX152"/>
    <mergeCell ref="CTE152:CTG152"/>
    <mergeCell ref="CTH152:CTJ152"/>
    <mergeCell ref="CTK152:CTM152"/>
    <mergeCell ref="CTT152:CTV152"/>
    <mergeCell ref="CTW152:CTY152"/>
    <mergeCell ref="CRR152:CRT152"/>
    <mergeCell ref="CSA152:CSC152"/>
    <mergeCell ref="CSD152:CSF152"/>
    <mergeCell ref="CSG152:CSI152"/>
    <mergeCell ref="CSP152:CSR152"/>
    <mergeCell ref="CSS152:CSU152"/>
    <mergeCell ref="CQN152:CQP152"/>
    <mergeCell ref="CQW152:CQY152"/>
    <mergeCell ref="CQZ152:CRB152"/>
    <mergeCell ref="CRC152:CRE152"/>
    <mergeCell ref="CRL152:CRN152"/>
    <mergeCell ref="CRO152:CRQ152"/>
    <mergeCell ref="CPJ152:CPL152"/>
    <mergeCell ref="CPS152:CPU152"/>
    <mergeCell ref="CPV152:CPX152"/>
    <mergeCell ref="CPY152:CQA152"/>
    <mergeCell ref="CQH152:CQJ152"/>
    <mergeCell ref="CQK152:CQM152"/>
    <mergeCell ref="COF152:COH152"/>
    <mergeCell ref="COO152:COQ152"/>
    <mergeCell ref="COR152:COT152"/>
    <mergeCell ref="COU152:COW152"/>
    <mergeCell ref="CPD152:CPF152"/>
    <mergeCell ref="CPG152:CPI152"/>
    <mergeCell ref="CNB152:CND152"/>
    <mergeCell ref="CNK152:CNM152"/>
    <mergeCell ref="CNN152:CNP152"/>
    <mergeCell ref="CNQ152:CNS152"/>
    <mergeCell ref="CNZ152:COB152"/>
    <mergeCell ref="COC152:COE152"/>
    <mergeCell ref="CLX152:CLZ152"/>
    <mergeCell ref="CMG152:CMI152"/>
    <mergeCell ref="CMJ152:CML152"/>
    <mergeCell ref="CMM152:CMO152"/>
    <mergeCell ref="CMV152:CMX152"/>
    <mergeCell ref="CMY152:CNA152"/>
    <mergeCell ref="CKT152:CKV152"/>
    <mergeCell ref="CLC152:CLE152"/>
    <mergeCell ref="CLF152:CLH152"/>
    <mergeCell ref="CLI152:CLK152"/>
    <mergeCell ref="CLR152:CLT152"/>
    <mergeCell ref="CLU152:CLW152"/>
    <mergeCell ref="CJP152:CJR152"/>
    <mergeCell ref="CJY152:CKA152"/>
    <mergeCell ref="CKB152:CKD152"/>
    <mergeCell ref="CKE152:CKG152"/>
    <mergeCell ref="CKN152:CKP152"/>
    <mergeCell ref="CKQ152:CKS152"/>
    <mergeCell ref="CIL152:CIN152"/>
    <mergeCell ref="CIU152:CIW152"/>
    <mergeCell ref="CIX152:CIZ152"/>
    <mergeCell ref="CJA152:CJC152"/>
    <mergeCell ref="CJJ152:CJL152"/>
    <mergeCell ref="CJM152:CJO152"/>
    <mergeCell ref="CHH152:CHJ152"/>
    <mergeCell ref="CHQ152:CHS152"/>
    <mergeCell ref="CHT152:CHV152"/>
    <mergeCell ref="CHW152:CHY152"/>
    <mergeCell ref="CIF152:CIH152"/>
    <mergeCell ref="CII152:CIK152"/>
    <mergeCell ref="CGD152:CGF152"/>
    <mergeCell ref="CGM152:CGO152"/>
    <mergeCell ref="CGP152:CGR152"/>
    <mergeCell ref="CGS152:CGU152"/>
    <mergeCell ref="CHB152:CHD152"/>
    <mergeCell ref="CHE152:CHG152"/>
    <mergeCell ref="CEZ152:CFB152"/>
    <mergeCell ref="CFI152:CFK152"/>
    <mergeCell ref="CFL152:CFN152"/>
    <mergeCell ref="CFO152:CFQ152"/>
    <mergeCell ref="CFX152:CFZ152"/>
    <mergeCell ref="CGA152:CGC152"/>
    <mergeCell ref="CDV152:CDX152"/>
    <mergeCell ref="CEE152:CEG152"/>
    <mergeCell ref="CEH152:CEJ152"/>
    <mergeCell ref="CEK152:CEM152"/>
    <mergeCell ref="CET152:CEV152"/>
    <mergeCell ref="CEW152:CEY152"/>
    <mergeCell ref="CCR152:CCT152"/>
    <mergeCell ref="CDA152:CDC152"/>
    <mergeCell ref="CDD152:CDF152"/>
    <mergeCell ref="CDG152:CDI152"/>
    <mergeCell ref="CDP152:CDR152"/>
    <mergeCell ref="CDS152:CDU152"/>
    <mergeCell ref="CBN152:CBP152"/>
    <mergeCell ref="CBW152:CBY152"/>
    <mergeCell ref="CBZ152:CCB152"/>
    <mergeCell ref="CCC152:CCE152"/>
    <mergeCell ref="CCL152:CCN152"/>
    <mergeCell ref="CCO152:CCQ152"/>
    <mergeCell ref="CAJ152:CAL152"/>
    <mergeCell ref="CAS152:CAU152"/>
    <mergeCell ref="CAV152:CAX152"/>
    <mergeCell ref="CAY152:CBA152"/>
    <mergeCell ref="CBH152:CBJ152"/>
    <mergeCell ref="CBK152:CBM152"/>
    <mergeCell ref="BZF152:BZH152"/>
    <mergeCell ref="BZO152:BZQ152"/>
    <mergeCell ref="BZR152:BZT152"/>
    <mergeCell ref="BZU152:BZW152"/>
    <mergeCell ref="CAD152:CAF152"/>
    <mergeCell ref="CAG152:CAI152"/>
    <mergeCell ref="BYB152:BYD152"/>
    <mergeCell ref="BYK152:BYM152"/>
    <mergeCell ref="BYN152:BYP152"/>
    <mergeCell ref="BYQ152:BYS152"/>
    <mergeCell ref="BYZ152:BZB152"/>
    <mergeCell ref="BZC152:BZE152"/>
    <mergeCell ref="BWX152:BWZ152"/>
    <mergeCell ref="BXG152:BXI152"/>
    <mergeCell ref="BXJ152:BXL152"/>
    <mergeCell ref="BXM152:BXO152"/>
    <mergeCell ref="BXV152:BXX152"/>
    <mergeCell ref="BXY152:BYA152"/>
    <mergeCell ref="BVT152:BVV152"/>
    <mergeCell ref="BWC152:BWE152"/>
    <mergeCell ref="BWF152:BWH152"/>
    <mergeCell ref="BWI152:BWK152"/>
    <mergeCell ref="BWR152:BWT152"/>
    <mergeCell ref="BWU152:BWW152"/>
    <mergeCell ref="BUP152:BUR152"/>
    <mergeCell ref="BUY152:BVA152"/>
    <mergeCell ref="BVB152:BVD152"/>
    <mergeCell ref="BVE152:BVG152"/>
    <mergeCell ref="BVN152:BVP152"/>
    <mergeCell ref="BVQ152:BVS152"/>
    <mergeCell ref="BTL152:BTN152"/>
    <mergeCell ref="BTU152:BTW152"/>
    <mergeCell ref="BTX152:BTZ152"/>
    <mergeCell ref="BUA152:BUC152"/>
    <mergeCell ref="BUJ152:BUL152"/>
    <mergeCell ref="BUM152:BUO152"/>
    <mergeCell ref="BSH152:BSJ152"/>
    <mergeCell ref="BSQ152:BSS152"/>
    <mergeCell ref="BST152:BSV152"/>
    <mergeCell ref="BSW152:BSY152"/>
    <mergeCell ref="BTF152:BTH152"/>
    <mergeCell ref="BTI152:BTK152"/>
    <mergeCell ref="BRD152:BRF152"/>
    <mergeCell ref="BRM152:BRO152"/>
    <mergeCell ref="BRP152:BRR152"/>
    <mergeCell ref="BRS152:BRU152"/>
    <mergeCell ref="BSB152:BSD152"/>
    <mergeCell ref="BSE152:BSG152"/>
    <mergeCell ref="BPZ152:BQB152"/>
    <mergeCell ref="BQI152:BQK152"/>
    <mergeCell ref="BQL152:BQN152"/>
    <mergeCell ref="BQO152:BQQ152"/>
    <mergeCell ref="BQX152:BQZ152"/>
    <mergeCell ref="BRA152:BRC152"/>
    <mergeCell ref="BOV152:BOX152"/>
    <mergeCell ref="BPE152:BPG152"/>
    <mergeCell ref="BPH152:BPJ152"/>
    <mergeCell ref="BPK152:BPM152"/>
    <mergeCell ref="BPT152:BPV152"/>
    <mergeCell ref="BPW152:BPY152"/>
    <mergeCell ref="BNR152:BNT152"/>
    <mergeCell ref="BOA152:BOC152"/>
    <mergeCell ref="BOD152:BOF152"/>
    <mergeCell ref="BOG152:BOI152"/>
    <mergeCell ref="BOP152:BOR152"/>
    <mergeCell ref="BOS152:BOU152"/>
    <mergeCell ref="BMN152:BMP152"/>
    <mergeCell ref="BMW152:BMY152"/>
    <mergeCell ref="BMZ152:BNB152"/>
    <mergeCell ref="BNC152:BNE152"/>
    <mergeCell ref="BNL152:BNN152"/>
    <mergeCell ref="BNO152:BNQ152"/>
    <mergeCell ref="BLJ152:BLL152"/>
    <mergeCell ref="BLS152:BLU152"/>
    <mergeCell ref="BLV152:BLX152"/>
    <mergeCell ref="BLY152:BMA152"/>
    <mergeCell ref="BMH152:BMJ152"/>
    <mergeCell ref="BMK152:BMM152"/>
    <mergeCell ref="BKF152:BKH152"/>
    <mergeCell ref="BKO152:BKQ152"/>
    <mergeCell ref="BKR152:BKT152"/>
    <mergeCell ref="BKU152:BKW152"/>
    <mergeCell ref="BLD152:BLF152"/>
    <mergeCell ref="BLG152:BLI152"/>
    <mergeCell ref="BJB152:BJD152"/>
    <mergeCell ref="BJK152:BJM152"/>
    <mergeCell ref="BJN152:BJP152"/>
    <mergeCell ref="BJQ152:BJS152"/>
    <mergeCell ref="BJZ152:BKB152"/>
    <mergeCell ref="BKC152:BKE152"/>
    <mergeCell ref="BHX152:BHZ152"/>
    <mergeCell ref="BIG152:BII152"/>
    <mergeCell ref="BIJ152:BIL152"/>
    <mergeCell ref="BIM152:BIO152"/>
    <mergeCell ref="BIV152:BIX152"/>
    <mergeCell ref="BIY152:BJA152"/>
    <mergeCell ref="BGT152:BGV152"/>
    <mergeCell ref="BHC152:BHE152"/>
    <mergeCell ref="BHF152:BHH152"/>
    <mergeCell ref="BHI152:BHK152"/>
    <mergeCell ref="BHR152:BHT152"/>
    <mergeCell ref="BHU152:BHW152"/>
    <mergeCell ref="BFP152:BFR152"/>
    <mergeCell ref="BFY152:BGA152"/>
    <mergeCell ref="BGB152:BGD152"/>
    <mergeCell ref="BGE152:BGG152"/>
    <mergeCell ref="BGN152:BGP152"/>
    <mergeCell ref="BGQ152:BGS152"/>
    <mergeCell ref="BEL152:BEN152"/>
    <mergeCell ref="BEU152:BEW152"/>
    <mergeCell ref="BEX152:BEZ152"/>
    <mergeCell ref="BFA152:BFC152"/>
    <mergeCell ref="BFJ152:BFL152"/>
    <mergeCell ref="BFM152:BFO152"/>
    <mergeCell ref="BDH152:BDJ152"/>
    <mergeCell ref="BDQ152:BDS152"/>
    <mergeCell ref="BDT152:BDV152"/>
    <mergeCell ref="BDW152:BDY152"/>
    <mergeCell ref="BEF152:BEH152"/>
    <mergeCell ref="BEI152:BEK152"/>
    <mergeCell ref="BCD152:BCF152"/>
    <mergeCell ref="BCM152:BCO152"/>
    <mergeCell ref="BCP152:BCR152"/>
    <mergeCell ref="BCS152:BCU152"/>
    <mergeCell ref="BDB152:BDD152"/>
    <mergeCell ref="BDE152:BDG152"/>
    <mergeCell ref="BAZ152:BBB152"/>
    <mergeCell ref="BBI152:BBK152"/>
    <mergeCell ref="BBL152:BBN152"/>
    <mergeCell ref="BBO152:BBQ152"/>
    <mergeCell ref="BBX152:BBZ152"/>
    <mergeCell ref="BCA152:BCC152"/>
    <mergeCell ref="AZV152:AZX152"/>
    <mergeCell ref="BAE152:BAG152"/>
    <mergeCell ref="BAH152:BAJ152"/>
    <mergeCell ref="BAK152:BAM152"/>
    <mergeCell ref="BAT152:BAV152"/>
    <mergeCell ref="BAW152:BAY152"/>
    <mergeCell ref="AYR152:AYT152"/>
    <mergeCell ref="AZA152:AZC152"/>
    <mergeCell ref="AZD152:AZF152"/>
    <mergeCell ref="AZG152:AZI152"/>
    <mergeCell ref="AZP152:AZR152"/>
    <mergeCell ref="AZS152:AZU152"/>
    <mergeCell ref="AXN152:AXP152"/>
    <mergeCell ref="AXW152:AXY152"/>
    <mergeCell ref="AXZ152:AYB152"/>
    <mergeCell ref="AYC152:AYE152"/>
    <mergeCell ref="AYL152:AYN152"/>
    <mergeCell ref="AYO152:AYQ152"/>
    <mergeCell ref="AWJ152:AWL152"/>
    <mergeCell ref="AWS152:AWU152"/>
    <mergeCell ref="AWV152:AWX152"/>
    <mergeCell ref="AWY152:AXA152"/>
    <mergeCell ref="AXH152:AXJ152"/>
    <mergeCell ref="AXK152:AXM152"/>
    <mergeCell ref="AVF152:AVH152"/>
    <mergeCell ref="AVO152:AVQ152"/>
    <mergeCell ref="AVR152:AVT152"/>
    <mergeCell ref="AVU152:AVW152"/>
    <mergeCell ref="AWD152:AWF152"/>
    <mergeCell ref="AWG152:AWI152"/>
    <mergeCell ref="AUB152:AUD152"/>
    <mergeCell ref="AUK152:AUM152"/>
    <mergeCell ref="AUN152:AUP152"/>
    <mergeCell ref="AUQ152:AUS152"/>
    <mergeCell ref="AUZ152:AVB152"/>
    <mergeCell ref="AVC152:AVE152"/>
    <mergeCell ref="ASX152:ASZ152"/>
    <mergeCell ref="ATG152:ATI152"/>
    <mergeCell ref="ATJ152:ATL152"/>
    <mergeCell ref="ATM152:ATO152"/>
    <mergeCell ref="ATV152:ATX152"/>
    <mergeCell ref="ATY152:AUA152"/>
    <mergeCell ref="ART152:ARV152"/>
    <mergeCell ref="ASC152:ASE152"/>
    <mergeCell ref="ASF152:ASH152"/>
    <mergeCell ref="ASI152:ASK152"/>
    <mergeCell ref="ASR152:AST152"/>
    <mergeCell ref="ASU152:ASW152"/>
    <mergeCell ref="AQP152:AQR152"/>
    <mergeCell ref="AQY152:ARA152"/>
    <mergeCell ref="ARB152:ARD152"/>
    <mergeCell ref="ARE152:ARG152"/>
    <mergeCell ref="ARN152:ARP152"/>
    <mergeCell ref="ARQ152:ARS152"/>
    <mergeCell ref="APL152:APN152"/>
    <mergeCell ref="APU152:APW152"/>
    <mergeCell ref="APX152:APZ152"/>
    <mergeCell ref="AQA152:AQC152"/>
    <mergeCell ref="AQJ152:AQL152"/>
    <mergeCell ref="AQM152:AQO152"/>
    <mergeCell ref="AOH152:AOJ152"/>
    <mergeCell ref="AOQ152:AOS152"/>
    <mergeCell ref="AOT152:AOV152"/>
    <mergeCell ref="AOW152:AOY152"/>
    <mergeCell ref="APF152:APH152"/>
    <mergeCell ref="API152:APK152"/>
    <mergeCell ref="AND152:ANF152"/>
    <mergeCell ref="ANM152:ANO152"/>
    <mergeCell ref="ANP152:ANR152"/>
    <mergeCell ref="ANS152:ANU152"/>
    <mergeCell ref="AOB152:AOD152"/>
    <mergeCell ref="AOE152:AOG152"/>
    <mergeCell ref="ALZ152:AMB152"/>
    <mergeCell ref="AMI152:AMK152"/>
    <mergeCell ref="AML152:AMN152"/>
    <mergeCell ref="AMO152:AMQ152"/>
    <mergeCell ref="AMX152:AMZ152"/>
    <mergeCell ref="ANA152:ANC152"/>
    <mergeCell ref="AKV152:AKX152"/>
    <mergeCell ref="ALE152:ALG152"/>
    <mergeCell ref="ALH152:ALJ152"/>
    <mergeCell ref="ALK152:ALM152"/>
    <mergeCell ref="ALT152:ALV152"/>
    <mergeCell ref="ALW152:ALY152"/>
    <mergeCell ref="AJR152:AJT152"/>
    <mergeCell ref="AKA152:AKC152"/>
    <mergeCell ref="AKD152:AKF152"/>
    <mergeCell ref="AKG152:AKI152"/>
    <mergeCell ref="AKP152:AKR152"/>
    <mergeCell ref="AKS152:AKU152"/>
    <mergeCell ref="AIN152:AIP152"/>
    <mergeCell ref="AIW152:AIY152"/>
    <mergeCell ref="AIZ152:AJB152"/>
    <mergeCell ref="AJC152:AJE152"/>
    <mergeCell ref="AJL152:AJN152"/>
    <mergeCell ref="AJO152:AJQ152"/>
    <mergeCell ref="AHJ152:AHL152"/>
    <mergeCell ref="AHS152:AHU152"/>
    <mergeCell ref="AHV152:AHX152"/>
    <mergeCell ref="AHY152:AIA152"/>
    <mergeCell ref="AIH152:AIJ152"/>
    <mergeCell ref="AIK152:AIM152"/>
    <mergeCell ref="AGF152:AGH152"/>
    <mergeCell ref="AGO152:AGQ152"/>
    <mergeCell ref="AGR152:AGT152"/>
    <mergeCell ref="AGU152:AGW152"/>
    <mergeCell ref="AHD152:AHF152"/>
    <mergeCell ref="AHG152:AHI152"/>
    <mergeCell ref="AFB152:AFD152"/>
    <mergeCell ref="AFK152:AFM152"/>
    <mergeCell ref="AFN152:AFP152"/>
    <mergeCell ref="AFQ152:AFS152"/>
    <mergeCell ref="AFZ152:AGB152"/>
    <mergeCell ref="AGC152:AGE152"/>
    <mergeCell ref="ADX152:ADZ152"/>
    <mergeCell ref="AEG152:AEI152"/>
    <mergeCell ref="AEJ152:AEL152"/>
    <mergeCell ref="AEM152:AEO152"/>
    <mergeCell ref="AEV152:AEX152"/>
    <mergeCell ref="AEY152:AFA152"/>
    <mergeCell ref="ACT152:ACV152"/>
    <mergeCell ref="ADC152:ADE152"/>
    <mergeCell ref="ADF152:ADH152"/>
    <mergeCell ref="ADI152:ADK152"/>
    <mergeCell ref="ADR152:ADT152"/>
    <mergeCell ref="ADU152:ADW152"/>
    <mergeCell ref="ABP152:ABR152"/>
    <mergeCell ref="ABY152:ACA152"/>
    <mergeCell ref="ACB152:ACD152"/>
    <mergeCell ref="ACE152:ACG152"/>
    <mergeCell ref="ACN152:ACP152"/>
    <mergeCell ref="ACQ152:ACS152"/>
    <mergeCell ref="AAL152:AAN152"/>
    <mergeCell ref="AAU152:AAW152"/>
    <mergeCell ref="AAX152:AAZ152"/>
    <mergeCell ref="ABA152:ABC152"/>
    <mergeCell ref="ABJ152:ABL152"/>
    <mergeCell ref="ABM152:ABO152"/>
    <mergeCell ref="ZH152:ZJ152"/>
    <mergeCell ref="ZQ152:ZS152"/>
    <mergeCell ref="ZT152:ZV152"/>
    <mergeCell ref="ZW152:ZY152"/>
    <mergeCell ref="AAF152:AAH152"/>
    <mergeCell ref="AAI152:AAK152"/>
    <mergeCell ref="YD152:YF152"/>
    <mergeCell ref="YM152:YO152"/>
    <mergeCell ref="YP152:YR152"/>
    <mergeCell ref="YS152:YU152"/>
    <mergeCell ref="ZB152:ZD152"/>
    <mergeCell ref="ZE152:ZG152"/>
    <mergeCell ref="WZ152:XB152"/>
    <mergeCell ref="XI152:XK152"/>
    <mergeCell ref="XL152:XN152"/>
    <mergeCell ref="XO152:XQ152"/>
    <mergeCell ref="XX152:XZ152"/>
    <mergeCell ref="YA152:YC152"/>
    <mergeCell ref="VV152:VX152"/>
    <mergeCell ref="WE152:WG152"/>
    <mergeCell ref="WH152:WJ152"/>
    <mergeCell ref="WK152:WM152"/>
    <mergeCell ref="WT152:WV152"/>
    <mergeCell ref="WW152:WY152"/>
    <mergeCell ref="UR152:UT152"/>
    <mergeCell ref="VA152:VC152"/>
    <mergeCell ref="VD152:VF152"/>
    <mergeCell ref="VG152:VI152"/>
    <mergeCell ref="VP152:VR152"/>
    <mergeCell ref="VS152:VU152"/>
    <mergeCell ref="TN152:TP152"/>
    <mergeCell ref="TW152:TY152"/>
    <mergeCell ref="TZ152:UB152"/>
    <mergeCell ref="UC152:UE152"/>
    <mergeCell ref="UL152:UN152"/>
    <mergeCell ref="UO152:UQ152"/>
    <mergeCell ref="SJ152:SL152"/>
    <mergeCell ref="SS152:SU152"/>
    <mergeCell ref="SV152:SX152"/>
    <mergeCell ref="SY152:TA152"/>
    <mergeCell ref="TH152:TJ152"/>
    <mergeCell ref="TK152:TM152"/>
    <mergeCell ref="RF152:RH152"/>
    <mergeCell ref="RO152:RQ152"/>
    <mergeCell ref="RR152:RT152"/>
    <mergeCell ref="RU152:RW152"/>
    <mergeCell ref="SD152:SF152"/>
    <mergeCell ref="SG152:SI152"/>
    <mergeCell ref="QB152:QD152"/>
    <mergeCell ref="QK152:QM152"/>
    <mergeCell ref="QN152:QP152"/>
    <mergeCell ref="QQ152:QS152"/>
    <mergeCell ref="QZ152:RB152"/>
    <mergeCell ref="RC152:RE152"/>
    <mergeCell ref="OX152:OZ152"/>
    <mergeCell ref="PG152:PI152"/>
    <mergeCell ref="PJ152:PL152"/>
    <mergeCell ref="PM152:PO152"/>
    <mergeCell ref="PV152:PX152"/>
    <mergeCell ref="PY152:QA152"/>
    <mergeCell ref="NT152:NV152"/>
    <mergeCell ref="OC152:OE152"/>
    <mergeCell ref="OF152:OH152"/>
    <mergeCell ref="OI152:OK152"/>
    <mergeCell ref="OR152:OT152"/>
    <mergeCell ref="OU152:OW152"/>
    <mergeCell ref="MJR151:MJT151"/>
    <mergeCell ref="MJU151:MJW151"/>
    <mergeCell ref="MKD151:MKF151"/>
    <mergeCell ref="C152:E152"/>
    <mergeCell ref="F152:H152"/>
    <mergeCell ref="I152:K152"/>
    <mergeCell ref="NB152:ND152"/>
    <mergeCell ref="NE152:NG152"/>
    <mergeCell ref="NN152:NP152"/>
    <mergeCell ref="NQ152:NS152"/>
    <mergeCell ref="MIN151:MIP151"/>
    <mergeCell ref="MIQ151:MIS151"/>
    <mergeCell ref="MIZ151:MJB151"/>
    <mergeCell ref="MJC151:MJE151"/>
    <mergeCell ref="MJF151:MJH151"/>
    <mergeCell ref="MJO151:MJQ151"/>
    <mergeCell ref="MHJ151:MHL151"/>
    <mergeCell ref="MHM151:MHO151"/>
    <mergeCell ref="MHV151:MHX151"/>
    <mergeCell ref="MHY151:MIA151"/>
    <mergeCell ref="MIB151:MID151"/>
    <mergeCell ref="MIK151:MIM151"/>
    <mergeCell ref="MGF151:MGH151"/>
    <mergeCell ref="MGI151:MGK151"/>
    <mergeCell ref="MGR151:MGT151"/>
    <mergeCell ref="MGU151:MGW151"/>
    <mergeCell ref="MGX151:MGZ151"/>
    <mergeCell ref="MHG151:MHI151"/>
    <mergeCell ref="MFB151:MFD151"/>
    <mergeCell ref="MFE151:MFG151"/>
    <mergeCell ref="MFN151:MFP151"/>
    <mergeCell ref="MFQ151:MFS151"/>
    <mergeCell ref="MFT151:MFV151"/>
    <mergeCell ref="MGC151:MGE151"/>
    <mergeCell ref="MDX151:MDZ151"/>
    <mergeCell ref="MEA151:MEC151"/>
    <mergeCell ref="MEJ151:MEL151"/>
    <mergeCell ref="MEM151:MEO151"/>
    <mergeCell ref="MEP151:MER151"/>
    <mergeCell ref="MEY151:MFA151"/>
    <mergeCell ref="MCT151:MCV151"/>
    <mergeCell ref="MCW151:MCY151"/>
    <mergeCell ref="MDF151:MDH151"/>
    <mergeCell ref="MDI151:MDK151"/>
    <mergeCell ref="MDL151:MDN151"/>
    <mergeCell ref="MDU151:MDW151"/>
    <mergeCell ref="MBP151:MBR151"/>
    <mergeCell ref="MBS151:MBU151"/>
    <mergeCell ref="MCB151:MCD151"/>
    <mergeCell ref="MCE151:MCG151"/>
    <mergeCell ref="MCH151:MCJ151"/>
    <mergeCell ref="MCQ151:MCS151"/>
    <mergeCell ref="MAL151:MAN151"/>
    <mergeCell ref="MAO151:MAQ151"/>
    <mergeCell ref="MAX151:MAZ151"/>
    <mergeCell ref="MBA151:MBC151"/>
    <mergeCell ref="MBD151:MBF151"/>
    <mergeCell ref="MBM151:MBO151"/>
    <mergeCell ref="LZH151:LZJ151"/>
    <mergeCell ref="LZK151:LZM151"/>
    <mergeCell ref="LZT151:LZV151"/>
    <mergeCell ref="LZW151:LZY151"/>
    <mergeCell ref="LZZ151:MAB151"/>
    <mergeCell ref="MAI151:MAK151"/>
    <mergeCell ref="LYD151:LYF151"/>
    <mergeCell ref="LYG151:LYI151"/>
    <mergeCell ref="LYP151:LYR151"/>
    <mergeCell ref="LYS151:LYU151"/>
    <mergeCell ref="LYV151:LYX151"/>
    <mergeCell ref="LZE151:LZG151"/>
    <mergeCell ref="LWZ151:LXB151"/>
    <mergeCell ref="LXC151:LXE151"/>
    <mergeCell ref="LXL151:LXN151"/>
    <mergeCell ref="LXO151:LXQ151"/>
    <mergeCell ref="LXR151:LXT151"/>
    <mergeCell ref="LYA151:LYC151"/>
    <mergeCell ref="LVV151:LVX151"/>
    <mergeCell ref="LVY151:LWA151"/>
    <mergeCell ref="LWH151:LWJ151"/>
    <mergeCell ref="LWK151:LWM151"/>
    <mergeCell ref="LWN151:LWP151"/>
    <mergeCell ref="LWW151:LWY151"/>
    <mergeCell ref="LUR151:LUT151"/>
    <mergeCell ref="LUU151:LUW151"/>
    <mergeCell ref="LVD151:LVF151"/>
    <mergeCell ref="LVG151:LVI151"/>
    <mergeCell ref="LVJ151:LVL151"/>
    <mergeCell ref="LVS151:LVU151"/>
    <mergeCell ref="LTN151:LTP151"/>
    <mergeCell ref="LTQ151:LTS151"/>
    <mergeCell ref="LTZ151:LUB151"/>
    <mergeCell ref="LUC151:LUE151"/>
    <mergeCell ref="LUF151:LUH151"/>
    <mergeCell ref="LUO151:LUQ151"/>
    <mergeCell ref="LSJ151:LSL151"/>
    <mergeCell ref="LSM151:LSO151"/>
    <mergeCell ref="LSV151:LSX151"/>
    <mergeCell ref="LSY151:LTA151"/>
    <mergeCell ref="LTB151:LTD151"/>
    <mergeCell ref="LTK151:LTM151"/>
    <mergeCell ref="LRF151:LRH151"/>
    <mergeCell ref="LRI151:LRK151"/>
    <mergeCell ref="LRR151:LRT151"/>
    <mergeCell ref="LRU151:LRW151"/>
    <mergeCell ref="LRX151:LRZ151"/>
    <mergeCell ref="LSG151:LSI151"/>
    <mergeCell ref="LQB151:LQD151"/>
    <mergeCell ref="LQE151:LQG151"/>
    <mergeCell ref="LQN151:LQP151"/>
    <mergeCell ref="LQQ151:LQS151"/>
    <mergeCell ref="LQT151:LQV151"/>
    <mergeCell ref="LRC151:LRE151"/>
    <mergeCell ref="LOX151:LOZ151"/>
    <mergeCell ref="LPA151:LPC151"/>
    <mergeCell ref="LPJ151:LPL151"/>
    <mergeCell ref="LPM151:LPO151"/>
    <mergeCell ref="LPP151:LPR151"/>
    <mergeCell ref="LPY151:LQA151"/>
    <mergeCell ref="LNT151:LNV151"/>
    <mergeCell ref="LNW151:LNY151"/>
    <mergeCell ref="LOF151:LOH151"/>
    <mergeCell ref="LOI151:LOK151"/>
    <mergeCell ref="LOL151:LON151"/>
    <mergeCell ref="LOU151:LOW151"/>
    <mergeCell ref="LMP151:LMR151"/>
    <mergeCell ref="LMS151:LMU151"/>
    <mergeCell ref="LNB151:LND151"/>
    <mergeCell ref="LNE151:LNG151"/>
    <mergeCell ref="LNH151:LNJ151"/>
    <mergeCell ref="LNQ151:LNS151"/>
    <mergeCell ref="LLL151:LLN151"/>
    <mergeCell ref="LLO151:LLQ151"/>
    <mergeCell ref="LLX151:LLZ151"/>
    <mergeCell ref="LMA151:LMC151"/>
    <mergeCell ref="LMD151:LMF151"/>
    <mergeCell ref="LMM151:LMO151"/>
    <mergeCell ref="LKH151:LKJ151"/>
    <mergeCell ref="LKK151:LKM151"/>
    <mergeCell ref="LKT151:LKV151"/>
    <mergeCell ref="LKW151:LKY151"/>
    <mergeCell ref="LKZ151:LLB151"/>
    <mergeCell ref="LLI151:LLK151"/>
    <mergeCell ref="LJD151:LJF151"/>
    <mergeCell ref="LJG151:LJI151"/>
    <mergeCell ref="LJP151:LJR151"/>
    <mergeCell ref="LJS151:LJU151"/>
    <mergeCell ref="LJV151:LJX151"/>
    <mergeCell ref="LKE151:LKG151"/>
    <mergeCell ref="LHZ151:LIB151"/>
    <mergeCell ref="LIC151:LIE151"/>
    <mergeCell ref="LIL151:LIN151"/>
    <mergeCell ref="LIO151:LIQ151"/>
    <mergeCell ref="LIR151:LIT151"/>
    <mergeCell ref="LJA151:LJC151"/>
    <mergeCell ref="LGV151:LGX151"/>
    <mergeCell ref="LGY151:LHA151"/>
    <mergeCell ref="LHH151:LHJ151"/>
    <mergeCell ref="LHK151:LHM151"/>
    <mergeCell ref="LHN151:LHP151"/>
    <mergeCell ref="LHW151:LHY151"/>
    <mergeCell ref="LFR151:LFT151"/>
    <mergeCell ref="LFU151:LFW151"/>
    <mergeCell ref="LGD151:LGF151"/>
    <mergeCell ref="LGG151:LGI151"/>
    <mergeCell ref="LGJ151:LGL151"/>
    <mergeCell ref="LGS151:LGU151"/>
    <mergeCell ref="LEN151:LEP151"/>
    <mergeCell ref="LEQ151:LES151"/>
    <mergeCell ref="LEZ151:LFB151"/>
    <mergeCell ref="LFC151:LFE151"/>
    <mergeCell ref="LFF151:LFH151"/>
    <mergeCell ref="LFO151:LFQ151"/>
    <mergeCell ref="LDJ151:LDL151"/>
    <mergeCell ref="LDM151:LDO151"/>
    <mergeCell ref="LDV151:LDX151"/>
    <mergeCell ref="LDY151:LEA151"/>
    <mergeCell ref="LEB151:LED151"/>
    <mergeCell ref="LEK151:LEM151"/>
    <mergeCell ref="LCF151:LCH151"/>
    <mergeCell ref="LCI151:LCK151"/>
    <mergeCell ref="LCR151:LCT151"/>
    <mergeCell ref="LCU151:LCW151"/>
    <mergeCell ref="LCX151:LCZ151"/>
    <mergeCell ref="LDG151:LDI151"/>
    <mergeCell ref="LBB151:LBD151"/>
    <mergeCell ref="LBE151:LBG151"/>
    <mergeCell ref="LBN151:LBP151"/>
    <mergeCell ref="LBQ151:LBS151"/>
    <mergeCell ref="LBT151:LBV151"/>
    <mergeCell ref="LCC151:LCE151"/>
    <mergeCell ref="KZX151:KZZ151"/>
    <mergeCell ref="LAA151:LAC151"/>
    <mergeCell ref="LAJ151:LAL151"/>
    <mergeCell ref="LAM151:LAO151"/>
    <mergeCell ref="LAP151:LAR151"/>
    <mergeCell ref="LAY151:LBA151"/>
    <mergeCell ref="KYT151:KYV151"/>
    <mergeCell ref="KYW151:KYY151"/>
    <mergeCell ref="KZF151:KZH151"/>
    <mergeCell ref="KZI151:KZK151"/>
    <mergeCell ref="KZL151:KZN151"/>
    <mergeCell ref="KZU151:KZW151"/>
    <mergeCell ref="KXP151:KXR151"/>
    <mergeCell ref="KXS151:KXU151"/>
    <mergeCell ref="KYB151:KYD151"/>
    <mergeCell ref="KYE151:KYG151"/>
    <mergeCell ref="KYH151:KYJ151"/>
    <mergeCell ref="KYQ151:KYS151"/>
    <mergeCell ref="KWL151:KWN151"/>
    <mergeCell ref="KWO151:KWQ151"/>
    <mergeCell ref="KWX151:KWZ151"/>
    <mergeCell ref="KXA151:KXC151"/>
    <mergeCell ref="KXD151:KXF151"/>
    <mergeCell ref="KXM151:KXO151"/>
    <mergeCell ref="KVH151:KVJ151"/>
    <mergeCell ref="KVK151:KVM151"/>
    <mergeCell ref="KVT151:KVV151"/>
    <mergeCell ref="KVW151:KVY151"/>
    <mergeCell ref="KVZ151:KWB151"/>
    <mergeCell ref="KWI151:KWK151"/>
    <mergeCell ref="KUD151:KUF151"/>
    <mergeCell ref="KUG151:KUI151"/>
    <mergeCell ref="KUP151:KUR151"/>
    <mergeCell ref="KUS151:KUU151"/>
    <mergeCell ref="KUV151:KUX151"/>
    <mergeCell ref="KVE151:KVG151"/>
    <mergeCell ref="KSZ151:KTB151"/>
    <mergeCell ref="KTC151:KTE151"/>
    <mergeCell ref="KTL151:KTN151"/>
    <mergeCell ref="KTO151:KTQ151"/>
    <mergeCell ref="KTR151:KTT151"/>
    <mergeCell ref="KUA151:KUC151"/>
    <mergeCell ref="KRV151:KRX151"/>
    <mergeCell ref="KRY151:KSA151"/>
    <mergeCell ref="KSH151:KSJ151"/>
    <mergeCell ref="KSK151:KSM151"/>
    <mergeCell ref="KSN151:KSP151"/>
    <mergeCell ref="KSW151:KSY151"/>
    <mergeCell ref="KQR151:KQT151"/>
    <mergeCell ref="KQU151:KQW151"/>
    <mergeCell ref="KRD151:KRF151"/>
    <mergeCell ref="KRG151:KRI151"/>
    <mergeCell ref="KRJ151:KRL151"/>
    <mergeCell ref="KRS151:KRU151"/>
    <mergeCell ref="KPN151:KPP151"/>
    <mergeCell ref="KPQ151:KPS151"/>
    <mergeCell ref="KPZ151:KQB151"/>
    <mergeCell ref="KQC151:KQE151"/>
    <mergeCell ref="KQF151:KQH151"/>
    <mergeCell ref="KQO151:KQQ151"/>
    <mergeCell ref="KOJ151:KOL151"/>
    <mergeCell ref="KOM151:KOO151"/>
    <mergeCell ref="KOV151:KOX151"/>
    <mergeCell ref="KOY151:KPA151"/>
    <mergeCell ref="KPB151:KPD151"/>
    <mergeCell ref="KPK151:KPM151"/>
    <mergeCell ref="KNF151:KNH151"/>
    <mergeCell ref="KNI151:KNK151"/>
    <mergeCell ref="KNR151:KNT151"/>
    <mergeCell ref="KNU151:KNW151"/>
    <mergeCell ref="KNX151:KNZ151"/>
    <mergeCell ref="KOG151:KOI151"/>
    <mergeCell ref="KMB151:KMD151"/>
    <mergeCell ref="KME151:KMG151"/>
    <mergeCell ref="KMN151:KMP151"/>
    <mergeCell ref="KMQ151:KMS151"/>
    <mergeCell ref="KMT151:KMV151"/>
    <mergeCell ref="KNC151:KNE151"/>
    <mergeCell ref="KKX151:KKZ151"/>
    <mergeCell ref="KLA151:KLC151"/>
    <mergeCell ref="KLJ151:KLL151"/>
    <mergeCell ref="KLM151:KLO151"/>
    <mergeCell ref="KLP151:KLR151"/>
    <mergeCell ref="KLY151:KMA151"/>
    <mergeCell ref="KJT151:KJV151"/>
    <mergeCell ref="KJW151:KJY151"/>
    <mergeCell ref="KKF151:KKH151"/>
    <mergeCell ref="KKI151:KKK151"/>
    <mergeCell ref="KKL151:KKN151"/>
    <mergeCell ref="KKU151:KKW151"/>
    <mergeCell ref="KIP151:KIR151"/>
    <mergeCell ref="KIS151:KIU151"/>
    <mergeCell ref="KJB151:KJD151"/>
    <mergeCell ref="KJE151:KJG151"/>
    <mergeCell ref="KJH151:KJJ151"/>
    <mergeCell ref="KJQ151:KJS151"/>
    <mergeCell ref="KHL151:KHN151"/>
    <mergeCell ref="KHO151:KHQ151"/>
    <mergeCell ref="KHX151:KHZ151"/>
    <mergeCell ref="KIA151:KIC151"/>
    <mergeCell ref="KID151:KIF151"/>
    <mergeCell ref="KIM151:KIO151"/>
    <mergeCell ref="KGH151:KGJ151"/>
    <mergeCell ref="KGK151:KGM151"/>
    <mergeCell ref="KGT151:KGV151"/>
    <mergeCell ref="KGW151:KGY151"/>
    <mergeCell ref="KGZ151:KHB151"/>
    <mergeCell ref="KHI151:KHK151"/>
    <mergeCell ref="KFD151:KFF151"/>
    <mergeCell ref="KFG151:KFI151"/>
    <mergeCell ref="KFP151:KFR151"/>
    <mergeCell ref="KFS151:KFU151"/>
    <mergeCell ref="KFV151:KFX151"/>
    <mergeCell ref="KGE151:KGG151"/>
    <mergeCell ref="KDZ151:KEB151"/>
    <mergeCell ref="KEC151:KEE151"/>
    <mergeCell ref="KEL151:KEN151"/>
    <mergeCell ref="KEO151:KEQ151"/>
    <mergeCell ref="KER151:KET151"/>
    <mergeCell ref="KFA151:KFC151"/>
    <mergeCell ref="KCV151:KCX151"/>
    <mergeCell ref="KCY151:KDA151"/>
    <mergeCell ref="KDH151:KDJ151"/>
    <mergeCell ref="KDK151:KDM151"/>
    <mergeCell ref="KDN151:KDP151"/>
    <mergeCell ref="KDW151:KDY151"/>
    <mergeCell ref="KBR151:KBT151"/>
    <mergeCell ref="KBU151:KBW151"/>
    <mergeCell ref="KCD151:KCF151"/>
    <mergeCell ref="KCG151:KCI151"/>
    <mergeCell ref="KCJ151:KCL151"/>
    <mergeCell ref="KCS151:KCU151"/>
    <mergeCell ref="KAN151:KAP151"/>
    <mergeCell ref="KAQ151:KAS151"/>
    <mergeCell ref="KAZ151:KBB151"/>
    <mergeCell ref="KBC151:KBE151"/>
    <mergeCell ref="KBF151:KBH151"/>
    <mergeCell ref="KBO151:KBQ151"/>
    <mergeCell ref="JZJ151:JZL151"/>
    <mergeCell ref="JZM151:JZO151"/>
    <mergeCell ref="JZV151:JZX151"/>
    <mergeCell ref="JZY151:KAA151"/>
    <mergeCell ref="KAB151:KAD151"/>
    <mergeCell ref="KAK151:KAM151"/>
    <mergeCell ref="JYF151:JYH151"/>
    <mergeCell ref="JYI151:JYK151"/>
    <mergeCell ref="JYR151:JYT151"/>
    <mergeCell ref="JYU151:JYW151"/>
    <mergeCell ref="JYX151:JYZ151"/>
    <mergeCell ref="JZG151:JZI151"/>
    <mergeCell ref="JXB151:JXD151"/>
    <mergeCell ref="JXE151:JXG151"/>
    <mergeCell ref="JXN151:JXP151"/>
    <mergeCell ref="JXQ151:JXS151"/>
    <mergeCell ref="JXT151:JXV151"/>
    <mergeCell ref="JYC151:JYE151"/>
    <mergeCell ref="JVX151:JVZ151"/>
    <mergeCell ref="JWA151:JWC151"/>
    <mergeCell ref="JWJ151:JWL151"/>
    <mergeCell ref="JWM151:JWO151"/>
    <mergeCell ref="JWP151:JWR151"/>
    <mergeCell ref="JWY151:JXA151"/>
    <mergeCell ref="JUT151:JUV151"/>
    <mergeCell ref="JUW151:JUY151"/>
    <mergeCell ref="JVF151:JVH151"/>
    <mergeCell ref="JVI151:JVK151"/>
    <mergeCell ref="JVL151:JVN151"/>
    <mergeCell ref="JVU151:JVW151"/>
    <mergeCell ref="JTP151:JTR151"/>
    <mergeCell ref="JTS151:JTU151"/>
    <mergeCell ref="JUB151:JUD151"/>
    <mergeCell ref="JUE151:JUG151"/>
    <mergeCell ref="JUH151:JUJ151"/>
    <mergeCell ref="JUQ151:JUS151"/>
    <mergeCell ref="JSL151:JSN151"/>
    <mergeCell ref="JSO151:JSQ151"/>
    <mergeCell ref="JSX151:JSZ151"/>
    <mergeCell ref="JTA151:JTC151"/>
    <mergeCell ref="JTD151:JTF151"/>
    <mergeCell ref="JTM151:JTO151"/>
    <mergeCell ref="JRH151:JRJ151"/>
    <mergeCell ref="JRK151:JRM151"/>
    <mergeCell ref="JRT151:JRV151"/>
    <mergeCell ref="JRW151:JRY151"/>
    <mergeCell ref="JRZ151:JSB151"/>
    <mergeCell ref="JSI151:JSK151"/>
    <mergeCell ref="JQD151:JQF151"/>
    <mergeCell ref="JQG151:JQI151"/>
    <mergeCell ref="JQP151:JQR151"/>
    <mergeCell ref="JQS151:JQU151"/>
    <mergeCell ref="JQV151:JQX151"/>
    <mergeCell ref="JRE151:JRG151"/>
    <mergeCell ref="JOZ151:JPB151"/>
    <mergeCell ref="JPC151:JPE151"/>
    <mergeCell ref="JPL151:JPN151"/>
    <mergeCell ref="JPO151:JPQ151"/>
    <mergeCell ref="JPR151:JPT151"/>
    <mergeCell ref="JQA151:JQC151"/>
    <mergeCell ref="JNV151:JNX151"/>
    <mergeCell ref="JNY151:JOA151"/>
    <mergeCell ref="JOH151:JOJ151"/>
    <mergeCell ref="JOK151:JOM151"/>
    <mergeCell ref="JON151:JOP151"/>
    <mergeCell ref="JOW151:JOY151"/>
    <mergeCell ref="JMR151:JMT151"/>
    <mergeCell ref="JMU151:JMW151"/>
    <mergeCell ref="JND151:JNF151"/>
    <mergeCell ref="JNG151:JNI151"/>
    <mergeCell ref="JNJ151:JNL151"/>
    <mergeCell ref="JNS151:JNU151"/>
    <mergeCell ref="JLN151:JLP151"/>
    <mergeCell ref="JLQ151:JLS151"/>
    <mergeCell ref="JLZ151:JMB151"/>
    <mergeCell ref="JMC151:JME151"/>
    <mergeCell ref="JMF151:JMH151"/>
    <mergeCell ref="JMO151:JMQ151"/>
    <mergeCell ref="JKJ151:JKL151"/>
    <mergeCell ref="JKM151:JKO151"/>
    <mergeCell ref="JKV151:JKX151"/>
    <mergeCell ref="JKY151:JLA151"/>
    <mergeCell ref="JLB151:JLD151"/>
    <mergeCell ref="JLK151:JLM151"/>
    <mergeCell ref="JJF151:JJH151"/>
    <mergeCell ref="JJI151:JJK151"/>
    <mergeCell ref="JJR151:JJT151"/>
    <mergeCell ref="JJU151:JJW151"/>
    <mergeCell ref="JJX151:JJZ151"/>
    <mergeCell ref="JKG151:JKI151"/>
    <mergeCell ref="JIB151:JID151"/>
    <mergeCell ref="JIE151:JIG151"/>
    <mergeCell ref="JIN151:JIP151"/>
    <mergeCell ref="JIQ151:JIS151"/>
    <mergeCell ref="JIT151:JIV151"/>
    <mergeCell ref="JJC151:JJE151"/>
    <mergeCell ref="JGX151:JGZ151"/>
    <mergeCell ref="JHA151:JHC151"/>
    <mergeCell ref="JHJ151:JHL151"/>
    <mergeCell ref="JHM151:JHO151"/>
    <mergeCell ref="JHP151:JHR151"/>
    <mergeCell ref="JHY151:JIA151"/>
    <mergeCell ref="JFT151:JFV151"/>
    <mergeCell ref="JFW151:JFY151"/>
    <mergeCell ref="JGF151:JGH151"/>
    <mergeCell ref="JGI151:JGK151"/>
    <mergeCell ref="JGL151:JGN151"/>
    <mergeCell ref="JGU151:JGW151"/>
    <mergeCell ref="JEP151:JER151"/>
    <mergeCell ref="JES151:JEU151"/>
    <mergeCell ref="JFB151:JFD151"/>
    <mergeCell ref="JFE151:JFG151"/>
    <mergeCell ref="JFH151:JFJ151"/>
    <mergeCell ref="JFQ151:JFS151"/>
    <mergeCell ref="JDL151:JDN151"/>
    <mergeCell ref="JDO151:JDQ151"/>
    <mergeCell ref="JDX151:JDZ151"/>
    <mergeCell ref="JEA151:JEC151"/>
    <mergeCell ref="JED151:JEF151"/>
    <mergeCell ref="JEM151:JEO151"/>
    <mergeCell ref="JCH151:JCJ151"/>
    <mergeCell ref="JCK151:JCM151"/>
    <mergeCell ref="JCT151:JCV151"/>
    <mergeCell ref="JCW151:JCY151"/>
    <mergeCell ref="JCZ151:JDB151"/>
    <mergeCell ref="JDI151:JDK151"/>
    <mergeCell ref="JBD151:JBF151"/>
    <mergeCell ref="JBG151:JBI151"/>
    <mergeCell ref="JBP151:JBR151"/>
    <mergeCell ref="JBS151:JBU151"/>
    <mergeCell ref="JBV151:JBX151"/>
    <mergeCell ref="JCE151:JCG151"/>
    <mergeCell ref="IZZ151:JAB151"/>
    <mergeCell ref="JAC151:JAE151"/>
    <mergeCell ref="JAL151:JAN151"/>
    <mergeCell ref="JAO151:JAQ151"/>
    <mergeCell ref="JAR151:JAT151"/>
    <mergeCell ref="JBA151:JBC151"/>
    <mergeCell ref="IYV151:IYX151"/>
    <mergeCell ref="IYY151:IZA151"/>
    <mergeCell ref="IZH151:IZJ151"/>
    <mergeCell ref="IZK151:IZM151"/>
    <mergeCell ref="IZN151:IZP151"/>
    <mergeCell ref="IZW151:IZY151"/>
    <mergeCell ref="IXR151:IXT151"/>
    <mergeCell ref="IXU151:IXW151"/>
    <mergeCell ref="IYD151:IYF151"/>
    <mergeCell ref="IYG151:IYI151"/>
    <mergeCell ref="IYJ151:IYL151"/>
    <mergeCell ref="IYS151:IYU151"/>
    <mergeCell ref="IWN151:IWP151"/>
    <mergeCell ref="IWQ151:IWS151"/>
    <mergeCell ref="IWZ151:IXB151"/>
    <mergeCell ref="IXC151:IXE151"/>
    <mergeCell ref="IXF151:IXH151"/>
    <mergeCell ref="IXO151:IXQ151"/>
    <mergeCell ref="IVJ151:IVL151"/>
    <mergeCell ref="IVM151:IVO151"/>
    <mergeCell ref="IVV151:IVX151"/>
    <mergeCell ref="IVY151:IWA151"/>
    <mergeCell ref="IWB151:IWD151"/>
    <mergeCell ref="IWK151:IWM151"/>
    <mergeCell ref="IUF151:IUH151"/>
    <mergeCell ref="IUI151:IUK151"/>
    <mergeCell ref="IUR151:IUT151"/>
    <mergeCell ref="IUU151:IUW151"/>
    <mergeCell ref="IUX151:IUZ151"/>
    <mergeCell ref="IVG151:IVI151"/>
    <mergeCell ref="ITB151:ITD151"/>
    <mergeCell ref="ITE151:ITG151"/>
    <mergeCell ref="ITN151:ITP151"/>
    <mergeCell ref="ITQ151:ITS151"/>
    <mergeCell ref="ITT151:ITV151"/>
    <mergeCell ref="IUC151:IUE151"/>
    <mergeCell ref="IRX151:IRZ151"/>
    <mergeCell ref="ISA151:ISC151"/>
    <mergeCell ref="ISJ151:ISL151"/>
    <mergeCell ref="ISM151:ISO151"/>
    <mergeCell ref="ISP151:ISR151"/>
    <mergeCell ref="ISY151:ITA151"/>
    <mergeCell ref="IQT151:IQV151"/>
    <mergeCell ref="IQW151:IQY151"/>
    <mergeCell ref="IRF151:IRH151"/>
    <mergeCell ref="IRI151:IRK151"/>
    <mergeCell ref="IRL151:IRN151"/>
    <mergeCell ref="IRU151:IRW151"/>
    <mergeCell ref="IPP151:IPR151"/>
    <mergeCell ref="IPS151:IPU151"/>
    <mergeCell ref="IQB151:IQD151"/>
    <mergeCell ref="IQE151:IQG151"/>
    <mergeCell ref="IQH151:IQJ151"/>
    <mergeCell ref="IQQ151:IQS151"/>
    <mergeCell ref="IOL151:ION151"/>
    <mergeCell ref="IOO151:IOQ151"/>
    <mergeCell ref="IOX151:IOZ151"/>
    <mergeCell ref="IPA151:IPC151"/>
    <mergeCell ref="IPD151:IPF151"/>
    <mergeCell ref="IPM151:IPO151"/>
    <mergeCell ref="INH151:INJ151"/>
    <mergeCell ref="INK151:INM151"/>
    <mergeCell ref="INT151:INV151"/>
    <mergeCell ref="INW151:INY151"/>
    <mergeCell ref="INZ151:IOB151"/>
    <mergeCell ref="IOI151:IOK151"/>
    <mergeCell ref="IMD151:IMF151"/>
    <mergeCell ref="IMG151:IMI151"/>
    <mergeCell ref="IMP151:IMR151"/>
    <mergeCell ref="IMS151:IMU151"/>
    <mergeCell ref="IMV151:IMX151"/>
    <mergeCell ref="INE151:ING151"/>
    <mergeCell ref="IKZ151:ILB151"/>
    <mergeCell ref="ILC151:ILE151"/>
    <mergeCell ref="ILL151:ILN151"/>
    <mergeCell ref="ILO151:ILQ151"/>
    <mergeCell ref="ILR151:ILT151"/>
    <mergeCell ref="IMA151:IMC151"/>
    <mergeCell ref="IJV151:IJX151"/>
    <mergeCell ref="IJY151:IKA151"/>
    <mergeCell ref="IKH151:IKJ151"/>
    <mergeCell ref="IKK151:IKM151"/>
    <mergeCell ref="IKN151:IKP151"/>
    <mergeCell ref="IKW151:IKY151"/>
    <mergeCell ref="IIR151:IIT151"/>
    <mergeCell ref="IIU151:IIW151"/>
    <mergeCell ref="IJD151:IJF151"/>
    <mergeCell ref="IJG151:IJI151"/>
    <mergeCell ref="IJJ151:IJL151"/>
    <mergeCell ref="IJS151:IJU151"/>
    <mergeCell ref="IHN151:IHP151"/>
    <mergeCell ref="IHQ151:IHS151"/>
    <mergeCell ref="IHZ151:IIB151"/>
    <mergeCell ref="IIC151:IIE151"/>
    <mergeCell ref="IIF151:IIH151"/>
    <mergeCell ref="IIO151:IIQ151"/>
    <mergeCell ref="IGJ151:IGL151"/>
    <mergeCell ref="IGM151:IGO151"/>
    <mergeCell ref="IGV151:IGX151"/>
    <mergeCell ref="IGY151:IHA151"/>
    <mergeCell ref="IHB151:IHD151"/>
    <mergeCell ref="IHK151:IHM151"/>
    <mergeCell ref="IFF151:IFH151"/>
    <mergeCell ref="IFI151:IFK151"/>
    <mergeCell ref="IFR151:IFT151"/>
    <mergeCell ref="IFU151:IFW151"/>
    <mergeCell ref="IFX151:IFZ151"/>
    <mergeCell ref="IGG151:IGI151"/>
    <mergeCell ref="IEB151:IED151"/>
    <mergeCell ref="IEE151:IEG151"/>
    <mergeCell ref="IEN151:IEP151"/>
    <mergeCell ref="IEQ151:IES151"/>
    <mergeCell ref="IET151:IEV151"/>
    <mergeCell ref="IFC151:IFE151"/>
    <mergeCell ref="ICX151:ICZ151"/>
    <mergeCell ref="IDA151:IDC151"/>
    <mergeCell ref="IDJ151:IDL151"/>
    <mergeCell ref="IDM151:IDO151"/>
    <mergeCell ref="IDP151:IDR151"/>
    <mergeCell ref="IDY151:IEA151"/>
    <mergeCell ref="IBT151:IBV151"/>
    <mergeCell ref="IBW151:IBY151"/>
    <mergeCell ref="ICF151:ICH151"/>
    <mergeCell ref="ICI151:ICK151"/>
    <mergeCell ref="ICL151:ICN151"/>
    <mergeCell ref="ICU151:ICW151"/>
    <mergeCell ref="IAP151:IAR151"/>
    <mergeCell ref="IAS151:IAU151"/>
    <mergeCell ref="IBB151:IBD151"/>
    <mergeCell ref="IBE151:IBG151"/>
    <mergeCell ref="IBH151:IBJ151"/>
    <mergeCell ref="IBQ151:IBS151"/>
    <mergeCell ref="HZL151:HZN151"/>
    <mergeCell ref="HZO151:HZQ151"/>
    <mergeCell ref="HZX151:HZZ151"/>
    <mergeCell ref="IAA151:IAC151"/>
    <mergeCell ref="IAD151:IAF151"/>
    <mergeCell ref="IAM151:IAO151"/>
    <mergeCell ref="HYH151:HYJ151"/>
    <mergeCell ref="HYK151:HYM151"/>
    <mergeCell ref="HYT151:HYV151"/>
    <mergeCell ref="HYW151:HYY151"/>
    <mergeCell ref="HYZ151:HZB151"/>
    <mergeCell ref="HZI151:HZK151"/>
    <mergeCell ref="HXD151:HXF151"/>
    <mergeCell ref="HXG151:HXI151"/>
    <mergeCell ref="HXP151:HXR151"/>
    <mergeCell ref="HXS151:HXU151"/>
    <mergeCell ref="HXV151:HXX151"/>
    <mergeCell ref="HYE151:HYG151"/>
    <mergeCell ref="HVZ151:HWB151"/>
    <mergeCell ref="HWC151:HWE151"/>
    <mergeCell ref="HWL151:HWN151"/>
    <mergeCell ref="HWO151:HWQ151"/>
    <mergeCell ref="HWR151:HWT151"/>
    <mergeCell ref="HXA151:HXC151"/>
    <mergeCell ref="HUV151:HUX151"/>
    <mergeCell ref="HUY151:HVA151"/>
    <mergeCell ref="HVH151:HVJ151"/>
    <mergeCell ref="HVK151:HVM151"/>
    <mergeCell ref="HVN151:HVP151"/>
    <mergeCell ref="HVW151:HVY151"/>
    <mergeCell ref="HTR151:HTT151"/>
    <mergeCell ref="HTU151:HTW151"/>
    <mergeCell ref="HUD151:HUF151"/>
    <mergeCell ref="HUG151:HUI151"/>
    <mergeCell ref="HUJ151:HUL151"/>
    <mergeCell ref="HUS151:HUU151"/>
    <mergeCell ref="HSN151:HSP151"/>
    <mergeCell ref="HSQ151:HSS151"/>
    <mergeCell ref="HSZ151:HTB151"/>
    <mergeCell ref="HTC151:HTE151"/>
    <mergeCell ref="HTF151:HTH151"/>
    <mergeCell ref="HTO151:HTQ151"/>
    <mergeCell ref="HRJ151:HRL151"/>
    <mergeCell ref="HRM151:HRO151"/>
    <mergeCell ref="HRV151:HRX151"/>
    <mergeCell ref="HRY151:HSA151"/>
    <mergeCell ref="HSB151:HSD151"/>
    <mergeCell ref="HSK151:HSM151"/>
    <mergeCell ref="HQF151:HQH151"/>
    <mergeCell ref="HQI151:HQK151"/>
    <mergeCell ref="HQR151:HQT151"/>
    <mergeCell ref="HQU151:HQW151"/>
    <mergeCell ref="HQX151:HQZ151"/>
    <mergeCell ref="HRG151:HRI151"/>
    <mergeCell ref="HPB151:HPD151"/>
    <mergeCell ref="HPE151:HPG151"/>
    <mergeCell ref="HPN151:HPP151"/>
    <mergeCell ref="HPQ151:HPS151"/>
    <mergeCell ref="HPT151:HPV151"/>
    <mergeCell ref="HQC151:HQE151"/>
    <mergeCell ref="HNX151:HNZ151"/>
    <mergeCell ref="HOA151:HOC151"/>
    <mergeCell ref="HOJ151:HOL151"/>
    <mergeCell ref="HOM151:HOO151"/>
    <mergeCell ref="HOP151:HOR151"/>
    <mergeCell ref="HOY151:HPA151"/>
    <mergeCell ref="HMT151:HMV151"/>
    <mergeCell ref="HMW151:HMY151"/>
    <mergeCell ref="HNF151:HNH151"/>
    <mergeCell ref="HNI151:HNK151"/>
    <mergeCell ref="HNL151:HNN151"/>
    <mergeCell ref="HNU151:HNW151"/>
    <mergeCell ref="HLP151:HLR151"/>
    <mergeCell ref="HLS151:HLU151"/>
    <mergeCell ref="HMB151:HMD151"/>
    <mergeCell ref="HME151:HMG151"/>
    <mergeCell ref="HMH151:HMJ151"/>
    <mergeCell ref="HMQ151:HMS151"/>
    <mergeCell ref="HKL151:HKN151"/>
    <mergeCell ref="HKO151:HKQ151"/>
    <mergeCell ref="HKX151:HKZ151"/>
    <mergeCell ref="HLA151:HLC151"/>
    <mergeCell ref="HLD151:HLF151"/>
    <mergeCell ref="HLM151:HLO151"/>
    <mergeCell ref="HJH151:HJJ151"/>
    <mergeCell ref="HJK151:HJM151"/>
    <mergeCell ref="HJT151:HJV151"/>
    <mergeCell ref="HJW151:HJY151"/>
    <mergeCell ref="HJZ151:HKB151"/>
    <mergeCell ref="HKI151:HKK151"/>
    <mergeCell ref="HID151:HIF151"/>
    <mergeCell ref="HIG151:HII151"/>
    <mergeCell ref="HIP151:HIR151"/>
    <mergeCell ref="HIS151:HIU151"/>
    <mergeCell ref="HIV151:HIX151"/>
    <mergeCell ref="HJE151:HJG151"/>
    <mergeCell ref="HGZ151:HHB151"/>
    <mergeCell ref="HHC151:HHE151"/>
    <mergeCell ref="HHL151:HHN151"/>
    <mergeCell ref="HHO151:HHQ151"/>
    <mergeCell ref="HHR151:HHT151"/>
    <mergeCell ref="HIA151:HIC151"/>
    <mergeCell ref="HFV151:HFX151"/>
    <mergeCell ref="HFY151:HGA151"/>
    <mergeCell ref="HGH151:HGJ151"/>
    <mergeCell ref="HGK151:HGM151"/>
    <mergeCell ref="HGN151:HGP151"/>
    <mergeCell ref="HGW151:HGY151"/>
    <mergeCell ref="HER151:HET151"/>
    <mergeCell ref="HEU151:HEW151"/>
    <mergeCell ref="HFD151:HFF151"/>
    <mergeCell ref="HFG151:HFI151"/>
    <mergeCell ref="HFJ151:HFL151"/>
    <mergeCell ref="HFS151:HFU151"/>
    <mergeCell ref="HDN151:HDP151"/>
    <mergeCell ref="HDQ151:HDS151"/>
    <mergeCell ref="HDZ151:HEB151"/>
    <mergeCell ref="HEC151:HEE151"/>
    <mergeCell ref="HEF151:HEH151"/>
    <mergeCell ref="HEO151:HEQ151"/>
    <mergeCell ref="HCJ151:HCL151"/>
    <mergeCell ref="HCM151:HCO151"/>
    <mergeCell ref="HCV151:HCX151"/>
    <mergeCell ref="HCY151:HDA151"/>
    <mergeCell ref="HDB151:HDD151"/>
    <mergeCell ref="HDK151:HDM151"/>
    <mergeCell ref="HBF151:HBH151"/>
    <mergeCell ref="HBI151:HBK151"/>
    <mergeCell ref="HBR151:HBT151"/>
    <mergeCell ref="HBU151:HBW151"/>
    <mergeCell ref="HBX151:HBZ151"/>
    <mergeCell ref="HCG151:HCI151"/>
    <mergeCell ref="HAB151:HAD151"/>
    <mergeCell ref="HAE151:HAG151"/>
    <mergeCell ref="HAN151:HAP151"/>
    <mergeCell ref="HAQ151:HAS151"/>
    <mergeCell ref="HAT151:HAV151"/>
    <mergeCell ref="HBC151:HBE151"/>
    <mergeCell ref="GYX151:GYZ151"/>
    <mergeCell ref="GZA151:GZC151"/>
    <mergeCell ref="GZJ151:GZL151"/>
    <mergeCell ref="GZM151:GZO151"/>
    <mergeCell ref="GZP151:GZR151"/>
    <mergeCell ref="GZY151:HAA151"/>
    <mergeCell ref="GXT151:GXV151"/>
    <mergeCell ref="GXW151:GXY151"/>
    <mergeCell ref="GYF151:GYH151"/>
    <mergeCell ref="GYI151:GYK151"/>
    <mergeCell ref="GYL151:GYN151"/>
    <mergeCell ref="GYU151:GYW151"/>
    <mergeCell ref="GWP151:GWR151"/>
    <mergeCell ref="GWS151:GWU151"/>
    <mergeCell ref="GXB151:GXD151"/>
    <mergeCell ref="GXE151:GXG151"/>
    <mergeCell ref="GXH151:GXJ151"/>
    <mergeCell ref="GXQ151:GXS151"/>
    <mergeCell ref="GVL151:GVN151"/>
    <mergeCell ref="GVO151:GVQ151"/>
    <mergeCell ref="GVX151:GVZ151"/>
    <mergeCell ref="GWA151:GWC151"/>
    <mergeCell ref="GWD151:GWF151"/>
    <mergeCell ref="GWM151:GWO151"/>
    <mergeCell ref="GUH151:GUJ151"/>
    <mergeCell ref="GUK151:GUM151"/>
    <mergeCell ref="GUT151:GUV151"/>
    <mergeCell ref="GUW151:GUY151"/>
    <mergeCell ref="GUZ151:GVB151"/>
    <mergeCell ref="GVI151:GVK151"/>
    <mergeCell ref="GTD151:GTF151"/>
    <mergeCell ref="GTG151:GTI151"/>
    <mergeCell ref="GTP151:GTR151"/>
    <mergeCell ref="GTS151:GTU151"/>
    <mergeCell ref="GTV151:GTX151"/>
    <mergeCell ref="GUE151:GUG151"/>
    <mergeCell ref="GRZ151:GSB151"/>
    <mergeCell ref="GSC151:GSE151"/>
    <mergeCell ref="GSL151:GSN151"/>
    <mergeCell ref="GSO151:GSQ151"/>
    <mergeCell ref="GSR151:GST151"/>
    <mergeCell ref="GTA151:GTC151"/>
    <mergeCell ref="GQV151:GQX151"/>
    <mergeCell ref="GQY151:GRA151"/>
    <mergeCell ref="GRH151:GRJ151"/>
    <mergeCell ref="GRK151:GRM151"/>
    <mergeCell ref="GRN151:GRP151"/>
    <mergeCell ref="GRW151:GRY151"/>
    <mergeCell ref="GPR151:GPT151"/>
    <mergeCell ref="GPU151:GPW151"/>
    <mergeCell ref="GQD151:GQF151"/>
    <mergeCell ref="GQG151:GQI151"/>
    <mergeCell ref="GQJ151:GQL151"/>
    <mergeCell ref="GQS151:GQU151"/>
    <mergeCell ref="GON151:GOP151"/>
    <mergeCell ref="GOQ151:GOS151"/>
    <mergeCell ref="GOZ151:GPB151"/>
    <mergeCell ref="GPC151:GPE151"/>
    <mergeCell ref="GPF151:GPH151"/>
    <mergeCell ref="GPO151:GPQ151"/>
    <mergeCell ref="GNJ151:GNL151"/>
    <mergeCell ref="GNM151:GNO151"/>
    <mergeCell ref="GNV151:GNX151"/>
    <mergeCell ref="GNY151:GOA151"/>
    <mergeCell ref="GOB151:GOD151"/>
    <mergeCell ref="GOK151:GOM151"/>
    <mergeCell ref="GMF151:GMH151"/>
    <mergeCell ref="GMI151:GMK151"/>
    <mergeCell ref="GMR151:GMT151"/>
    <mergeCell ref="GMU151:GMW151"/>
    <mergeCell ref="GMX151:GMZ151"/>
    <mergeCell ref="GNG151:GNI151"/>
    <mergeCell ref="GLB151:GLD151"/>
    <mergeCell ref="GLE151:GLG151"/>
    <mergeCell ref="GLN151:GLP151"/>
    <mergeCell ref="GLQ151:GLS151"/>
    <mergeCell ref="GLT151:GLV151"/>
    <mergeCell ref="GMC151:GME151"/>
    <mergeCell ref="GJX151:GJZ151"/>
    <mergeCell ref="GKA151:GKC151"/>
    <mergeCell ref="GKJ151:GKL151"/>
    <mergeCell ref="GKM151:GKO151"/>
    <mergeCell ref="GKP151:GKR151"/>
    <mergeCell ref="GKY151:GLA151"/>
    <mergeCell ref="GIT151:GIV151"/>
    <mergeCell ref="GIW151:GIY151"/>
    <mergeCell ref="GJF151:GJH151"/>
    <mergeCell ref="GJI151:GJK151"/>
    <mergeCell ref="GJL151:GJN151"/>
    <mergeCell ref="GJU151:GJW151"/>
    <mergeCell ref="GHP151:GHR151"/>
    <mergeCell ref="GHS151:GHU151"/>
    <mergeCell ref="GIB151:GID151"/>
    <mergeCell ref="GIE151:GIG151"/>
    <mergeCell ref="GIH151:GIJ151"/>
    <mergeCell ref="GIQ151:GIS151"/>
    <mergeCell ref="GGL151:GGN151"/>
    <mergeCell ref="GGO151:GGQ151"/>
    <mergeCell ref="GGX151:GGZ151"/>
    <mergeCell ref="GHA151:GHC151"/>
    <mergeCell ref="GHD151:GHF151"/>
    <mergeCell ref="GHM151:GHO151"/>
    <mergeCell ref="GFH151:GFJ151"/>
    <mergeCell ref="GFK151:GFM151"/>
    <mergeCell ref="GFT151:GFV151"/>
    <mergeCell ref="GFW151:GFY151"/>
    <mergeCell ref="GFZ151:GGB151"/>
    <mergeCell ref="GGI151:GGK151"/>
    <mergeCell ref="GED151:GEF151"/>
    <mergeCell ref="GEG151:GEI151"/>
    <mergeCell ref="GEP151:GER151"/>
    <mergeCell ref="GES151:GEU151"/>
    <mergeCell ref="GEV151:GEX151"/>
    <mergeCell ref="GFE151:GFG151"/>
    <mergeCell ref="GCZ151:GDB151"/>
    <mergeCell ref="GDC151:GDE151"/>
    <mergeCell ref="GDL151:GDN151"/>
    <mergeCell ref="GDO151:GDQ151"/>
    <mergeCell ref="GDR151:GDT151"/>
    <mergeCell ref="GEA151:GEC151"/>
    <mergeCell ref="GBV151:GBX151"/>
    <mergeCell ref="GBY151:GCA151"/>
    <mergeCell ref="GCH151:GCJ151"/>
    <mergeCell ref="GCK151:GCM151"/>
    <mergeCell ref="GCN151:GCP151"/>
    <mergeCell ref="GCW151:GCY151"/>
    <mergeCell ref="GAR151:GAT151"/>
    <mergeCell ref="GAU151:GAW151"/>
    <mergeCell ref="GBD151:GBF151"/>
    <mergeCell ref="GBG151:GBI151"/>
    <mergeCell ref="GBJ151:GBL151"/>
    <mergeCell ref="GBS151:GBU151"/>
    <mergeCell ref="FZN151:FZP151"/>
    <mergeCell ref="FZQ151:FZS151"/>
    <mergeCell ref="FZZ151:GAB151"/>
    <mergeCell ref="GAC151:GAE151"/>
    <mergeCell ref="GAF151:GAH151"/>
    <mergeCell ref="GAO151:GAQ151"/>
    <mergeCell ref="FYJ151:FYL151"/>
    <mergeCell ref="FYM151:FYO151"/>
    <mergeCell ref="FYV151:FYX151"/>
    <mergeCell ref="FYY151:FZA151"/>
    <mergeCell ref="FZB151:FZD151"/>
    <mergeCell ref="FZK151:FZM151"/>
    <mergeCell ref="FXF151:FXH151"/>
    <mergeCell ref="FXI151:FXK151"/>
    <mergeCell ref="FXR151:FXT151"/>
    <mergeCell ref="FXU151:FXW151"/>
    <mergeCell ref="FXX151:FXZ151"/>
    <mergeCell ref="FYG151:FYI151"/>
    <mergeCell ref="FWB151:FWD151"/>
    <mergeCell ref="FWE151:FWG151"/>
    <mergeCell ref="FWN151:FWP151"/>
    <mergeCell ref="FWQ151:FWS151"/>
    <mergeCell ref="FWT151:FWV151"/>
    <mergeCell ref="FXC151:FXE151"/>
    <mergeCell ref="FUX151:FUZ151"/>
    <mergeCell ref="FVA151:FVC151"/>
    <mergeCell ref="FVJ151:FVL151"/>
    <mergeCell ref="FVM151:FVO151"/>
    <mergeCell ref="FVP151:FVR151"/>
    <mergeCell ref="FVY151:FWA151"/>
    <mergeCell ref="FTT151:FTV151"/>
    <mergeCell ref="FTW151:FTY151"/>
    <mergeCell ref="FUF151:FUH151"/>
    <mergeCell ref="FUI151:FUK151"/>
    <mergeCell ref="FUL151:FUN151"/>
    <mergeCell ref="FUU151:FUW151"/>
    <mergeCell ref="FSP151:FSR151"/>
    <mergeCell ref="FSS151:FSU151"/>
    <mergeCell ref="FTB151:FTD151"/>
    <mergeCell ref="FTE151:FTG151"/>
    <mergeCell ref="FTH151:FTJ151"/>
    <mergeCell ref="FTQ151:FTS151"/>
    <mergeCell ref="FRL151:FRN151"/>
    <mergeCell ref="FRO151:FRQ151"/>
    <mergeCell ref="FRX151:FRZ151"/>
    <mergeCell ref="FSA151:FSC151"/>
    <mergeCell ref="FSD151:FSF151"/>
    <mergeCell ref="FSM151:FSO151"/>
    <mergeCell ref="FQH151:FQJ151"/>
    <mergeCell ref="FQK151:FQM151"/>
    <mergeCell ref="FQT151:FQV151"/>
    <mergeCell ref="FQW151:FQY151"/>
    <mergeCell ref="FQZ151:FRB151"/>
    <mergeCell ref="FRI151:FRK151"/>
    <mergeCell ref="FPD151:FPF151"/>
    <mergeCell ref="FPG151:FPI151"/>
    <mergeCell ref="FPP151:FPR151"/>
    <mergeCell ref="FPS151:FPU151"/>
    <mergeCell ref="FPV151:FPX151"/>
    <mergeCell ref="FQE151:FQG151"/>
    <mergeCell ref="FNZ151:FOB151"/>
    <mergeCell ref="FOC151:FOE151"/>
    <mergeCell ref="FOL151:FON151"/>
    <mergeCell ref="FOO151:FOQ151"/>
    <mergeCell ref="FOR151:FOT151"/>
    <mergeCell ref="FPA151:FPC151"/>
    <mergeCell ref="FMV151:FMX151"/>
    <mergeCell ref="FMY151:FNA151"/>
    <mergeCell ref="FNH151:FNJ151"/>
    <mergeCell ref="FNK151:FNM151"/>
    <mergeCell ref="FNN151:FNP151"/>
    <mergeCell ref="FNW151:FNY151"/>
    <mergeCell ref="FLR151:FLT151"/>
    <mergeCell ref="FLU151:FLW151"/>
    <mergeCell ref="FMD151:FMF151"/>
    <mergeCell ref="FMG151:FMI151"/>
    <mergeCell ref="FMJ151:FML151"/>
    <mergeCell ref="FMS151:FMU151"/>
    <mergeCell ref="FKN151:FKP151"/>
    <mergeCell ref="FKQ151:FKS151"/>
    <mergeCell ref="FKZ151:FLB151"/>
    <mergeCell ref="FLC151:FLE151"/>
    <mergeCell ref="FLF151:FLH151"/>
    <mergeCell ref="FLO151:FLQ151"/>
    <mergeCell ref="FJJ151:FJL151"/>
    <mergeCell ref="FJM151:FJO151"/>
    <mergeCell ref="FJV151:FJX151"/>
    <mergeCell ref="FJY151:FKA151"/>
    <mergeCell ref="FKB151:FKD151"/>
    <mergeCell ref="FKK151:FKM151"/>
    <mergeCell ref="FIF151:FIH151"/>
    <mergeCell ref="FII151:FIK151"/>
    <mergeCell ref="FIR151:FIT151"/>
    <mergeCell ref="FIU151:FIW151"/>
    <mergeCell ref="FIX151:FIZ151"/>
    <mergeCell ref="FJG151:FJI151"/>
    <mergeCell ref="FHB151:FHD151"/>
    <mergeCell ref="FHE151:FHG151"/>
    <mergeCell ref="FHN151:FHP151"/>
    <mergeCell ref="FHQ151:FHS151"/>
    <mergeCell ref="FHT151:FHV151"/>
    <mergeCell ref="FIC151:FIE151"/>
    <mergeCell ref="FFX151:FFZ151"/>
    <mergeCell ref="FGA151:FGC151"/>
    <mergeCell ref="FGJ151:FGL151"/>
    <mergeCell ref="FGM151:FGO151"/>
    <mergeCell ref="FGP151:FGR151"/>
    <mergeCell ref="FGY151:FHA151"/>
    <mergeCell ref="FET151:FEV151"/>
    <mergeCell ref="FEW151:FEY151"/>
    <mergeCell ref="FFF151:FFH151"/>
    <mergeCell ref="FFI151:FFK151"/>
    <mergeCell ref="FFL151:FFN151"/>
    <mergeCell ref="FFU151:FFW151"/>
    <mergeCell ref="FDP151:FDR151"/>
    <mergeCell ref="FDS151:FDU151"/>
    <mergeCell ref="FEB151:FED151"/>
    <mergeCell ref="FEE151:FEG151"/>
    <mergeCell ref="FEH151:FEJ151"/>
    <mergeCell ref="FEQ151:FES151"/>
    <mergeCell ref="FCL151:FCN151"/>
    <mergeCell ref="FCO151:FCQ151"/>
    <mergeCell ref="FCX151:FCZ151"/>
    <mergeCell ref="FDA151:FDC151"/>
    <mergeCell ref="FDD151:FDF151"/>
    <mergeCell ref="FDM151:FDO151"/>
    <mergeCell ref="FBH151:FBJ151"/>
    <mergeCell ref="FBK151:FBM151"/>
    <mergeCell ref="FBT151:FBV151"/>
    <mergeCell ref="FBW151:FBY151"/>
    <mergeCell ref="FBZ151:FCB151"/>
    <mergeCell ref="FCI151:FCK151"/>
    <mergeCell ref="FAD151:FAF151"/>
    <mergeCell ref="FAG151:FAI151"/>
    <mergeCell ref="FAP151:FAR151"/>
    <mergeCell ref="FAS151:FAU151"/>
    <mergeCell ref="FAV151:FAX151"/>
    <mergeCell ref="FBE151:FBG151"/>
    <mergeCell ref="EYZ151:EZB151"/>
    <mergeCell ref="EZC151:EZE151"/>
    <mergeCell ref="EZL151:EZN151"/>
    <mergeCell ref="EZO151:EZQ151"/>
    <mergeCell ref="EZR151:EZT151"/>
    <mergeCell ref="FAA151:FAC151"/>
    <mergeCell ref="EXV151:EXX151"/>
    <mergeCell ref="EXY151:EYA151"/>
    <mergeCell ref="EYH151:EYJ151"/>
    <mergeCell ref="EYK151:EYM151"/>
    <mergeCell ref="EYN151:EYP151"/>
    <mergeCell ref="EYW151:EYY151"/>
    <mergeCell ref="EWR151:EWT151"/>
    <mergeCell ref="EWU151:EWW151"/>
    <mergeCell ref="EXD151:EXF151"/>
    <mergeCell ref="EXG151:EXI151"/>
    <mergeCell ref="EXJ151:EXL151"/>
    <mergeCell ref="EXS151:EXU151"/>
    <mergeCell ref="EVN151:EVP151"/>
    <mergeCell ref="EVQ151:EVS151"/>
    <mergeCell ref="EVZ151:EWB151"/>
    <mergeCell ref="EWC151:EWE151"/>
    <mergeCell ref="EWF151:EWH151"/>
    <mergeCell ref="EWO151:EWQ151"/>
    <mergeCell ref="EUJ151:EUL151"/>
    <mergeCell ref="EUM151:EUO151"/>
    <mergeCell ref="EUV151:EUX151"/>
    <mergeCell ref="EUY151:EVA151"/>
    <mergeCell ref="EVB151:EVD151"/>
    <mergeCell ref="EVK151:EVM151"/>
    <mergeCell ref="ETF151:ETH151"/>
    <mergeCell ref="ETI151:ETK151"/>
    <mergeCell ref="ETR151:ETT151"/>
    <mergeCell ref="ETU151:ETW151"/>
    <mergeCell ref="ETX151:ETZ151"/>
    <mergeCell ref="EUG151:EUI151"/>
    <mergeCell ref="ESB151:ESD151"/>
    <mergeCell ref="ESE151:ESG151"/>
    <mergeCell ref="ESN151:ESP151"/>
    <mergeCell ref="ESQ151:ESS151"/>
    <mergeCell ref="EST151:ESV151"/>
    <mergeCell ref="ETC151:ETE151"/>
    <mergeCell ref="EQX151:EQZ151"/>
    <mergeCell ref="ERA151:ERC151"/>
    <mergeCell ref="ERJ151:ERL151"/>
    <mergeCell ref="ERM151:ERO151"/>
    <mergeCell ref="ERP151:ERR151"/>
    <mergeCell ref="ERY151:ESA151"/>
    <mergeCell ref="EPT151:EPV151"/>
    <mergeCell ref="EPW151:EPY151"/>
    <mergeCell ref="EQF151:EQH151"/>
    <mergeCell ref="EQI151:EQK151"/>
    <mergeCell ref="EQL151:EQN151"/>
    <mergeCell ref="EQU151:EQW151"/>
    <mergeCell ref="EOP151:EOR151"/>
    <mergeCell ref="EOS151:EOU151"/>
    <mergeCell ref="EPB151:EPD151"/>
    <mergeCell ref="EPE151:EPG151"/>
    <mergeCell ref="EPH151:EPJ151"/>
    <mergeCell ref="EPQ151:EPS151"/>
    <mergeCell ref="ENL151:ENN151"/>
    <mergeCell ref="ENO151:ENQ151"/>
    <mergeCell ref="ENX151:ENZ151"/>
    <mergeCell ref="EOA151:EOC151"/>
    <mergeCell ref="EOD151:EOF151"/>
    <mergeCell ref="EOM151:EOO151"/>
    <mergeCell ref="EMH151:EMJ151"/>
    <mergeCell ref="EMK151:EMM151"/>
    <mergeCell ref="EMT151:EMV151"/>
    <mergeCell ref="EMW151:EMY151"/>
    <mergeCell ref="EMZ151:ENB151"/>
    <mergeCell ref="ENI151:ENK151"/>
    <mergeCell ref="ELD151:ELF151"/>
    <mergeCell ref="ELG151:ELI151"/>
    <mergeCell ref="ELP151:ELR151"/>
    <mergeCell ref="ELS151:ELU151"/>
    <mergeCell ref="ELV151:ELX151"/>
    <mergeCell ref="EME151:EMG151"/>
    <mergeCell ref="EJZ151:EKB151"/>
    <mergeCell ref="EKC151:EKE151"/>
    <mergeCell ref="EKL151:EKN151"/>
    <mergeCell ref="EKO151:EKQ151"/>
    <mergeCell ref="EKR151:EKT151"/>
    <mergeCell ref="ELA151:ELC151"/>
    <mergeCell ref="EIV151:EIX151"/>
    <mergeCell ref="EIY151:EJA151"/>
    <mergeCell ref="EJH151:EJJ151"/>
    <mergeCell ref="EJK151:EJM151"/>
    <mergeCell ref="EJN151:EJP151"/>
    <mergeCell ref="EJW151:EJY151"/>
    <mergeCell ref="EHR151:EHT151"/>
    <mergeCell ref="EHU151:EHW151"/>
    <mergeCell ref="EID151:EIF151"/>
    <mergeCell ref="EIG151:EII151"/>
    <mergeCell ref="EIJ151:EIL151"/>
    <mergeCell ref="EIS151:EIU151"/>
    <mergeCell ref="EGN151:EGP151"/>
    <mergeCell ref="EGQ151:EGS151"/>
    <mergeCell ref="EGZ151:EHB151"/>
    <mergeCell ref="EHC151:EHE151"/>
    <mergeCell ref="EHF151:EHH151"/>
    <mergeCell ref="EHO151:EHQ151"/>
    <mergeCell ref="EFJ151:EFL151"/>
    <mergeCell ref="EFM151:EFO151"/>
    <mergeCell ref="EFV151:EFX151"/>
    <mergeCell ref="EFY151:EGA151"/>
    <mergeCell ref="EGB151:EGD151"/>
    <mergeCell ref="EGK151:EGM151"/>
    <mergeCell ref="EEF151:EEH151"/>
    <mergeCell ref="EEI151:EEK151"/>
    <mergeCell ref="EER151:EET151"/>
    <mergeCell ref="EEU151:EEW151"/>
    <mergeCell ref="EEX151:EEZ151"/>
    <mergeCell ref="EFG151:EFI151"/>
    <mergeCell ref="EDB151:EDD151"/>
    <mergeCell ref="EDE151:EDG151"/>
    <mergeCell ref="EDN151:EDP151"/>
    <mergeCell ref="EDQ151:EDS151"/>
    <mergeCell ref="EDT151:EDV151"/>
    <mergeCell ref="EEC151:EEE151"/>
    <mergeCell ref="EBX151:EBZ151"/>
    <mergeCell ref="ECA151:ECC151"/>
    <mergeCell ref="ECJ151:ECL151"/>
    <mergeCell ref="ECM151:ECO151"/>
    <mergeCell ref="ECP151:ECR151"/>
    <mergeCell ref="ECY151:EDA151"/>
    <mergeCell ref="EAT151:EAV151"/>
    <mergeCell ref="EAW151:EAY151"/>
    <mergeCell ref="EBF151:EBH151"/>
    <mergeCell ref="EBI151:EBK151"/>
    <mergeCell ref="EBL151:EBN151"/>
    <mergeCell ref="EBU151:EBW151"/>
    <mergeCell ref="DZP151:DZR151"/>
    <mergeCell ref="DZS151:DZU151"/>
    <mergeCell ref="EAB151:EAD151"/>
    <mergeCell ref="EAE151:EAG151"/>
    <mergeCell ref="EAH151:EAJ151"/>
    <mergeCell ref="EAQ151:EAS151"/>
    <mergeCell ref="DYL151:DYN151"/>
    <mergeCell ref="DYO151:DYQ151"/>
    <mergeCell ref="DYX151:DYZ151"/>
    <mergeCell ref="DZA151:DZC151"/>
    <mergeCell ref="DZD151:DZF151"/>
    <mergeCell ref="DZM151:DZO151"/>
    <mergeCell ref="DXH151:DXJ151"/>
    <mergeCell ref="DXK151:DXM151"/>
    <mergeCell ref="DXT151:DXV151"/>
    <mergeCell ref="DXW151:DXY151"/>
    <mergeCell ref="DXZ151:DYB151"/>
    <mergeCell ref="DYI151:DYK151"/>
    <mergeCell ref="DWD151:DWF151"/>
    <mergeCell ref="DWG151:DWI151"/>
    <mergeCell ref="DWP151:DWR151"/>
    <mergeCell ref="DWS151:DWU151"/>
    <mergeCell ref="DWV151:DWX151"/>
    <mergeCell ref="DXE151:DXG151"/>
    <mergeCell ref="DUZ151:DVB151"/>
    <mergeCell ref="DVC151:DVE151"/>
    <mergeCell ref="DVL151:DVN151"/>
    <mergeCell ref="DVO151:DVQ151"/>
    <mergeCell ref="DVR151:DVT151"/>
    <mergeCell ref="DWA151:DWC151"/>
    <mergeCell ref="DTV151:DTX151"/>
    <mergeCell ref="DTY151:DUA151"/>
    <mergeCell ref="DUH151:DUJ151"/>
    <mergeCell ref="DUK151:DUM151"/>
    <mergeCell ref="DUN151:DUP151"/>
    <mergeCell ref="DUW151:DUY151"/>
    <mergeCell ref="DSR151:DST151"/>
    <mergeCell ref="DSU151:DSW151"/>
    <mergeCell ref="DTD151:DTF151"/>
    <mergeCell ref="DTG151:DTI151"/>
    <mergeCell ref="DTJ151:DTL151"/>
    <mergeCell ref="DTS151:DTU151"/>
    <mergeCell ref="DRN151:DRP151"/>
    <mergeCell ref="DRQ151:DRS151"/>
    <mergeCell ref="DRZ151:DSB151"/>
    <mergeCell ref="DSC151:DSE151"/>
    <mergeCell ref="DSF151:DSH151"/>
    <mergeCell ref="DSO151:DSQ151"/>
    <mergeCell ref="DQJ151:DQL151"/>
    <mergeCell ref="DQM151:DQO151"/>
    <mergeCell ref="DQV151:DQX151"/>
    <mergeCell ref="DQY151:DRA151"/>
    <mergeCell ref="DRB151:DRD151"/>
    <mergeCell ref="DRK151:DRM151"/>
    <mergeCell ref="DPF151:DPH151"/>
    <mergeCell ref="DPI151:DPK151"/>
    <mergeCell ref="DPR151:DPT151"/>
    <mergeCell ref="DPU151:DPW151"/>
    <mergeCell ref="DPX151:DPZ151"/>
    <mergeCell ref="DQG151:DQI151"/>
    <mergeCell ref="DOB151:DOD151"/>
    <mergeCell ref="DOE151:DOG151"/>
    <mergeCell ref="DON151:DOP151"/>
    <mergeCell ref="DOQ151:DOS151"/>
    <mergeCell ref="DOT151:DOV151"/>
    <mergeCell ref="DPC151:DPE151"/>
    <mergeCell ref="DMX151:DMZ151"/>
    <mergeCell ref="DNA151:DNC151"/>
    <mergeCell ref="DNJ151:DNL151"/>
    <mergeCell ref="DNM151:DNO151"/>
    <mergeCell ref="DNP151:DNR151"/>
    <mergeCell ref="DNY151:DOA151"/>
    <mergeCell ref="DLT151:DLV151"/>
    <mergeCell ref="DLW151:DLY151"/>
    <mergeCell ref="DMF151:DMH151"/>
    <mergeCell ref="DMI151:DMK151"/>
    <mergeCell ref="DML151:DMN151"/>
    <mergeCell ref="DMU151:DMW151"/>
    <mergeCell ref="DKP151:DKR151"/>
    <mergeCell ref="DKS151:DKU151"/>
    <mergeCell ref="DLB151:DLD151"/>
    <mergeCell ref="DLE151:DLG151"/>
    <mergeCell ref="DLH151:DLJ151"/>
    <mergeCell ref="DLQ151:DLS151"/>
    <mergeCell ref="DJL151:DJN151"/>
    <mergeCell ref="DJO151:DJQ151"/>
    <mergeCell ref="DJX151:DJZ151"/>
    <mergeCell ref="DKA151:DKC151"/>
    <mergeCell ref="DKD151:DKF151"/>
    <mergeCell ref="DKM151:DKO151"/>
    <mergeCell ref="DIH151:DIJ151"/>
    <mergeCell ref="DIK151:DIM151"/>
    <mergeCell ref="DIT151:DIV151"/>
    <mergeCell ref="DIW151:DIY151"/>
    <mergeCell ref="DIZ151:DJB151"/>
    <mergeCell ref="DJI151:DJK151"/>
    <mergeCell ref="DHD151:DHF151"/>
    <mergeCell ref="DHG151:DHI151"/>
    <mergeCell ref="DHP151:DHR151"/>
    <mergeCell ref="DHS151:DHU151"/>
    <mergeCell ref="DHV151:DHX151"/>
    <mergeCell ref="DIE151:DIG151"/>
    <mergeCell ref="DFZ151:DGB151"/>
    <mergeCell ref="DGC151:DGE151"/>
    <mergeCell ref="DGL151:DGN151"/>
    <mergeCell ref="DGO151:DGQ151"/>
    <mergeCell ref="DGR151:DGT151"/>
    <mergeCell ref="DHA151:DHC151"/>
    <mergeCell ref="DEV151:DEX151"/>
    <mergeCell ref="DEY151:DFA151"/>
    <mergeCell ref="DFH151:DFJ151"/>
    <mergeCell ref="DFK151:DFM151"/>
    <mergeCell ref="DFN151:DFP151"/>
    <mergeCell ref="DFW151:DFY151"/>
    <mergeCell ref="DDR151:DDT151"/>
    <mergeCell ref="DDU151:DDW151"/>
    <mergeCell ref="DED151:DEF151"/>
    <mergeCell ref="DEG151:DEI151"/>
    <mergeCell ref="DEJ151:DEL151"/>
    <mergeCell ref="DES151:DEU151"/>
    <mergeCell ref="DCN151:DCP151"/>
    <mergeCell ref="DCQ151:DCS151"/>
    <mergeCell ref="DCZ151:DDB151"/>
    <mergeCell ref="DDC151:DDE151"/>
    <mergeCell ref="DDF151:DDH151"/>
    <mergeCell ref="DDO151:DDQ151"/>
    <mergeCell ref="DBJ151:DBL151"/>
    <mergeCell ref="DBM151:DBO151"/>
    <mergeCell ref="DBV151:DBX151"/>
    <mergeCell ref="DBY151:DCA151"/>
    <mergeCell ref="DCB151:DCD151"/>
    <mergeCell ref="DCK151:DCM151"/>
    <mergeCell ref="DAF151:DAH151"/>
    <mergeCell ref="DAI151:DAK151"/>
    <mergeCell ref="DAR151:DAT151"/>
    <mergeCell ref="DAU151:DAW151"/>
    <mergeCell ref="DAX151:DAZ151"/>
    <mergeCell ref="DBG151:DBI151"/>
    <mergeCell ref="CZB151:CZD151"/>
    <mergeCell ref="CZE151:CZG151"/>
    <mergeCell ref="CZN151:CZP151"/>
    <mergeCell ref="CZQ151:CZS151"/>
    <mergeCell ref="CZT151:CZV151"/>
    <mergeCell ref="DAC151:DAE151"/>
    <mergeCell ref="CXX151:CXZ151"/>
    <mergeCell ref="CYA151:CYC151"/>
    <mergeCell ref="CYJ151:CYL151"/>
    <mergeCell ref="CYM151:CYO151"/>
    <mergeCell ref="CYP151:CYR151"/>
    <mergeCell ref="CYY151:CZA151"/>
    <mergeCell ref="CWT151:CWV151"/>
    <mergeCell ref="CWW151:CWY151"/>
    <mergeCell ref="CXF151:CXH151"/>
    <mergeCell ref="CXI151:CXK151"/>
    <mergeCell ref="CXL151:CXN151"/>
    <mergeCell ref="CXU151:CXW151"/>
    <mergeCell ref="CVP151:CVR151"/>
    <mergeCell ref="CVS151:CVU151"/>
    <mergeCell ref="CWB151:CWD151"/>
    <mergeCell ref="CWE151:CWG151"/>
    <mergeCell ref="CWH151:CWJ151"/>
    <mergeCell ref="CWQ151:CWS151"/>
    <mergeCell ref="CUL151:CUN151"/>
    <mergeCell ref="CUO151:CUQ151"/>
    <mergeCell ref="CUX151:CUZ151"/>
    <mergeCell ref="CVA151:CVC151"/>
    <mergeCell ref="CVD151:CVF151"/>
    <mergeCell ref="CVM151:CVO151"/>
    <mergeCell ref="CTH151:CTJ151"/>
    <mergeCell ref="CTK151:CTM151"/>
    <mergeCell ref="CTT151:CTV151"/>
    <mergeCell ref="CTW151:CTY151"/>
    <mergeCell ref="CTZ151:CUB151"/>
    <mergeCell ref="CUI151:CUK151"/>
    <mergeCell ref="CSD151:CSF151"/>
    <mergeCell ref="CSG151:CSI151"/>
    <mergeCell ref="CSP151:CSR151"/>
    <mergeCell ref="CSS151:CSU151"/>
    <mergeCell ref="CSV151:CSX151"/>
    <mergeCell ref="CTE151:CTG151"/>
    <mergeCell ref="CQZ151:CRB151"/>
    <mergeCell ref="CRC151:CRE151"/>
    <mergeCell ref="CRL151:CRN151"/>
    <mergeCell ref="CRO151:CRQ151"/>
    <mergeCell ref="CRR151:CRT151"/>
    <mergeCell ref="CSA151:CSC151"/>
    <mergeCell ref="CPV151:CPX151"/>
    <mergeCell ref="CPY151:CQA151"/>
    <mergeCell ref="CQH151:CQJ151"/>
    <mergeCell ref="CQK151:CQM151"/>
    <mergeCell ref="CQN151:CQP151"/>
    <mergeCell ref="CQW151:CQY151"/>
    <mergeCell ref="COR151:COT151"/>
    <mergeCell ref="COU151:COW151"/>
    <mergeCell ref="CPD151:CPF151"/>
    <mergeCell ref="CPG151:CPI151"/>
    <mergeCell ref="CPJ151:CPL151"/>
    <mergeCell ref="CPS151:CPU151"/>
    <mergeCell ref="CNN151:CNP151"/>
    <mergeCell ref="CNQ151:CNS151"/>
    <mergeCell ref="CNZ151:COB151"/>
    <mergeCell ref="COC151:COE151"/>
    <mergeCell ref="COF151:COH151"/>
    <mergeCell ref="COO151:COQ151"/>
    <mergeCell ref="CMJ151:CML151"/>
    <mergeCell ref="CMM151:CMO151"/>
    <mergeCell ref="CMV151:CMX151"/>
    <mergeCell ref="CMY151:CNA151"/>
    <mergeCell ref="CNB151:CND151"/>
    <mergeCell ref="CNK151:CNM151"/>
    <mergeCell ref="CLF151:CLH151"/>
    <mergeCell ref="CLI151:CLK151"/>
    <mergeCell ref="CLR151:CLT151"/>
    <mergeCell ref="CLU151:CLW151"/>
    <mergeCell ref="CLX151:CLZ151"/>
    <mergeCell ref="CMG151:CMI151"/>
    <mergeCell ref="CKB151:CKD151"/>
    <mergeCell ref="CKE151:CKG151"/>
    <mergeCell ref="CKN151:CKP151"/>
    <mergeCell ref="CKQ151:CKS151"/>
    <mergeCell ref="CKT151:CKV151"/>
    <mergeCell ref="CLC151:CLE151"/>
    <mergeCell ref="CIX151:CIZ151"/>
    <mergeCell ref="CJA151:CJC151"/>
    <mergeCell ref="CJJ151:CJL151"/>
    <mergeCell ref="CJM151:CJO151"/>
    <mergeCell ref="CJP151:CJR151"/>
    <mergeCell ref="CJY151:CKA151"/>
    <mergeCell ref="CHT151:CHV151"/>
    <mergeCell ref="CHW151:CHY151"/>
    <mergeCell ref="CIF151:CIH151"/>
    <mergeCell ref="CII151:CIK151"/>
    <mergeCell ref="CIL151:CIN151"/>
    <mergeCell ref="CIU151:CIW151"/>
    <mergeCell ref="CGP151:CGR151"/>
    <mergeCell ref="CGS151:CGU151"/>
    <mergeCell ref="CHB151:CHD151"/>
    <mergeCell ref="CHE151:CHG151"/>
    <mergeCell ref="CHH151:CHJ151"/>
    <mergeCell ref="CHQ151:CHS151"/>
    <mergeCell ref="CFL151:CFN151"/>
    <mergeCell ref="CFO151:CFQ151"/>
    <mergeCell ref="CFX151:CFZ151"/>
    <mergeCell ref="CGA151:CGC151"/>
    <mergeCell ref="CGD151:CGF151"/>
    <mergeCell ref="CGM151:CGO151"/>
    <mergeCell ref="CEH151:CEJ151"/>
    <mergeCell ref="CEK151:CEM151"/>
    <mergeCell ref="CET151:CEV151"/>
    <mergeCell ref="CEW151:CEY151"/>
    <mergeCell ref="CEZ151:CFB151"/>
    <mergeCell ref="CFI151:CFK151"/>
    <mergeCell ref="CDD151:CDF151"/>
    <mergeCell ref="CDG151:CDI151"/>
    <mergeCell ref="CDP151:CDR151"/>
    <mergeCell ref="CDS151:CDU151"/>
    <mergeCell ref="CDV151:CDX151"/>
    <mergeCell ref="CEE151:CEG151"/>
    <mergeCell ref="CBZ151:CCB151"/>
    <mergeCell ref="CCC151:CCE151"/>
    <mergeCell ref="CCL151:CCN151"/>
    <mergeCell ref="CCO151:CCQ151"/>
    <mergeCell ref="CCR151:CCT151"/>
    <mergeCell ref="CDA151:CDC151"/>
    <mergeCell ref="CAV151:CAX151"/>
    <mergeCell ref="CAY151:CBA151"/>
    <mergeCell ref="CBH151:CBJ151"/>
    <mergeCell ref="CBK151:CBM151"/>
    <mergeCell ref="CBN151:CBP151"/>
    <mergeCell ref="CBW151:CBY151"/>
    <mergeCell ref="BZR151:BZT151"/>
    <mergeCell ref="BZU151:BZW151"/>
    <mergeCell ref="CAD151:CAF151"/>
    <mergeCell ref="CAG151:CAI151"/>
    <mergeCell ref="CAJ151:CAL151"/>
    <mergeCell ref="CAS151:CAU151"/>
    <mergeCell ref="BYN151:BYP151"/>
    <mergeCell ref="BYQ151:BYS151"/>
    <mergeCell ref="BYZ151:BZB151"/>
    <mergeCell ref="BZC151:BZE151"/>
    <mergeCell ref="BZF151:BZH151"/>
    <mergeCell ref="BZO151:BZQ151"/>
    <mergeCell ref="BXJ151:BXL151"/>
    <mergeCell ref="BXM151:BXO151"/>
    <mergeCell ref="BXV151:BXX151"/>
    <mergeCell ref="BXY151:BYA151"/>
    <mergeCell ref="BYB151:BYD151"/>
    <mergeCell ref="BYK151:BYM151"/>
    <mergeCell ref="BWF151:BWH151"/>
    <mergeCell ref="BWI151:BWK151"/>
    <mergeCell ref="BWR151:BWT151"/>
    <mergeCell ref="BWU151:BWW151"/>
    <mergeCell ref="BWX151:BWZ151"/>
    <mergeCell ref="BXG151:BXI151"/>
    <mergeCell ref="BVB151:BVD151"/>
    <mergeCell ref="BVE151:BVG151"/>
    <mergeCell ref="BVN151:BVP151"/>
    <mergeCell ref="BVQ151:BVS151"/>
    <mergeCell ref="BVT151:BVV151"/>
    <mergeCell ref="BWC151:BWE151"/>
    <mergeCell ref="BTX151:BTZ151"/>
    <mergeCell ref="BUA151:BUC151"/>
    <mergeCell ref="BUJ151:BUL151"/>
    <mergeCell ref="BUM151:BUO151"/>
    <mergeCell ref="BUP151:BUR151"/>
    <mergeCell ref="BUY151:BVA151"/>
    <mergeCell ref="BST151:BSV151"/>
    <mergeCell ref="BSW151:BSY151"/>
    <mergeCell ref="BTF151:BTH151"/>
    <mergeCell ref="BTI151:BTK151"/>
    <mergeCell ref="BTL151:BTN151"/>
    <mergeCell ref="BTU151:BTW151"/>
    <mergeCell ref="BRP151:BRR151"/>
    <mergeCell ref="BRS151:BRU151"/>
    <mergeCell ref="BSB151:BSD151"/>
    <mergeCell ref="BSE151:BSG151"/>
    <mergeCell ref="BSH151:BSJ151"/>
    <mergeCell ref="BSQ151:BSS151"/>
    <mergeCell ref="BQL151:BQN151"/>
    <mergeCell ref="BQO151:BQQ151"/>
    <mergeCell ref="BQX151:BQZ151"/>
    <mergeCell ref="BRA151:BRC151"/>
    <mergeCell ref="BRD151:BRF151"/>
    <mergeCell ref="BRM151:BRO151"/>
    <mergeCell ref="BPH151:BPJ151"/>
    <mergeCell ref="BPK151:BPM151"/>
    <mergeCell ref="BPT151:BPV151"/>
    <mergeCell ref="BPW151:BPY151"/>
    <mergeCell ref="BPZ151:BQB151"/>
    <mergeCell ref="BQI151:BQK151"/>
    <mergeCell ref="BOD151:BOF151"/>
    <mergeCell ref="BOG151:BOI151"/>
    <mergeCell ref="BOP151:BOR151"/>
    <mergeCell ref="BOS151:BOU151"/>
    <mergeCell ref="BOV151:BOX151"/>
    <mergeCell ref="BPE151:BPG151"/>
    <mergeCell ref="BMZ151:BNB151"/>
    <mergeCell ref="BNC151:BNE151"/>
    <mergeCell ref="BNL151:BNN151"/>
    <mergeCell ref="BNO151:BNQ151"/>
    <mergeCell ref="BNR151:BNT151"/>
    <mergeCell ref="BOA151:BOC151"/>
    <mergeCell ref="BLV151:BLX151"/>
    <mergeCell ref="BLY151:BMA151"/>
    <mergeCell ref="BMH151:BMJ151"/>
    <mergeCell ref="BMK151:BMM151"/>
    <mergeCell ref="BMN151:BMP151"/>
    <mergeCell ref="BMW151:BMY151"/>
    <mergeCell ref="BKR151:BKT151"/>
    <mergeCell ref="BKU151:BKW151"/>
    <mergeCell ref="BLD151:BLF151"/>
    <mergeCell ref="BLG151:BLI151"/>
    <mergeCell ref="BLJ151:BLL151"/>
    <mergeCell ref="BLS151:BLU151"/>
    <mergeCell ref="BJN151:BJP151"/>
    <mergeCell ref="BJQ151:BJS151"/>
    <mergeCell ref="BJZ151:BKB151"/>
    <mergeCell ref="BKC151:BKE151"/>
    <mergeCell ref="BKF151:BKH151"/>
    <mergeCell ref="BKO151:BKQ151"/>
    <mergeCell ref="BIJ151:BIL151"/>
    <mergeCell ref="BIM151:BIO151"/>
    <mergeCell ref="BIV151:BIX151"/>
    <mergeCell ref="BIY151:BJA151"/>
    <mergeCell ref="BJB151:BJD151"/>
    <mergeCell ref="BJK151:BJM151"/>
    <mergeCell ref="BHF151:BHH151"/>
    <mergeCell ref="BHI151:BHK151"/>
    <mergeCell ref="BHR151:BHT151"/>
    <mergeCell ref="BHU151:BHW151"/>
    <mergeCell ref="BHX151:BHZ151"/>
    <mergeCell ref="BIG151:BII151"/>
    <mergeCell ref="BGB151:BGD151"/>
    <mergeCell ref="BGE151:BGG151"/>
    <mergeCell ref="BGN151:BGP151"/>
    <mergeCell ref="BGQ151:BGS151"/>
    <mergeCell ref="BGT151:BGV151"/>
    <mergeCell ref="BHC151:BHE151"/>
    <mergeCell ref="BEX151:BEZ151"/>
    <mergeCell ref="BFA151:BFC151"/>
    <mergeCell ref="BFJ151:BFL151"/>
    <mergeCell ref="BFM151:BFO151"/>
    <mergeCell ref="BFP151:BFR151"/>
    <mergeCell ref="BFY151:BGA151"/>
    <mergeCell ref="BDT151:BDV151"/>
    <mergeCell ref="BDW151:BDY151"/>
    <mergeCell ref="BEF151:BEH151"/>
    <mergeCell ref="BEI151:BEK151"/>
    <mergeCell ref="BEL151:BEN151"/>
    <mergeCell ref="BEU151:BEW151"/>
    <mergeCell ref="BCP151:BCR151"/>
    <mergeCell ref="BCS151:BCU151"/>
    <mergeCell ref="BDB151:BDD151"/>
    <mergeCell ref="BDE151:BDG151"/>
    <mergeCell ref="BDH151:BDJ151"/>
    <mergeCell ref="BDQ151:BDS151"/>
    <mergeCell ref="BBL151:BBN151"/>
    <mergeCell ref="BBO151:BBQ151"/>
    <mergeCell ref="BBX151:BBZ151"/>
    <mergeCell ref="BCA151:BCC151"/>
    <mergeCell ref="BCD151:BCF151"/>
    <mergeCell ref="BCM151:BCO151"/>
    <mergeCell ref="BAH151:BAJ151"/>
    <mergeCell ref="BAK151:BAM151"/>
    <mergeCell ref="BAT151:BAV151"/>
    <mergeCell ref="BAW151:BAY151"/>
    <mergeCell ref="BAZ151:BBB151"/>
    <mergeCell ref="BBI151:BBK151"/>
    <mergeCell ref="AZD151:AZF151"/>
    <mergeCell ref="AZG151:AZI151"/>
    <mergeCell ref="AZP151:AZR151"/>
    <mergeCell ref="AZS151:AZU151"/>
    <mergeCell ref="AZV151:AZX151"/>
    <mergeCell ref="BAE151:BAG151"/>
    <mergeCell ref="AXZ151:AYB151"/>
    <mergeCell ref="AYC151:AYE151"/>
    <mergeCell ref="AYL151:AYN151"/>
    <mergeCell ref="AYO151:AYQ151"/>
    <mergeCell ref="AYR151:AYT151"/>
    <mergeCell ref="AZA151:AZC151"/>
    <mergeCell ref="AWV151:AWX151"/>
    <mergeCell ref="AWY151:AXA151"/>
    <mergeCell ref="AXH151:AXJ151"/>
    <mergeCell ref="AXK151:AXM151"/>
    <mergeCell ref="AXN151:AXP151"/>
    <mergeCell ref="AXW151:AXY151"/>
    <mergeCell ref="AVR151:AVT151"/>
    <mergeCell ref="AVU151:AVW151"/>
    <mergeCell ref="AWD151:AWF151"/>
    <mergeCell ref="AWG151:AWI151"/>
    <mergeCell ref="AWJ151:AWL151"/>
    <mergeCell ref="AWS151:AWU151"/>
    <mergeCell ref="AUN151:AUP151"/>
    <mergeCell ref="AUQ151:AUS151"/>
    <mergeCell ref="AUZ151:AVB151"/>
    <mergeCell ref="AVC151:AVE151"/>
    <mergeCell ref="AVF151:AVH151"/>
    <mergeCell ref="AVO151:AVQ151"/>
    <mergeCell ref="ATJ151:ATL151"/>
    <mergeCell ref="ATM151:ATO151"/>
    <mergeCell ref="ATV151:ATX151"/>
    <mergeCell ref="ATY151:AUA151"/>
    <mergeCell ref="AUB151:AUD151"/>
    <mergeCell ref="AUK151:AUM151"/>
    <mergeCell ref="ASF151:ASH151"/>
    <mergeCell ref="ASI151:ASK151"/>
    <mergeCell ref="ASR151:AST151"/>
    <mergeCell ref="ASU151:ASW151"/>
    <mergeCell ref="ASX151:ASZ151"/>
    <mergeCell ref="ATG151:ATI151"/>
    <mergeCell ref="ARB151:ARD151"/>
    <mergeCell ref="ARE151:ARG151"/>
    <mergeCell ref="ARN151:ARP151"/>
    <mergeCell ref="ARQ151:ARS151"/>
    <mergeCell ref="ART151:ARV151"/>
    <mergeCell ref="ASC151:ASE151"/>
    <mergeCell ref="APX151:APZ151"/>
    <mergeCell ref="AQA151:AQC151"/>
    <mergeCell ref="AQJ151:AQL151"/>
    <mergeCell ref="AQM151:AQO151"/>
    <mergeCell ref="AQP151:AQR151"/>
    <mergeCell ref="AQY151:ARA151"/>
    <mergeCell ref="AOT151:AOV151"/>
    <mergeCell ref="AOW151:AOY151"/>
    <mergeCell ref="APF151:APH151"/>
    <mergeCell ref="API151:APK151"/>
    <mergeCell ref="APL151:APN151"/>
    <mergeCell ref="APU151:APW151"/>
    <mergeCell ref="ANP151:ANR151"/>
    <mergeCell ref="ANS151:ANU151"/>
    <mergeCell ref="AOB151:AOD151"/>
    <mergeCell ref="AOE151:AOG151"/>
    <mergeCell ref="AOH151:AOJ151"/>
    <mergeCell ref="AOQ151:AOS151"/>
    <mergeCell ref="AML151:AMN151"/>
    <mergeCell ref="AMO151:AMQ151"/>
    <mergeCell ref="AMX151:AMZ151"/>
    <mergeCell ref="ANA151:ANC151"/>
    <mergeCell ref="AND151:ANF151"/>
    <mergeCell ref="ANM151:ANO151"/>
    <mergeCell ref="ALH151:ALJ151"/>
    <mergeCell ref="ALK151:ALM151"/>
    <mergeCell ref="ALT151:ALV151"/>
    <mergeCell ref="ALW151:ALY151"/>
    <mergeCell ref="ALZ151:AMB151"/>
    <mergeCell ref="AMI151:AMK151"/>
    <mergeCell ref="AKD151:AKF151"/>
    <mergeCell ref="AKG151:AKI151"/>
    <mergeCell ref="AKP151:AKR151"/>
    <mergeCell ref="AKS151:AKU151"/>
    <mergeCell ref="AKV151:AKX151"/>
    <mergeCell ref="ALE151:ALG151"/>
    <mergeCell ref="AIZ151:AJB151"/>
    <mergeCell ref="AJC151:AJE151"/>
    <mergeCell ref="AJL151:AJN151"/>
    <mergeCell ref="AJO151:AJQ151"/>
    <mergeCell ref="AJR151:AJT151"/>
    <mergeCell ref="AKA151:AKC151"/>
    <mergeCell ref="AHV151:AHX151"/>
    <mergeCell ref="AHY151:AIA151"/>
    <mergeCell ref="AIH151:AIJ151"/>
    <mergeCell ref="AIK151:AIM151"/>
    <mergeCell ref="AIN151:AIP151"/>
    <mergeCell ref="AIW151:AIY151"/>
    <mergeCell ref="AGR151:AGT151"/>
    <mergeCell ref="AGU151:AGW151"/>
    <mergeCell ref="AHD151:AHF151"/>
    <mergeCell ref="AHG151:AHI151"/>
    <mergeCell ref="AHJ151:AHL151"/>
    <mergeCell ref="AHS151:AHU151"/>
    <mergeCell ref="AFN151:AFP151"/>
    <mergeCell ref="AFQ151:AFS151"/>
    <mergeCell ref="AFZ151:AGB151"/>
    <mergeCell ref="AGC151:AGE151"/>
    <mergeCell ref="AGF151:AGH151"/>
    <mergeCell ref="AGO151:AGQ151"/>
    <mergeCell ref="AEJ151:AEL151"/>
    <mergeCell ref="AEM151:AEO151"/>
    <mergeCell ref="AEV151:AEX151"/>
    <mergeCell ref="AEY151:AFA151"/>
    <mergeCell ref="AFB151:AFD151"/>
    <mergeCell ref="AFK151:AFM151"/>
    <mergeCell ref="ADF151:ADH151"/>
    <mergeCell ref="ADI151:ADK151"/>
    <mergeCell ref="ADR151:ADT151"/>
    <mergeCell ref="ADU151:ADW151"/>
    <mergeCell ref="ADX151:ADZ151"/>
    <mergeCell ref="AEG151:AEI151"/>
    <mergeCell ref="ACB151:ACD151"/>
    <mergeCell ref="ACE151:ACG151"/>
    <mergeCell ref="ACN151:ACP151"/>
    <mergeCell ref="ACQ151:ACS151"/>
    <mergeCell ref="ACT151:ACV151"/>
    <mergeCell ref="ADC151:ADE151"/>
    <mergeCell ref="AAX151:AAZ151"/>
    <mergeCell ref="ABA151:ABC151"/>
    <mergeCell ref="ABJ151:ABL151"/>
    <mergeCell ref="ABM151:ABO151"/>
    <mergeCell ref="ABP151:ABR151"/>
    <mergeCell ref="ABY151:ACA151"/>
    <mergeCell ref="ZT151:ZV151"/>
    <mergeCell ref="ZW151:ZY151"/>
    <mergeCell ref="AAF151:AAH151"/>
    <mergeCell ref="AAI151:AAK151"/>
    <mergeCell ref="AAL151:AAN151"/>
    <mergeCell ref="AAU151:AAW151"/>
    <mergeCell ref="YP151:YR151"/>
    <mergeCell ref="YS151:YU151"/>
    <mergeCell ref="ZB151:ZD151"/>
    <mergeCell ref="ZE151:ZG151"/>
    <mergeCell ref="ZH151:ZJ151"/>
    <mergeCell ref="ZQ151:ZS151"/>
    <mergeCell ref="XL151:XN151"/>
    <mergeCell ref="XO151:XQ151"/>
    <mergeCell ref="XX151:XZ151"/>
    <mergeCell ref="YA151:YC151"/>
    <mergeCell ref="YD151:YF151"/>
    <mergeCell ref="YM151:YO151"/>
    <mergeCell ref="WH151:WJ151"/>
    <mergeCell ref="WK151:WM151"/>
    <mergeCell ref="WT151:WV151"/>
    <mergeCell ref="WW151:WY151"/>
    <mergeCell ref="WZ151:XB151"/>
    <mergeCell ref="XI151:XK151"/>
    <mergeCell ref="VD151:VF151"/>
    <mergeCell ref="VG151:VI151"/>
    <mergeCell ref="VP151:VR151"/>
    <mergeCell ref="VS151:VU151"/>
    <mergeCell ref="VV151:VX151"/>
    <mergeCell ref="WE151:WG151"/>
    <mergeCell ref="TZ151:UB151"/>
    <mergeCell ref="UC151:UE151"/>
    <mergeCell ref="UL151:UN151"/>
    <mergeCell ref="UO151:UQ151"/>
    <mergeCell ref="UR151:UT151"/>
    <mergeCell ref="VA151:VC151"/>
    <mergeCell ref="SV151:SX151"/>
    <mergeCell ref="SY151:TA151"/>
    <mergeCell ref="TH151:TJ151"/>
    <mergeCell ref="TK151:TM151"/>
    <mergeCell ref="TN151:TP151"/>
    <mergeCell ref="TW151:TY151"/>
    <mergeCell ref="RR151:RT151"/>
    <mergeCell ref="RU151:RW151"/>
    <mergeCell ref="SD151:SF151"/>
    <mergeCell ref="SG151:SI151"/>
    <mergeCell ref="SJ151:SL151"/>
    <mergeCell ref="SS151:SU151"/>
    <mergeCell ref="QN151:QP151"/>
    <mergeCell ref="QQ151:QS151"/>
    <mergeCell ref="QZ151:RB151"/>
    <mergeCell ref="RC151:RE151"/>
    <mergeCell ref="RF151:RH151"/>
    <mergeCell ref="RO151:RQ151"/>
    <mergeCell ref="PJ151:PL151"/>
    <mergeCell ref="PM151:PO151"/>
    <mergeCell ref="PV151:PX151"/>
    <mergeCell ref="PY151:QA151"/>
    <mergeCell ref="QB151:QD151"/>
    <mergeCell ref="QK151:QM151"/>
    <mergeCell ref="OF151:OH151"/>
    <mergeCell ref="OI151:OK151"/>
    <mergeCell ref="OR151:OT151"/>
    <mergeCell ref="OU151:OW151"/>
    <mergeCell ref="OX151:OZ151"/>
    <mergeCell ref="PG151:PI151"/>
    <mergeCell ref="NB151:ND151"/>
    <mergeCell ref="NE151:NG151"/>
    <mergeCell ref="NN151:NP151"/>
    <mergeCell ref="NQ151:NS151"/>
    <mergeCell ref="NT151:NV151"/>
    <mergeCell ref="OC151:OE151"/>
    <mergeCell ref="C150:E150"/>
    <mergeCell ref="F150:H150"/>
    <mergeCell ref="I150:K150"/>
    <mergeCell ref="C151:E151"/>
    <mergeCell ref="F151:H151"/>
    <mergeCell ref="I151:K151"/>
    <mergeCell ref="C148:E148"/>
    <mergeCell ref="F148:H148"/>
    <mergeCell ref="I148:K148"/>
    <mergeCell ref="C149:E149"/>
    <mergeCell ref="F149:H149"/>
    <mergeCell ref="I149:K149"/>
    <mergeCell ref="C146:E146"/>
    <mergeCell ref="F146:H146"/>
    <mergeCell ref="I146:K146"/>
    <mergeCell ref="C147:E147"/>
    <mergeCell ref="F147:H147"/>
    <mergeCell ref="I147:K147"/>
    <mergeCell ref="C144:E144"/>
    <mergeCell ref="F144:H144"/>
    <mergeCell ref="I144:K144"/>
    <mergeCell ref="C145:E145"/>
    <mergeCell ref="F145:H145"/>
    <mergeCell ref="I145:K145"/>
    <mergeCell ref="C142:E142"/>
    <mergeCell ref="F142:H142"/>
    <mergeCell ref="I142:K142"/>
    <mergeCell ref="C143:E143"/>
    <mergeCell ref="F143:H143"/>
    <mergeCell ref="I143:K143"/>
    <mergeCell ref="C140:E140"/>
    <mergeCell ref="F140:H140"/>
    <mergeCell ref="I140:K140"/>
    <mergeCell ref="C141:E141"/>
    <mergeCell ref="F141:H141"/>
    <mergeCell ref="I141:K141"/>
    <mergeCell ref="C138:E138"/>
    <mergeCell ref="F138:H138"/>
    <mergeCell ref="I138:K138"/>
    <mergeCell ref="C139:E139"/>
    <mergeCell ref="F139:H139"/>
    <mergeCell ref="I139:K139"/>
    <mergeCell ref="C136:E136"/>
    <mergeCell ref="F136:H136"/>
    <mergeCell ref="I136:K136"/>
    <mergeCell ref="C137:E137"/>
    <mergeCell ref="F137:H137"/>
    <mergeCell ref="I137:K137"/>
    <mergeCell ref="C134:E134"/>
    <mergeCell ref="F134:H134"/>
    <mergeCell ref="I134:K134"/>
    <mergeCell ref="C135:E135"/>
    <mergeCell ref="F135:H135"/>
    <mergeCell ref="I135:K135"/>
    <mergeCell ref="C132:E132"/>
    <mergeCell ref="F132:H132"/>
    <mergeCell ref="I132:K132"/>
    <mergeCell ref="C133:E133"/>
    <mergeCell ref="F133:H133"/>
    <mergeCell ref="I133:K133"/>
    <mergeCell ref="C130:E130"/>
    <mergeCell ref="F130:H130"/>
    <mergeCell ref="I130:K130"/>
    <mergeCell ref="C131:E131"/>
    <mergeCell ref="F131:H131"/>
    <mergeCell ref="I131:K131"/>
    <mergeCell ref="C128:E128"/>
    <mergeCell ref="F128:H128"/>
    <mergeCell ref="I128:K128"/>
    <mergeCell ref="C129:E129"/>
    <mergeCell ref="F129:H129"/>
    <mergeCell ref="I129:K129"/>
    <mergeCell ref="C126:E126"/>
    <mergeCell ref="F126:H126"/>
    <mergeCell ref="I126:K126"/>
    <mergeCell ref="C127:E127"/>
    <mergeCell ref="F127:H127"/>
    <mergeCell ref="I127:K127"/>
    <mergeCell ref="C124:E124"/>
    <mergeCell ref="F124:H124"/>
    <mergeCell ref="I124:K124"/>
    <mergeCell ref="C125:E125"/>
    <mergeCell ref="F125:H125"/>
    <mergeCell ref="I125:K125"/>
    <mergeCell ref="C122:E122"/>
    <mergeCell ref="F122:H122"/>
    <mergeCell ref="I122:K122"/>
    <mergeCell ref="C123:E123"/>
    <mergeCell ref="F123:H123"/>
    <mergeCell ref="I123:K123"/>
    <mergeCell ref="C120:E120"/>
    <mergeCell ref="F120:H120"/>
    <mergeCell ref="I120:K120"/>
    <mergeCell ref="C121:E121"/>
    <mergeCell ref="F121:H121"/>
    <mergeCell ref="I121:K121"/>
    <mergeCell ref="C118:E118"/>
    <mergeCell ref="F118:H118"/>
    <mergeCell ref="I118:K118"/>
    <mergeCell ref="C119:E119"/>
    <mergeCell ref="F119:H119"/>
    <mergeCell ref="I119:K119"/>
    <mergeCell ref="C116:E116"/>
    <mergeCell ref="F116:H116"/>
    <mergeCell ref="I116:K116"/>
    <mergeCell ref="C117:E117"/>
    <mergeCell ref="F117:H117"/>
    <mergeCell ref="I117:K117"/>
    <mergeCell ref="C114:E114"/>
    <mergeCell ref="F114:H114"/>
    <mergeCell ref="I114:K114"/>
    <mergeCell ref="C115:E115"/>
    <mergeCell ref="F115:H115"/>
    <mergeCell ref="I115:K115"/>
    <mergeCell ref="C112:E112"/>
    <mergeCell ref="F112:H112"/>
    <mergeCell ref="I112:K112"/>
    <mergeCell ref="C113:E113"/>
    <mergeCell ref="F113:H113"/>
    <mergeCell ref="I113:K113"/>
    <mergeCell ref="C110:E110"/>
    <mergeCell ref="F110:H110"/>
    <mergeCell ref="I110:K110"/>
    <mergeCell ref="C111:E111"/>
    <mergeCell ref="F111:H111"/>
    <mergeCell ref="I111:K111"/>
    <mergeCell ref="C108:E108"/>
    <mergeCell ref="F108:H108"/>
    <mergeCell ref="I108:K108"/>
    <mergeCell ref="C109:E109"/>
    <mergeCell ref="F109:H109"/>
    <mergeCell ref="I109:K109"/>
    <mergeCell ref="C106:E106"/>
    <mergeCell ref="F106:H106"/>
    <mergeCell ref="I106:K106"/>
    <mergeCell ref="C107:E107"/>
    <mergeCell ref="F107:H107"/>
    <mergeCell ref="I107:K107"/>
    <mergeCell ref="C104:E104"/>
    <mergeCell ref="F104:H104"/>
    <mergeCell ref="I104:K104"/>
    <mergeCell ref="C105:E105"/>
    <mergeCell ref="F105:H105"/>
    <mergeCell ref="I105:K105"/>
    <mergeCell ref="C102:E102"/>
    <mergeCell ref="F102:H102"/>
    <mergeCell ref="I102:K102"/>
    <mergeCell ref="C103:E103"/>
    <mergeCell ref="F103:H103"/>
    <mergeCell ref="I103:K103"/>
    <mergeCell ref="C100:E100"/>
    <mergeCell ref="F100:H100"/>
    <mergeCell ref="I100:K100"/>
    <mergeCell ref="C101:E101"/>
    <mergeCell ref="F101:H101"/>
    <mergeCell ref="I101:K101"/>
    <mergeCell ref="C98:E98"/>
    <mergeCell ref="F98:H98"/>
    <mergeCell ref="I98:K98"/>
    <mergeCell ref="C99:E99"/>
    <mergeCell ref="F99:H99"/>
    <mergeCell ref="I99:K99"/>
    <mergeCell ref="C96:E96"/>
    <mergeCell ref="F96:H96"/>
    <mergeCell ref="I96:K96"/>
    <mergeCell ref="C97:E97"/>
    <mergeCell ref="F97:H97"/>
    <mergeCell ref="I97:K97"/>
    <mergeCell ref="C94:E94"/>
    <mergeCell ref="F94:H94"/>
    <mergeCell ref="I94:K94"/>
    <mergeCell ref="C95:E95"/>
    <mergeCell ref="F95:H95"/>
    <mergeCell ref="I95:K95"/>
    <mergeCell ref="C92:E92"/>
    <mergeCell ref="F92:H92"/>
    <mergeCell ref="I92:K92"/>
    <mergeCell ref="C93:E93"/>
    <mergeCell ref="F93:H93"/>
    <mergeCell ref="I93:K93"/>
    <mergeCell ref="C90:E90"/>
    <mergeCell ref="F90:H90"/>
    <mergeCell ref="I90:K90"/>
    <mergeCell ref="C91:E91"/>
    <mergeCell ref="F91:H91"/>
    <mergeCell ref="I91:K91"/>
    <mergeCell ref="C88:E88"/>
    <mergeCell ref="F88:H88"/>
    <mergeCell ref="I88:K88"/>
    <mergeCell ref="C89:E89"/>
    <mergeCell ref="F89:H89"/>
    <mergeCell ref="I89:K89"/>
    <mergeCell ref="C86:E86"/>
    <mergeCell ref="F86:H86"/>
    <mergeCell ref="I86:K86"/>
    <mergeCell ref="C87:E87"/>
    <mergeCell ref="F87:H87"/>
    <mergeCell ref="I87:K87"/>
    <mergeCell ref="C84:E84"/>
    <mergeCell ref="F84:H84"/>
    <mergeCell ref="I84:K84"/>
    <mergeCell ref="C85:E85"/>
    <mergeCell ref="F85:H85"/>
    <mergeCell ref="I85:K85"/>
    <mergeCell ref="C82:E82"/>
    <mergeCell ref="F82:H82"/>
    <mergeCell ref="I82:K82"/>
    <mergeCell ref="C83:E83"/>
    <mergeCell ref="F83:H83"/>
    <mergeCell ref="I83:K83"/>
    <mergeCell ref="C80:E80"/>
    <mergeCell ref="F80:H80"/>
    <mergeCell ref="I80:K80"/>
    <mergeCell ref="C81:E81"/>
    <mergeCell ref="F81:H81"/>
    <mergeCell ref="I81:K81"/>
    <mergeCell ref="C78:E78"/>
    <mergeCell ref="F78:H78"/>
    <mergeCell ref="I78:K78"/>
    <mergeCell ref="C79:E79"/>
    <mergeCell ref="F79:H79"/>
    <mergeCell ref="I79:K79"/>
    <mergeCell ref="C76:E76"/>
    <mergeCell ref="F76:H76"/>
    <mergeCell ref="I76:K76"/>
    <mergeCell ref="C77:E77"/>
    <mergeCell ref="F77:H77"/>
    <mergeCell ref="I77:K77"/>
    <mergeCell ref="C74:E74"/>
    <mergeCell ref="F74:H74"/>
    <mergeCell ref="I74:K74"/>
    <mergeCell ref="C75:E75"/>
    <mergeCell ref="F75:H75"/>
    <mergeCell ref="I75:K75"/>
    <mergeCell ref="C72:E72"/>
    <mergeCell ref="F72:H72"/>
    <mergeCell ref="I72:K72"/>
    <mergeCell ref="C73:E73"/>
    <mergeCell ref="F73:H73"/>
    <mergeCell ref="I73:K73"/>
    <mergeCell ref="C70:E70"/>
    <mergeCell ref="F70:H70"/>
    <mergeCell ref="I70:K70"/>
    <mergeCell ref="C71:E71"/>
    <mergeCell ref="F71:H71"/>
    <mergeCell ref="I71:K71"/>
    <mergeCell ref="C68:E68"/>
    <mergeCell ref="F68:H68"/>
    <mergeCell ref="I68:K68"/>
    <mergeCell ref="C69:E69"/>
    <mergeCell ref="F69:H69"/>
    <mergeCell ref="I69:K69"/>
    <mergeCell ref="C66:E66"/>
    <mergeCell ref="F66:H66"/>
    <mergeCell ref="I66:K66"/>
    <mergeCell ref="C67:E67"/>
    <mergeCell ref="F67:H67"/>
    <mergeCell ref="I67:K67"/>
    <mergeCell ref="C64:E64"/>
    <mergeCell ref="F64:H64"/>
    <mergeCell ref="I64:K64"/>
    <mergeCell ref="C65:E65"/>
    <mergeCell ref="F65:H65"/>
    <mergeCell ref="I65:K65"/>
    <mergeCell ref="C62:E62"/>
    <mergeCell ref="F62:H62"/>
    <mergeCell ref="I62:K62"/>
    <mergeCell ref="C63:E63"/>
    <mergeCell ref="F63:H63"/>
    <mergeCell ref="I63:K63"/>
    <mergeCell ref="C60:E60"/>
    <mergeCell ref="F60:H60"/>
    <mergeCell ref="I60:K60"/>
    <mergeCell ref="C61:E61"/>
    <mergeCell ref="F61:H61"/>
    <mergeCell ref="I61:K61"/>
    <mergeCell ref="C58:E58"/>
    <mergeCell ref="F58:H58"/>
    <mergeCell ref="I58:K58"/>
    <mergeCell ref="C59:E59"/>
    <mergeCell ref="F59:H59"/>
    <mergeCell ref="I59:K59"/>
    <mergeCell ref="C56:E56"/>
    <mergeCell ref="F56:H56"/>
    <mergeCell ref="I56:K56"/>
    <mergeCell ref="C57:E57"/>
    <mergeCell ref="F57:H57"/>
    <mergeCell ref="I57:K57"/>
    <mergeCell ref="C54:E54"/>
    <mergeCell ref="F54:H54"/>
    <mergeCell ref="I54:K54"/>
    <mergeCell ref="C55:E55"/>
    <mergeCell ref="F55:H55"/>
    <mergeCell ref="I55:K55"/>
    <mergeCell ref="C52:E52"/>
    <mergeCell ref="F52:H52"/>
    <mergeCell ref="I52:K52"/>
    <mergeCell ref="C53:E53"/>
    <mergeCell ref="F53:H53"/>
    <mergeCell ref="I53:K53"/>
    <mergeCell ref="C50:E50"/>
    <mergeCell ref="F50:H50"/>
    <mergeCell ref="I50:K50"/>
    <mergeCell ref="C51:E51"/>
    <mergeCell ref="F51:H51"/>
    <mergeCell ref="I51:K51"/>
    <mergeCell ref="C48:E48"/>
    <mergeCell ref="F48:H48"/>
    <mergeCell ref="I48:K48"/>
    <mergeCell ref="C49:E49"/>
    <mergeCell ref="F49:H49"/>
    <mergeCell ref="I49:K49"/>
    <mergeCell ref="C46:E46"/>
    <mergeCell ref="F46:H46"/>
    <mergeCell ref="I46:K46"/>
    <mergeCell ref="C47:E47"/>
    <mergeCell ref="F47:H47"/>
    <mergeCell ref="I47:K47"/>
    <mergeCell ref="C44:E44"/>
    <mergeCell ref="F44:H44"/>
    <mergeCell ref="I44:K44"/>
    <mergeCell ref="C45:E45"/>
    <mergeCell ref="F45:H45"/>
    <mergeCell ref="I45:K45"/>
    <mergeCell ref="C42:E42"/>
    <mergeCell ref="F42:H42"/>
    <mergeCell ref="I42:K42"/>
    <mergeCell ref="C43:E43"/>
    <mergeCell ref="F43:H43"/>
    <mergeCell ref="I43:K43"/>
    <mergeCell ref="C40:E40"/>
    <mergeCell ref="F40:H40"/>
    <mergeCell ref="I40:K40"/>
    <mergeCell ref="C41:E41"/>
    <mergeCell ref="F41:H41"/>
    <mergeCell ref="I41:K41"/>
    <mergeCell ref="C38:E38"/>
    <mergeCell ref="F38:H38"/>
    <mergeCell ref="I38:K38"/>
    <mergeCell ref="C39:E39"/>
    <mergeCell ref="F39:H39"/>
    <mergeCell ref="I39:K39"/>
    <mergeCell ref="C36:E36"/>
    <mergeCell ref="F36:H36"/>
    <mergeCell ref="I36:K36"/>
    <mergeCell ref="C37:E37"/>
    <mergeCell ref="F37:H37"/>
    <mergeCell ref="I37:K37"/>
    <mergeCell ref="C34:E34"/>
    <mergeCell ref="F34:H34"/>
    <mergeCell ref="I34:K34"/>
    <mergeCell ref="C35:E35"/>
    <mergeCell ref="F35:H35"/>
    <mergeCell ref="I35:K35"/>
    <mergeCell ref="C33:E33"/>
    <mergeCell ref="F33:H33"/>
    <mergeCell ref="I33:K33"/>
    <mergeCell ref="C30:E30"/>
    <mergeCell ref="F30:H30"/>
    <mergeCell ref="I30:K30"/>
    <mergeCell ref="C31:E31"/>
    <mergeCell ref="F31:H31"/>
    <mergeCell ref="I31:K31"/>
    <mergeCell ref="C28:E28"/>
    <mergeCell ref="F28:H28"/>
    <mergeCell ref="I28:K28"/>
    <mergeCell ref="C29:E29"/>
    <mergeCell ref="F29:H29"/>
    <mergeCell ref="I29:K29"/>
    <mergeCell ref="C26:E26"/>
    <mergeCell ref="F26:H26"/>
    <mergeCell ref="I26:K26"/>
    <mergeCell ref="C27:E27"/>
    <mergeCell ref="F27:H27"/>
    <mergeCell ref="I27:K27"/>
    <mergeCell ref="C24:E24"/>
    <mergeCell ref="F24:H24"/>
    <mergeCell ref="I24:K24"/>
    <mergeCell ref="C25:E25"/>
    <mergeCell ref="F25:H25"/>
    <mergeCell ref="I25:K25"/>
    <mergeCell ref="C22:E22"/>
    <mergeCell ref="F22:H22"/>
    <mergeCell ref="I22:K22"/>
    <mergeCell ref="C23:E23"/>
    <mergeCell ref="F23:H23"/>
    <mergeCell ref="I23:K23"/>
    <mergeCell ref="C20:E20"/>
    <mergeCell ref="F20:H20"/>
    <mergeCell ref="I20:K20"/>
    <mergeCell ref="C21:E21"/>
    <mergeCell ref="F21:H21"/>
    <mergeCell ref="I21:K21"/>
    <mergeCell ref="C18:E18"/>
    <mergeCell ref="F18:H18"/>
    <mergeCell ref="I18:K18"/>
    <mergeCell ref="C19:E19"/>
    <mergeCell ref="F19:H19"/>
    <mergeCell ref="I19:K19"/>
    <mergeCell ref="C16:E16"/>
    <mergeCell ref="F16:H16"/>
    <mergeCell ref="I16:K16"/>
    <mergeCell ref="C17:E17"/>
    <mergeCell ref="F17:H17"/>
    <mergeCell ref="I17:K17"/>
    <mergeCell ref="C14:E14"/>
    <mergeCell ref="F14:H14"/>
    <mergeCell ref="I14:K14"/>
    <mergeCell ref="C15:E15"/>
    <mergeCell ref="F15:H15"/>
    <mergeCell ref="I15:K15"/>
    <mergeCell ref="B7:I7"/>
    <mergeCell ref="B8:I8"/>
    <mergeCell ref="B9:I9"/>
    <mergeCell ref="B10:I10"/>
    <mergeCell ref="B11:I11"/>
    <mergeCell ref="B12:I12"/>
    <mergeCell ref="C32:E32"/>
    <mergeCell ref="F32:H32"/>
    <mergeCell ref="I32:K32"/>
  </mergeCells>
  <dataValidations count="2">
    <dataValidation type="list" allowBlank="1" showInputMessage="1" showErrorMessage="1" promptTitle="Patio" prompt="Seleccione el tipo de patio que usará en el CEO" sqref="B6" xr:uid="{9E2E4EFF-4145-4759-8E22-A72B1E29B089}">
      <formula1>Pepa2</formula1>
    </dataValidation>
    <dataValidation type="date" operator="greaterThan" allowBlank="1" showInputMessage="1" showErrorMessage="1" sqref="B5" xr:uid="{5C330771-3C3C-41F8-A57C-4F40B70D09D6}">
      <formula1>43831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CD20-7C71-49ED-AD0B-89F96EB65B4F}">
  <dimension ref="A2:O106"/>
  <sheetViews>
    <sheetView topLeftCell="A89" workbookViewId="0">
      <selection activeCell="B103" sqref="B103"/>
    </sheetView>
  </sheetViews>
  <sheetFormatPr defaultColWidth="11.42578125" defaultRowHeight="14.45"/>
  <cols>
    <col min="1" max="1" width="4" bestFit="1" customWidth="1"/>
    <col min="2" max="2" width="27" bestFit="1" customWidth="1"/>
    <col min="3" max="3" width="34.42578125" bestFit="1" customWidth="1"/>
    <col min="13" max="13" width="21.85546875" bestFit="1" customWidth="1"/>
    <col min="14" max="14" width="12.5703125" bestFit="1" customWidth="1"/>
  </cols>
  <sheetData>
    <row r="2" spans="1:15">
      <c r="B2" s="58" t="s">
        <v>88</v>
      </c>
      <c r="C2" s="78"/>
      <c r="D2" s="78"/>
      <c r="E2" s="78"/>
      <c r="F2" s="78"/>
      <c r="G2" s="78"/>
      <c r="H2" s="78"/>
      <c r="I2" s="78"/>
      <c r="J2" s="78"/>
      <c r="K2" s="78"/>
    </row>
    <row r="3" spans="1:15">
      <c r="B3" s="78"/>
      <c r="C3" s="78"/>
      <c r="D3" s="78"/>
      <c r="E3" s="78"/>
      <c r="F3" s="78"/>
      <c r="G3" s="78"/>
      <c r="H3" s="78"/>
      <c r="I3" s="78"/>
      <c r="J3" s="78"/>
      <c r="K3" s="78"/>
    </row>
    <row r="5" spans="1:15">
      <c r="A5" s="1" t="s">
        <v>89</v>
      </c>
      <c r="B5" s="1" t="s">
        <v>42</v>
      </c>
      <c r="C5" s="1" t="s">
        <v>43</v>
      </c>
      <c r="D5" s="59" t="s">
        <v>44</v>
      </c>
      <c r="E5" s="60"/>
      <c r="F5" s="61"/>
      <c r="G5" s="49" t="s">
        <v>45</v>
      </c>
      <c r="H5" s="79"/>
      <c r="I5" s="80"/>
      <c r="J5" s="49" t="s">
        <v>46</v>
      </c>
      <c r="K5" s="79"/>
      <c r="L5" s="80"/>
      <c r="M5" s="2" t="s">
        <v>47</v>
      </c>
      <c r="N5" s="3" t="s">
        <v>90</v>
      </c>
      <c r="O5" s="14" t="s">
        <v>91</v>
      </c>
    </row>
    <row r="6" spans="1:15">
      <c r="A6" s="10">
        <v>1</v>
      </c>
      <c r="B6" s="9"/>
      <c r="C6" s="17" t="s">
        <v>92</v>
      </c>
      <c r="D6" s="62" t="s">
        <v>93</v>
      </c>
      <c r="E6" s="63"/>
      <c r="F6" s="64"/>
      <c r="G6" s="65" t="s">
        <v>94</v>
      </c>
      <c r="H6" s="79"/>
      <c r="I6" s="80"/>
      <c r="J6" s="66"/>
      <c r="K6" s="79"/>
      <c r="L6" s="80"/>
      <c r="M6" s="5"/>
      <c r="N6" s="6">
        <v>46029</v>
      </c>
      <c r="O6" s="18"/>
    </row>
    <row r="7" spans="1:15">
      <c r="A7" s="10">
        <v>2</v>
      </c>
      <c r="B7" s="9"/>
      <c r="C7" s="17" t="s">
        <v>95</v>
      </c>
      <c r="D7" s="62" t="s">
        <v>96</v>
      </c>
      <c r="E7" s="63"/>
      <c r="F7" s="64"/>
      <c r="G7" s="65" t="s">
        <v>97</v>
      </c>
      <c r="H7" s="79"/>
      <c r="I7" s="80"/>
      <c r="J7" s="66"/>
      <c r="K7" s="79"/>
      <c r="L7" s="80"/>
      <c r="M7" s="5"/>
      <c r="N7" s="6">
        <v>46029</v>
      </c>
      <c r="O7" s="19"/>
    </row>
    <row r="8" spans="1:15">
      <c r="A8" s="10">
        <v>3</v>
      </c>
      <c r="B8" s="9"/>
      <c r="C8" s="17" t="s">
        <v>98</v>
      </c>
      <c r="D8" s="62" t="s">
        <v>99</v>
      </c>
      <c r="E8" s="63"/>
      <c r="F8" s="64"/>
      <c r="G8" s="65" t="s">
        <v>100</v>
      </c>
      <c r="H8" s="79"/>
      <c r="I8" s="80"/>
      <c r="J8" s="66"/>
      <c r="K8" s="79"/>
      <c r="L8" s="80"/>
      <c r="M8" s="5"/>
      <c r="N8" s="6">
        <v>46029</v>
      </c>
      <c r="O8" s="19"/>
    </row>
    <row r="9" spans="1:15">
      <c r="A9" s="10">
        <v>4</v>
      </c>
      <c r="B9" s="9"/>
      <c r="C9" s="17" t="s">
        <v>101</v>
      </c>
      <c r="D9" s="62" t="s">
        <v>102</v>
      </c>
      <c r="E9" s="63"/>
      <c r="F9" s="64"/>
      <c r="G9" s="65" t="s">
        <v>103</v>
      </c>
      <c r="H9" s="79"/>
      <c r="I9" s="80"/>
      <c r="J9" s="66"/>
      <c r="K9" s="79"/>
      <c r="L9" s="80"/>
      <c r="M9" s="5"/>
      <c r="N9" s="6">
        <v>46029</v>
      </c>
      <c r="O9" s="19"/>
    </row>
    <row r="10" spans="1:15">
      <c r="A10" s="10">
        <v>5</v>
      </c>
      <c r="B10" s="9"/>
      <c r="C10" s="17" t="s">
        <v>104</v>
      </c>
      <c r="D10" s="62" t="s">
        <v>105</v>
      </c>
      <c r="E10" s="63"/>
      <c r="F10" s="64"/>
      <c r="G10" s="65" t="s">
        <v>106</v>
      </c>
      <c r="H10" s="79"/>
      <c r="I10" s="80"/>
      <c r="J10" s="66"/>
      <c r="K10" s="79"/>
      <c r="L10" s="80"/>
      <c r="M10" s="5"/>
      <c r="N10" s="6">
        <v>46029</v>
      </c>
      <c r="O10" s="19"/>
    </row>
    <row r="11" spans="1:15">
      <c r="A11" s="10">
        <v>6</v>
      </c>
      <c r="B11" s="9"/>
      <c r="C11" s="17" t="s">
        <v>107</v>
      </c>
      <c r="D11" s="62" t="s">
        <v>108</v>
      </c>
      <c r="E11" s="63"/>
      <c r="F11" s="64"/>
      <c r="G11" s="65" t="s">
        <v>109</v>
      </c>
      <c r="H11" s="79"/>
      <c r="I11" s="80"/>
      <c r="J11" s="66"/>
      <c r="K11" s="79"/>
      <c r="L11" s="80"/>
      <c r="M11" s="5"/>
      <c r="N11" s="6">
        <v>46029</v>
      </c>
      <c r="O11" s="19"/>
    </row>
    <row r="12" spans="1:15">
      <c r="A12" s="10">
        <v>7</v>
      </c>
      <c r="B12" s="9"/>
      <c r="C12" s="17" t="s">
        <v>110</v>
      </c>
      <c r="D12" s="62" t="s">
        <v>111</v>
      </c>
      <c r="E12" s="63"/>
      <c r="F12" s="64"/>
      <c r="G12" s="65" t="s">
        <v>112</v>
      </c>
      <c r="H12" s="79"/>
      <c r="I12" s="80"/>
      <c r="J12" s="66"/>
      <c r="K12" s="79"/>
      <c r="L12" s="80"/>
      <c r="M12" s="5"/>
      <c r="N12" s="6">
        <v>46029</v>
      </c>
      <c r="O12" s="19"/>
    </row>
    <row r="13" spans="1:15">
      <c r="A13" s="10">
        <v>8</v>
      </c>
      <c r="B13" s="9"/>
      <c r="C13" s="17" t="s">
        <v>113</v>
      </c>
      <c r="D13" s="62" t="s">
        <v>114</v>
      </c>
      <c r="E13" s="63"/>
      <c r="F13" s="64"/>
      <c r="G13" s="65" t="s">
        <v>115</v>
      </c>
      <c r="H13" s="79"/>
      <c r="I13" s="80"/>
      <c r="J13" s="66"/>
      <c r="K13" s="79"/>
      <c r="L13" s="80"/>
      <c r="M13" s="5"/>
      <c r="N13" s="6">
        <v>46029</v>
      </c>
      <c r="O13" s="19"/>
    </row>
    <row r="14" spans="1:15">
      <c r="A14" s="10">
        <v>9</v>
      </c>
      <c r="B14" s="9"/>
      <c r="C14" s="17" t="s">
        <v>116</v>
      </c>
      <c r="D14" s="62" t="s">
        <v>117</v>
      </c>
      <c r="E14" s="63"/>
      <c r="F14" s="64"/>
      <c r="G14" s="65" t="s">
        <v>118</v>
      </c>
      <c r="H14" s="79"/>
      <c r="I14" s="80"/>
      <c r="J14" s="66"/>
      <c r="K14" s="79"/>
      <c r="L14" s="80"/>
      <c r="M14" s="5"/>
      <c r="N14" s="6">
        <v>46029</v>
      </c>
      <c r="O14" s="19"/>
    </row>
    <row r="15" spans="1:15">
      <c r="A15" s="10">
        <v>10</v>
      </c>
      <c r="B15" s="9"/>
      <c r="C15" s="17" t="s">
        <v>119</v>
      </c>
      <c r="D15" s="62" t="s">
        <v>120</v>
      </c>
      <c r="E15" s="63"/>
      <c r="F15" s="64"/>
      <c r="G15" s="65" t="s">
        <v>121</v>
      </c>
      <c r="H15" s="79"/>
      <c r="I15" s="80"/>
      <c r="J15" s="66"/>
      <c r="K15" s="79"/>
      <c r="L15" s="80"/>
      <c r="M15" s="5"/>
      <c r="N15" s="6">
        <v>46029</v>
      </c>
      <c r="O15" s="19"/>
    </row>
    <row r="16" spans="1:15">
      <c r="A16" s="10">
        <v>11</v>
      </c>
      <c r="B16" s="9"/>
      <c r="C16" s="17" t="s">
        <v>122</v>
      </c>
      <c r="D16" s="62" t="s">
        <v>123</v>
      </c>
      <c r="E16" s="63"/>
      <c r="F16" s="64"/>
      <c r="G16" s="65" t="s">
        <v>124</v>
      </c>
      <c r="H16" s="79"/>
      <c r="I16" s="80"/>
      <c r="J16" s="66"/>
      <c r="K16" s="79"/>
      <c r="L16" s="80"/>
      <c r="M16" s="5"/>
      <c r="N16" s="6">
        <v>46029</v>
      </c>
      <c r="O16" s="19"/>
    </row>
    <row r="17" spans="1:15">
      <c r="A17" s="10">
        <v>12</v>
      </c>
      <c r="B17" s="9"/>
      <c r="C17" s="17" t="s">
        <v>125</v>
      </c>
      <c r="D17" s="62" t="s">
        <v>126</v>
      </c>
      <c r="E17" s="63"/>
      <c r="F17" s="64"/>
      <c r="G17" s="65" t="s">
        <v>127</v>
      </c>
      <c r="H17" s="79"/>
      <c r="I17" s="80"/>
      <c r="J17" s="66"/>
      <c r="K17" s="79"/>
      <c r="L17" s="80"/>
      <c r="M17" s="5"/>
      <c r="N17" s="6">
        <v>46029</v>
      </c>
      <c r="O17" s="19"/>
    </row>
    <row r="18" spans="1:15">
      <c r="A18" s="10">
        <v>13</v>
      </c>
      <c r="B18" s="9"/>
      <c r="C18" s="17" t="s">
        <v>128</v>
      </c>
      <c r="D18" s="62" t="s">
        <v>129</v>
      </c>
      <c r="E18" s="63"/>
      <c r="F18" s="64"/>
      <c r="G18" s="65" t="s">
        <v>130</v>
      </c>
      <c r="H18" s="79"/>
      <c r="I18" s="80"/>
      <c r="J18" s="66"/>
      <c r="K18" s="79"/>
      <c r="L18" s="80"/>
      <c r="M18" s="5"/>
      <c r="N18" s="6">
        <v>46029</v>
      </c>
      <c r="O18" s="19"/>
    </row>
    <row r="19" spans="1:15">
      <c r="A19" s="10">
        <v>14</v>
      </c>
      <c r="B19" s="9"/>
      <c r="C19" s="17" t="s">
        <v>131</v>
      </c>
      <c r="D19" s="62" t="s">
        <v>132</v>
      </c>
      <c r="E19" s="63"/>
      <c r="F19" s="64"/>
      <c r="G19" s="65" t="s">
        <v>133</v>
      </c>
      <c r="H19" s="79"/>
      <c r="I19" s="80"/>
      <c r="J19" s="66"/>
      <c r="K19" s="79"/>
      <c r="L19" s="80"/>
      <c r="M19" s="5"/>
      <c r="N19" s="6">
        <v>46029</v>
      </c>
      <c r="O19" s="19"/>
    </row>
    <row r="20" spans="1:15">
      <c r="A20" s="10">
        <v>15</v>
      </c>
      <c r="B20" s="9"/>
      <c r="C20" s="17" t="s">
        <v>134</v>
      </c>
      <c r="D20" s="62" t="s">
        <v>135</v>
      </c>
      <c r="E20" s="63"/>
      <c r="F20" s="64"/>
      <c r="G20" s="65" t="s">
        <v>136</v>
      </c>
      <c r="H20" s="79"/>
      <c r="I20" s="80"/>
      <c r="J20" s="66"/>
      <c r="K20" s="79"/>
      <c r="L20" s="80"/>
      <c r="M20" s="5"/>
      <c r="N20" s="6">
        <v>46029</v>
      </c>
      <c r="O20" s="19"/>
    </row>
    <row r="21" spans="1:15">
      <c r="A21" s="10">
        <v>16</v>
      </c>
      <c r="B21" s="9"/>
      <c r="C21" s="17" t="s">
        <v>137</v>
      </c>
      <c r="D21" s="62" t="s">
        <v>138</v>
      </c>
      <c r="E21" s="63"/>
      <c r="F21" s="64"/>
      <c r="G21" s="65" t="s">
        <v>139</v>
      </c>
      <c r="H21" s="79"/>
      <c r="I21" s="80"/>
      <c r="J21" s="66"/>
      <c r="K21" s="79"/>
      <c r="L21" s="80"/>
      <c r="M21" s="5"/>
      <c r="N21" s="6">
        <v>46043</v>
      </c>
      <c r="O21" s="19"/>
    </row>
    <row r="22" spans="1:15">
      <c r="A22" s="10">
        <v>17</v>
      </c>
      <c r="B22" s="9"/>
      <c r="C22" s="17" t="s">
        <v>140</v>
      </c>
      <c r="D22" s="62" t="s">
        <v>111</v>
      </c>
      <c r="E22" s="63"/>
      <c r="F22" s="64"/>
      <c r="G22" s="65" t="s">
        <v>141</v>
      </c>
      <c r="H22" s="79"/>
      <c r="I22" s="80"/>
      <c r="J22" s="66"/>
      <c r="K22" s="79"/>
      <c r="L22" s="80"/>
      <c r="M22" s="5"/>
      <c r="N22" s="6">
        <v>46043</v>
      </c>
      <c r="O22" s="19"/>
    </row>
    <row r="23" spans="1:15">
      <c r="A23" s="10">
        <v>18</v>
      </c>
      <c r="B23" s="9"/>
      <c r="C23" s="17" t="s">
        <v>142</v>
      </c>
      <c r="D23" s="62" t="s">
        <v>143</v>
      </c>
      <c r="E23" s="63"/>
      <c r="F23" s="64"/>
      <c r="G23" s="65" t="s">
        <v>144</v>
      </c>
      <c r="H23" s="79"/>
      <c r="I23" s="80"/>
      <c r="J23" s="66"/>
      <c r="K23" s="79"/>
      <c r="L23" s="80"/>
      <c r="M23" s="5"/>
      <c r="N23" s="6">
        <v>46043</v>
      </c>
      <c r="O23" s="20"/>
    </row>
    <row r="24" spans="1:15">
      <c r="A24" s="10">
        <v>19</v>
      </c>
      <c r="B24" s="9"/>
      <c r="C24" s="17" t="s">
        <v>145</v>
      </c>
      <c r="D24" s="62" t="s">
        <v>146</v>
      </c>
      <c r="E24" s="63"/>
      <c r="F24" s="64"/>
      <c r="G24" s="65" t="s">
        <v>147</v>
      </c>
      <c r="H24" s="79"/>
      <c r="I24" s="80"/>
      <c r="J24" s="66"/>
      <c r="K24" s="79"/>
      <c r="L24" s="80"/>
      <c r="M24" s="5"/>
      <c r="N24" s="6">
        <v>46043</v>
      </c>
      <c r="O24" s="16"/>
    </row>
    <row r="25" spans="1:15">
      <c r="A25" s="10">
        <v>20</v>
      </c>
      <c r="B25" s="9"/>
      <c r="C25" s="17" t="s">
        <v>148</v>
      </c>
      <c r="D25" s="62" t="s">
        <v>149</v>
      </c>
      <c r="E25" s="63"/>
      <c r="F25" s="64"/>
      <c r="G25" s="65" t="s">
        <v>150</v>
      </c>
      <c r="H25" s="79"/>
      <c r="I25" s="80"/>
      <c r="J25" s="66"/>
      <c r="K25" s="79"/>
      <c r="L25" s="80"/>
      <c r="M25" s="5"/>
      <c r="N25" s="6">
        <v>46043</v>
      </c>
      <c r="O25" s="16"/>
    </row>
    <row r="26" spans="1:15">
      <c r="A26" s="10">
        <v>21</v>
      </c>
      <c r="B26" s="9"/>
      <c r="C26" s="17" t="s">
        <v>151</v>
      </c>
      <c r="D26" s="62" t="s">
        <v>152</v>
      </c>
      <c r="E26" s="63"/>
      <c r="F26" s="64"/>
      <c r="G26" s="65" t="s">
        <v>153</v>
      </c>
      <c r="H26" s="79"/>
      <c r="I26" s="80"/>
      <c r="J26" s="66"/>
      <c r="K26" s="79"/>
      <c r="L26" s="80"/>
      <c r="M26" s="5"/>
      <c r="N26" s="6">
        <v>46043</v>
      </c>
      <c r="O26" s="15"/>
    </row>
    <row r="27" spans="1:15">
      <c r="A27" s="10">
        <v>22</v>
      </c>
      <c r="B27" s="9"/>
      <c r="C27" s="17" t="s">
        <v>154</v>
      </c>
      <c r="D27" s="62" t="s">
        <v>155</v>
      </c>
      <c r="E27" s="63"/>
      <c r="F27" s="64"/>
      <c r="G27" s="65" t="s">
        <v>156</v>
      </c>
      <c r="H27" s="79"/>
      <c r="I27" s="80"/>
      <c r="J27" s="66"/>
      <c r="K27" s="79"/>
      <c r="L27" s="80"/>
      <c r="M27" s="5"/>
      <c r="N27" s="6">
        <v>46043</v>
      </c>
      <c r="O27" s="15"/>
    </row>
    <row r="28" spans="1:15">
      <c r="A28" s="10">
        <v>23</v>
      </c>
      <c r="B28" s="9"/>
      <c r="C28" s="17" t="s">
        <v>157</v>
      </c>
      <c r="D28" s="62" t="s">
        <v>158</v>
      </c>
      <c r="E28" s="63"/>
      <c r="F28" s="64"/>
      <c r="G28" s="65" t="s">
        <v>159</v>
      </c>
      <c r="H28" s="79"/>
      <c r="I28" s="80"/>
      <c r="J28" s="66"/>
      <c r="K28" s="79"/>
      <c r="L28" s="80"/>
      <c r="M28" s="5"/>
      <c r="N28" s="6">
        <v>46043</v>
      </c>
      <c r="O28" s="15"/>
    </row>
    <row r="29" spans="1:15">
      <c r="A29" s="10">
        <v>24</v>
      </c>
      <c r="B29" s="9"/>
      <c r="C29" s="17" t="s">
        <v>160</v>
      </c>
      <c r="D29" s="62" t="s">
        <v>161</v>
      </c>
      <c r="E29" s="63"/>
      <c r="F29" s="64"/>
      <c r="G29" s="65" t="s">
        <v>162</v>
      </c>
      <c r="H29" s="79"/>
      <c r="I29" s="80"/>
      <c r="J29" s="66"/>
      <c r="K29" s="79"/>
      <c r="L29" s="80"/>
      <c r="M29" s="5"/>
      <c r="N29" s="6">
        <v>46043</v>
      </c>
      <c r="O29" s="15"/>
    </row>
    <row r="30" spans="1:15">
      <c r="A30" s="10">
        <v>25</v>
      </c>
      <c r="B30" s="9"/>
      <c r="C30" s="17" t="s">
        <v>163</v>
      </c>
      <c r="D30" s="62" t="s">
        <v>164</v>
      </c>
      <c r="E30" s="63"/>
      <c r="F30" s="64"/>
      <c r="G30" s="65" t="s">
        <v>165</v>
      </c>
      <c r="H30" s="79"/>
      <c r="I30" s="80"/>
      <c r="J30" s="66"/>
      <c r="K30" s="79"/>
      <c r="L30" s="80"/>
      <c r="M30" s="5"/>
      <c r="N30" s="6">
        <v>46043</v>
      </c>
      <c r="O30" s="15"/>
    </row>
    <row r="31" spans="1:15">
      <c r="A31" s="10">
        <v>26</v>
      </c>
      <c r="B31" s="9"/>
      <c r="C31" s="17" t="s">
        <v>166</v>
      </c>
      <c r="D31" s="62" t="s">
        <v>167</v>
      </c>
      <c r="E31" s="63"/>
      <c r="F31" s="64"/>
      <c r="G31" s="65" t="s">
        <v>168</v>
      </c>
      <c r="H31" s="79"/>
      <c r="I31" s="80"/>
      <c r="J31" s="66"/>
      <c r="K31" s="79"/>
      <c r="L31" s="80"/>
      <c r="M31" s="5"/>
      <c r="N31" s="6">
        <v>46043</v>
      </c>
      <c r="O31" s="15"/>
    </row>
    <row r="32" spans="1:15">
      <c r="A32" s="10">
        <v>27</v>
      </c>
      <c r="B32" s="9"/>
      <c r="C32" s="17" t="s">
        <v>169</v>
      </c>
      <c r="D32" s="62" t="s">
        <v>170</v>
      </c>
      <c r="E32" s="63"/>
      <c r="F32" s="64"/>
      <c r="G32" s="65" t="s">
        <v>171</v>
      </c>
      <c r="H32" s="79"/>
      <c r="I32" s="80"/>
      <c r="J32" s="66"/>
      <c r="K32" s="79"/>
      <c r="L32" s="80"/>
      <c r="M32" s="5"/>
      <c r="N32" s="6">
        <v>46043</v>
      </c>
      <c r="O32" s="15"/>
    </row>
    <row r="33" spans="1:15">
      <c r="A33" s="10">
        <v>28</v>
      </c>
      <c r="B33" s="9"/>
      <c r="C33" s="17" t="s">
        <v>172</v>
      </c>
      <c r="D33" s="62" t="s">
        <v>173</v>
      </c>
      <c r="E33" s="63"/>
      <c r="F33" s="64"/>
      <c r="G33" s="65" t="s">
        <v>174</v>
      </c>
      <c r="H33" s="79"/>
      <c r="I33" s="80"/>
      <c r="J33" s="66"/>
      <c r="K33" s="79"/>
      <c r="L33" s="80"/>
      <c r="M33" s="5"/>
      <c r="N33" s="6">
        <v>46043</v>
      </c>
      <c r="O33" s="15"/>
    </row>
    <row r="34" spans="1:15">
      <c r="A34" s="10">
        <v>29</v>
      </c>
      <c r="B34" s="9"/>
      <c r="C34" s="17" t="s">
        <v>175</v>
      </c>
      <c r="D34" s="62" t="s">
        <v>176</v>
      </c>
      <c r="E34" s="63"/>
      <c r="F34" s="64"/>
      <c r="G34" s="65" t="s">
        <v>177</v>
      </c>
      <c r="H34" s="79"/>
      <c r="I34" s="80"/>
      <c r="J34" s="66"/>
      <c r="K34" s="79"/>
      <c r="L34" s="80"/>
      <c r="M34" s="5"/>
      <c r="N34" s="6">
        <v>46043</v>
      </c>
      <c r="O34" s="15"/>
    </row>
    <row r="35" spans="1:15">
      <c r="A35" s="10">
        <v>30</v>
      </c>
      <c r="B35" s="9"/>
      <c r="C35" s="17" t="s">
        <v>178</v>
      </c>
      <c r="D35" s="62" t="s">
        <v>179</v>
      </c>
      <c r="E35" s="63"/>
      <c r="F35" s="64"/>
      <c r="G35" s="65" t="s">
        <v>180</v>
      </c>
      <c r="H35" s="79"/>
      <c r="I35" s="80"/>
      <c r="J35" s="66"/>
      <c r="K35" s="79"/>
      <c r="L35" s="80"/>
      <c r="M35" s="5"/>
      <c r="N35" s="6">
        <v>46043</v>
      </c>
      <c r="O35" s="15"/>
    </row>
    <row r="36" spans="1:15">
      <c r="A36" s="10">
        <v>31</v>
      </c>
      <c r="B36" s="9"/>
      <c r="C36" s="17" t="s">
        <v>181</v>
      </c>
      <c r="D36" s="62" t="s">
        <v>182</v>
      </c>
      <c r="E36" s="63"/>
      <c r="F36" s="64"/>
      <c r="G36" s="65" t="s">
        <v>183</v>
      </c>
      <c r="H36" s="79"/>
      <c r="I36" s="80"/>
      <c r="J36" s="66"/>
      <c r="K36" s="79"/>
      <c r="L36" s="80"/>
      <c r="M36" s="5"/>
      <c r="N36" s="6">
        <v>46057</v>
      </c>
      <c r="O36" s="15"/>
    </row>
    <row r="37" spans="1:15">
      <c r="A37" s="10">
        <v>32</v>
      </c>
      <c r="B37" s="9"/>
      <c r="C37" s="17" t="s">
        <v>184</v>
      </c>
      <c r="D37" s="62" t="s">
        <v>185</v>
      </c>
      <c r="E37" s="63"/>
      <c r="F37" s="64"/>
      <c r="G37" s="65" t="s">
        <v>186</v>
      </c>
      <c r="H37" s="79"/>
      <c r="I37" s="80"/>
      <c r="J37" s="66"/>
      <c r="K37" s="79"/>
      <c r="L37" s="80"/>
      <c r="M37" s="5"/>
      <c r="N37" s="6">
        <v>46057</v>
      </c>
      <c r="O37" s="15"/>
    </row>
    <row r="38" spans="1:15">
      <c r="A38" s="10">
        <v>33</v>
      </c>
      <c r="B38" s="9"/>
      <c r="C38" s="17" t="s">
        <v>187</v>
      </c>
      <c r="D38" s="62" t="s">
        <v>188</v>
      </c>
      <c r="E38" s="63"/>
      <c r="F38" s="64"/>
      <c r="G38" s="65" t="s">
        <v>189</v>
      </c>
      <c r="H38" s="79"/>
      <c r="I38" s="80"/>
      <c r="J38" s="66"/>
      <c r="K38" s="79"/>
      <c r="L38" s="80"/>
      <c r="M38" s="5"/>
      <c r="N38" s="6">
        <v>46057</v>
      </c>
      <c r="O38" s="15"/>
    </row>
    <row r="39" spans="1:15">
      <c r="A39" s="10">
        <v>34</v>
      </c>
      <c r="B39" s="9"/>
      <c r="C39" s="17" t="s">
        <v>190</v>
      </c>
      <c r="D39" s="62" t="s">
        <v>191</v>
      </c>
      <c r="E39" s="63"/>
      <c r="F39" s="64"/>
      <c r="G39" s="65" t="s">
        <v>192</v>
      </c>
      <c r="H39" s="79"/>
      <c r="I39" s="80"/>
      <c r="J39" s="66"/>
      <c r="K39" s="79"/>
      <c r="L39" s="80"/>
      <c r="M39" s="5"/>
      <c r="N39" s="6">
        <v>46057</v>
      </c>
      <c r="O39" s="15"/>
    </row>
    <row r="40" spans="1:15">
      <c r="A40" s="10">
        <v>35</v>
      </c>
      <c r="B40" s="9"/>
      <c r="C40" s="17" t="s">
        <v>193</v>
      </c>
      <c r="D40" s="62" t="s">
        <v>194</v>
      </c>
      <c r="E40" s="63"/>
      <c r="F40" s="64"/>
      <c r="G40" s="65" t="s">
        <v>195</v>
      </c>
      <c r="H40" s="79"/>
      <c r="I40" s="80"/>
      <c r="J40" s="66"/>
      <c r="K40" s="79"/>
      <c r="L40" s="80"/>
      <c r="M40" s="5"/>
      <c r="N40" s="6">
        <v>46057</v>
      </c>
      <c r="O40" s="15"/>
    </row>
    <row r="41" spans="1:15">
      <c r="A41" s="10">
        <v>36</v>
      </c>
      <c r="B41" s="9"/>
      <c r="C41" s="17" t="s">
        <v>196</v>
      </c>
      <c r="D41" s="62" t="s">
        <v>197</v>
      </c>
      <c r="E41" s="63"/>
      <c r="F41" s="64"/>
      <c r="G41" s="65" t="s">
        <v>198</v>
      </c>
      <c r="H41" s="79"/>
      <c r="I41" s="80"/>
      <c r="J41" s="66"/>
      <c r="K41" s="79"/>
      <c r="L41" s="80"/>
      <c r="M41" s="5"/>
      <c r="N41" s="6">
        <v>46057</v>
      </c>
      <c r="O41" s="15"/>
    </row>
    <row r="42" spans="1:15">
      <c r="A42" s="10">
        <v>37</v>
      </c>
      <c r="B42" s="9"/>
      <c r="C42" s="17" t="s">
        <v>199</v>
      </c>
      <c r="D42" s="62" t="s">
        <v>200</v>
      </c>
      <c r="E42" s="63"/>
      <c r="F42" s="64"/>
      <c r="G42" s="65" t="s">
        <v>201</v>
      </c>
      <c r="H42" s="79"/>
      <c r="I42" s="80"/>
      <c r="J42" s="66"/>
      <c r="K42" s="79"/>
      <c r="L42" s="80"/>
      <c r="M42" s="5"/>
      <c r="N42" s="6">
        <v>46057</v>
      </c>
      <c r="O42" s="15"/>
    </row>
    <row r="43" spans="1:15">
      <c r="A43" s="10">
        <v>38</v>
      </c>
      <c r="B43" s="9"/>
      <c r="C43" s="17" t="s">
        <v>202</v>
      </c>
      <c r="D43" s="62" t="s">
        <v>203</v>
      </c>
      <c r="E43" s="63"/>
      <c r="F43" s="64"/>
      <c r="G43" s="65" t="s">
        <v>204</v>
      </c>
      <c r="H43" s="79"/>
      <c r="I43" s="80"/>
      <c r="J43" s="66"/>
      <c r="K43" s="79"/>
      <c r="L43" s="80"/>
      <c r="M43" s="5"/>
      <c r="N43" s="6">
        <v>46057</v>
      </c>
      <c r="O43" s="15"/>
    </row>
    <row r="44" spans="1:15">
      <c r="A44" s="10">
        <v>39</v>
      </c>
      <c r="B44" s="9"/>
      <c r="C44" s="17" t="s">
        <v>205</v>
      </c>
      <c r="D44" s="62" t="s">
        <v>206</v>
      </c>
      <c r="E44" s="63"/>
      <c r="F44" s="64"/>
      <c r="G44" s="65" t="s">
        <v>207</v>
      </c>
      <c r="H44" s="79"/>
      <c r="I44" s="80"/>
      <c r="J44" s="66"/>
      <c r="K44" s="79"/>
      <c r="L44" s="80"/>
      <c r="M44" s="5"/>
      <c r="N44" s="6">
        <v>46057</v>
      </c>
      <c r="O44" s="15"/>
    </row>
    <row r="45" spans="1:15">
      <c r="A45" s="10">
        <v>40</v>
      </c>
      <c r="B45" s="9"/>
      <c r="C45" s="17" t="s">
        <v>208</v>
      </c>
      <c r="D45" s="62" t="s">
        <v>209</v>
      </c>
      <c r="E45" s="63"/>
      <c r="F45" s="64"/>
      <c r="G45" s="65" t="s">
        <v>210</v>
      </c>
      <c r="H45" s="79"/>
      <c r="I45" s="80"/>
      <c r="J45" s="66"/>
      <c r="K45" s="79"/>
      <c r="L45" s="80"/>
      <c r="M45" s="5"/>
      <c r="N45" s="6">
        <v>46057</v>
      </c>
      <c r="O45" s="15"/>
    </row>
    <row r="46" spans="1:15">
      <c r="A46" s="10">
        <v>41</v>
      </c>
      <c r="B46" s="9"/>
      <c r="C46" s="17" t="s">
        <v>211</v>
      </c>
      <c r="D46" s="62" t="s">
        <v>212</v>
      </c>
      <c r="E46" s="63"/>
      <c r="F46" s="64"/>
      <c r="G46" s="65" t="s">
        <v>213</v>
      </c>
      <c r="H46" s="79"/>
      <c r="I46" s="80"/>
      <c r="J46" s="66"/>
      <c r="K46" s="79"/>
      <c r="L46" s="80"/>
      <c r="M46" s="5"/>
      <c r="N46" s="6">
        <v>46057</v>
      </c>
      <c r="O46" s="15"/>
    </row>
    <row r="47" spans="1:15">
      <c r="A47" s="10">
        <v>42</v>
      </c>
      <c r="B47" s="9"/>
      <c r="C47" s="17" t="s">
        <v>214</v>
      </c>
      <c r="D47" s="62" t="s">
        <v>215</v>
      </c>
      <c r="E47" s="63"/>
      <c r="F47" s="64"/>
      <c r="G47" s="65" t="s">
        <v>216</v>
      </c>
      <c r="H47" s="79"/>
      <c r="I47" s="80"/>
      <c r="J47" s="66"/>
      <c r="K47" s="79"/>
      <c r="L47" s="80"/>
      <c r="M47" s="5"/>
      <c r="N47" s="6">
        <v>46057</v>
      </c>
      <c r="O47" s="15"/>
    </row>
    <row r="48" spans="1:15">
      <c r="A48" s="10">
        <v>43</v>
      </c>
      <c r="B48" s="9"/>
      <c r="C48" s="17" t="s">
        <v>217</v>
      </c>
      <c r="D48" s="62" t="s">
        <v>218</v>
      </c>
      <c r="E48" s="63"/>
      <c r="F48" s="64"/>
      <c r="G48" s="65" t="s">
        <v>219</v>
      </c>
      <c r="H48" s="79"/>
      <c r="I48" s="80"/>
      <c r="J48" s="66"/>
      <c r="K48" s="79"/>
      <c r="L48" s="80"/>
      <c r="M48" s="5"/>
      <c r="N48" s="6">
        <v>46057</v>
      </c>
      <c r="O48" s="15"/>
    </row>
    <row r="49" spans="1:15">
      <c r="A49" s="10">
        <v>44</v>
      </c>
      <c r="B49" s="9"/>
      <c r="C49" s="17" t="s">
        <v>220</v>
      </c>
      <c r="D49" s="62" t="s">
        <v>221</v>
      </c>
      <c r="E49" s="63"/>
      <c r="F49" s="64"/>
      <c r="G49" s="65" t="s">
        <v>222</v>
      </c>
      <c r="H49" s="79"/>
      <c r="I49" s="80"/>
      <c r="J49" s="66"/>
      <c r="K49" s="79"/>
      <c r="L49" s="80"/>
      <c r="M49" s="5"/>
      <c r="N49" s="6">
        <v>46057</v>
      </c>
      <c r="O49" s="15"/>
    </row>
    <row r="50" spans="1:15">
      <c r="A50" s="10">
        <v>45</v>
      </c>
      <c r="B50" s="9"/>
      <c r="C50" s="17" t="s">
        <v>223</v>
      </c>
      <c r="D50" s="62" t="s">
        <v>224</v>
      </c>
      <c r="E50" s="63"/>
      <c r="F50" s="64"/>
      <c r="G50" s="65" t="s">
        <v>225</v>
      </c>
      <c r="H50" s="79"/>
      <c r="I50" s="80"/>
      <c r="J50" s="66"/>
      <c r="K50" s="79"/>
      <c r="L50" s="80"/>
      <c r="M50" s="5"/>
      <c r="N50" s="6">
        <v>46057</v>
      </c>
      <c r="O50" s="15"/>
    </row>
    <row r="51" spans="1:15">
      <c r="A51" s="10">
        <v>46</v>
      </c>
      <c r="B51" s="9"/>
      <c r="C51" s="17" t="s">
        <v>226</v>
      </c>
      <c r="D51" s="62" t="s">
        <v>227</v>
      </c>
      <c r="E51" s="63"/>
      <c r="F51" s="64"/>
      <c r="G51" s="65" t="s">
        <v>228</v>
      </c>
      <c r="H51" s="79"/>
      <c r="I51" s="80"/>
      <c r="J51" s="66"/>
      <c r="K51" s="79"/>
      <c r="L51" s="80"/>
      <c r="M51" s="5"/>
      <c r="N51" s="6">
        <v>46057</v>
      </c>
      <c r="O51" s="15"/>
    </row>
    <row r="52" spans="1:15">
      <c r="A52" s="10">
        <v>47</v>
      </c>
      <c r="B52" s="9"/>
      <c r="C52" s="17" t="s">
        <v>193</v>
      </c>
      <c r="D52" s="62" t="s">
        <v>194</v>
      </c>
      <c r="E52" s="63"/>
      <c r="F52" s="64"/>
      <c r="G52" s="65" t="s">
        <v>195</v>
      </c>
      <c r="H52" s="79"/>
      <c r="I52" s="80"/>
      <c r="J52" s="66"/>
      <c r="K52" s="79"/>
      <c r="L52" s="80"/>
      <c r="M52" s="5"/>
      <c r="N52" s="6">
        <v>46071</v>
      </c>
      <c r="O52" s="15"/>
    </row>
    <row r="53" spans="1:15">
      <c r="A53" s="10">
        <v>48</v>
      </c>
      <c r="B53" s="9"/>
      <c r="C53" s="17" t="s">
        <v>229</v>
      </c>
      <c r="D53" s="62" t="s">
        <v>230</v>
      </c>
      <c r="E53" s="63"/>
      <c r="F53" s="64"/>
      <c r="G53" s="65" t="s">
        <v>231</v>
      </c>
      <c r="H53" s="79"/>
      <c r="I53" s="80"/>
      <c r="J53" s="66"/>
      <c r="K53" s="79"/>
      <c r="L53" s="80"/>
      <c r="M53" s="5"/>
      <c r="N53" s="6">
        <v>46071</v>
      </c>
      <c r="O53" s="15"/>
    </row>
    <row r="54" spans="1:15">
      <c r="A54" s="10">
        <v>49</v>
      </c>
      <c r="B54" s="9"/>
      <c r="C54" s="17" t="s">
        <v>232</v>
      </c>
      <c r="D54" s="62" t="s">
        <v>233</v>
      </c>
      <c r="E54" s="63"/>
      <c r="F54" s="64"/>
      <c r="G54" s="65" t="s">
        <v>234</v>
      </c>
      <c r="H54" s="79"/>
      <c r="I54" s="80"/>
      <c r="J54" s="66"/>
      <c r="K54" s="79"/>
      <c r="L54" s="80"/>
      <c r="M54" s="5"/>
      <c r="N54" s="6">
        <v>46071</v>
      </c>
      <c r="O54" s="15"/>
    </row>
    <row r="55" spans="1:15">
      <c r="A55" s="10">
        <v>50</v>
      </c>
      <c r="B55" s="9"/>
      <c r="C55" s="17" t="s">
        <v>235</v>
      </c>
      <c r="D55" s="62" t="s">
        <v>236</v>
      </c>
      <c r="E55" s="63"/>
      <c r="F55" s="64"/>
      <c r="G55" s="65" t="s">
        <v>237</v>
      </c>
      <c r="H55" s="79"/>
      <c r="I55" s="80"/>
      <c r="J55" s="66"/>
      <c r="K55" s="79"/>
      <c r="L55" s="80"/>
      <c r="M55" s="5"/>
      <c r="N55" s="6">
        <v>46071</v>
      </c>
      <c r="O55" s="15"/>
    </row>
    <row r="56" spans="1:15">
      <c r="A56" s="10">
        <v>51</v>
      </c>
      <c r="B56" s="9"/>
      <c r="C56" s="17" t="s">
        <v>238</v>
      </c>
      <c r="D56" s="62" t="s">
        <v>239</v>
      </c>
      <c r="E56" s="63"/>
      <c r="F56" s="64"/>
      <c r="G56" s="65" t="s">
        <v>240</v>
      </c>
      <c r="H56" s="79"/>
      <c r="I56" s="80"/>
      <c r="J56" s="66"/>
      <c r="K56" s="79"/>
      <c r="L56" s="80"/>
      <c r="M56" s="5"/>
      <c r="N56" s="6">
        <v>46071</v>
      </c>
      <c r="O56" s="15"/>
    </row>
    <row r="57" spans="1:15">
      <c r="A57" s="10">
        <v>52</v>
      </c>
      <c r="B57" s="9"/>
      <c r="C57" s="17" t="s">
        <v>241</v>
      </c>
      <c r="D57" s="62" t="s">
        <v>242</v>
      </c>
      <c r="E57" s="63"/>
      <c r="F57" s="64"/>
      <c r="G57" s="65" t="s">
        <v>243</v>
      </c>
      <c r="H57" s="79"/>
      <c r="I57" s="80"/>
      <c r="J57" s="66"/>
      <c r="K57" s="79"/>
      <c r="L57" s="80"/>
      <c r="M57" s="5"/>
      <c r="N57" s="6">
        <v>46071</v>
      </c>
      <c r="O57" s="15"/>
    </row>
    <row r="58" spans="1:15">
      <c r="A58" s="10">
        <v>53</v>
      </c>
      <c r="B58" s="9"/>
      <c r="C58" s="17" t="s">
        <v>244</v>
      </c>
      <c r="D58" s="62" t="s">
        <v>245</v>
      </c>
      <c r="E58" s="63"/>
      <c r="F58" s="64"/>
      <c r="G58" s="65" t="s">
        <v>246</v>
      </c>
      <c r="H58" s="79"/>
      <c r="I58" s="80"/>
      <c r="J58" s="66"/>
      <c r="K58" s="79"/>
      <c r="L58" s="80"/>
      <c r="M58" s="5"/>
      <c r="N58" s="6">
        <v>46071</v>
      </c>
      <c r="O58" s="15"/>
    </row>
    <row r="59" spans="1:15">
      <c r="A59" s="10">
        <v>54</v>
      </c>
      <c r="B59" s="9"/>
      <c r="C59" s="17" t="s">
        <v>247</v>
      </c>
      <c r="D59" s="62" t="s">
        <v>248</v>
      </c>
      <c r="E59" s="63"/>
      <c r="F59" s="64"/>
      <c r="G59" s="65" t="s">
        <v>249</v>
      </c>
      <c r="H59" s="79"/>
      <c r="I59" s="80"/>
      <c r="J59" s="66"/>
      <c r="K59" s="79"/>
      <c r="L59" s="80"/>
      <c r="M59" s="5"/>
      <c r="N59" s="6">
        <v>46071</v>
      </c>
      <c r="O59" s="15"/>
    </row>
    <row r="60" spans="1:15">
      <c r="A60" s="10">
        <v>55</v>
      </c>
      <c r="B60" s="9"/>
      <c r="C60" s="17" t="s">
        <v>250</v>
      </c>
      <c r="D60" s="62" t="s">
        <v>251</v>
      </c>
      <c r="E60" s="63"/>
      <c r="F60" s="64"/>
      <c r="G60" s="65" t="s">
        <v>252</v>
      </c>
      <c r="H60" s="79"/>
      <c r="I60" s="80"/>
      <c r="J60" s="66"/>
      <c r="K60" s="79"/>
      <c r="L60" s="80"/>
      <c r="M60" s="5"/>
      <c r="N60" s="6">
        <v>46071</v>
      </c>
      <c r="O60" s="15"/>
    </row>
    <row r="61" spans="1:15">
      <c r="A61" s="10">
        <v>56</v>
      </c>
      <c r="B61" s="9"/>
      <c r="C61" s="17" t="s">
        <v>253</v>
      </c>
      <c r="D61" s="62" t="s">
        <v>254</v>
      </c>
      <c r="E61" s="63"/>
      <c r="F61" s="64"/>
      <c r="G61" s="65" t="s">
        <v>255</v>
      </c>
      <c r="H61" s="79"/>
      <c r="I61" s="80"/>
      <c r="J61" s="66"/>
      <c r="K61" s="79"/>
      <c r="L61" s="80"/>
      <c r="M61" s="5"/>
      <c r="N61" s="6">
        <v>46071</v>
      </c>
      <c r="O61" s="15"/>
    </row>
    <row r="62" spans="1:15">
      <c r="A62" s="10">
        <v>57</v>
      </c>
      <c r="B62" s="9"/>
      <c r="C62" s="17" t="s">
        <v>256</v>
      </c>
      <c r="D62" s="62" t="s">
        <v>257</v>
      </c>
      <c r="E62" s="63"/>
      <c r="F62" s="64"/>
      <c r="G62" s="65" t="s">
        <v>258</v>
      </c>
      <c r="H62" s="79"/>
      <c r="I62" s="80"/>
      <c r="J62" s="66"/>
      <c r="K62" s="79"/>
      <c r="L62" s="80"/>
      <c r="M62" s="5"/>
      <c r="N62" s="6">
        <v>46071</v>
      </c>
      <c r="O62" s="15"/>
    </row>
    <row r="63" spans="1:15">
      <c r="A63" s="10">
        <v>58</v>
      </c>
      <c r="B63" s="9"/>
      <c r="C63" s="17" t="s">
        <v>259</v>
      </c>
      <c r="D63" s="62" t="s">
        <v>260</v>
      </c>
      <c r="E63" s="63"/>
      <c r="F63" s="64"/>
      <c r="G63" s="65" t="s">
        <v>261</v>
      </c>
      <c r="H63" s="79"/>
      <c r="I63" s="80"/>
      <c r="J63" s="66"/>
      <c r="K63" s="79"/>
      <c r="L63" s="80"/>
      <c r="M63" s="5"/>
      <c r="N63" s="6">
        <v>46071</v>
      </c>
      <c r="O63" s="15"/>
    </row>
    <row r="64" spans="1:15">
      <c r="A64" s="10">
        <v>59</v>
      </c>
      <c r="B64" s="9"/>
      <c r="C64" s="17" t="s">
        <v>262</v>
      </c>
      <c r="D64" s="62" t="s">
        <v>263</v>
      </c>
      <c r="E64" s="63"/>
      <c r="F64" s="64"/>
      <c r="G64" s="65" t="s">
        <v>264</v>
      </c>
      <c r="H64" s="79"/>
      <c r="I64" s="80"/>
      <c r="J64" s="66"/>
      <c r="K64" s="79"/>
      <c r="L64" s="80"/>
      <c r="M64" s="5"/>
      <c r="N64" s="6">
        <v>46071</v>
      </c>
      <c r="O64" s="15"/>
    </row>
    <row r="65" spans="1:15">
      <c r="A65" s="10">
        <v>60</v>
      </c>
      <c r="B65" s="9"/>
      <c r="C65" s="17" t="s">
        <v>265</v>
      </c>
      <c r="D65" s="62" t="s">
        <v>266</v>
      </c>
      <c r="E65" s="63"/>
      <c r="F65" s="64"/>
      <c r="G65" s="65" t="s">
        <v>267</v>
      </c>
      <c r="H65" s="79"/>
      <c r="I65" s="80"/>
      <c r="J65" s="66"/>
      <c r="K65" s="79"/>
      <c r="L65" s="80"/>
      <c r="M65" s="5"/>
      <c r="N65" s="6">
        <v>46085</v>
      </c>
      <c r="O65" s="15"/>
    </row>
    <row r="66" spans="1:15">
      <c r="A66" s="10">
        <v>61</v>
      </c>
      <c r="B66" s="9"/>
      <c r="C66" s="17" t="s">
        <v>268</v>
      </c>
      <c r="D66" s="62" t="s">
        <v>269</v>
      </c>
      <c r="E66" s="63"/>
      <c r="F66" s="64"/>
      <c r="G66" s="65" t="s">
        <v>270</v>
      </c>
      <c r="H66" s="79"/>
      <c r="I66" s="80"/>
      <c r="J66" s="66"/>
      <c r="K66" s="79"/>
      <c r="L66" s="80"/>
      <c r="M66" s="5"/>
      <c r="N66" s="6">
        <v>46085</v>
      </c>
      <c r="O66" s="15"/>
    </row>
    <row r="67" spans="1:15">
      <c r="A67" s="10">
        <v>62</v>
      </c>
      <c r="B67" s="9"/>
      <c r="C67" s="17" t="s">
        <v>271</v>
      </c>
      <c r="D67" s="62" t="s">
        <v>272</v>
      </c>
      <c r="E67" s="63"/>
      <c r="F67" s="64"/>
      <c r="G67" s="65" t="s">
        <v>273</v>
      </c>
      <c r="H67" s="79"/>
      <c r="I67" s="80"/>
      <c r="J67" s="66"/>
      <c r="K67" s="79"/>
      <c r="L67" s="80"/>
      <c r="M67" s="5"/>
      <c r="N67" s="6">
        <v>46085</v>
      </c>
      <c r="O67" s="15"/>
    </row>
    <row r="68" spans="1:15">
      <c r="A68" s="10">
        <v>63</v>
      </c>
      <c r="B68" s="9"/>
      <c r="C68" s="17" t="s">
        <v>274</v>
      </c>
      <c r="D68" s="62" t="s">
        <v>275</v>
      </c>
      <c r="E68" s="63"/>
      <c r="F68" s="64"/>
      <c r="G68" s="65" t="s">
        <v>276</v>
      </c>
      <c r="H68" s="79"/>
      <c r="I68" s="80"/>
      <c r="J68" s="66"/>
      <c r="K68" s="79"/>
      <c r="L68" s="80"/>
      <c r="M68" s="5"/>
      <c r="N68" s="6">
        <v>46085</v>
      </c>
      <c r="O68" s="15"/>
    </row>
    <row r="69" spans="1:15">
      <c r="A69" s="10">
        <v>64</v>
      </c>
      <c r="B69" s="9"/>
      <c r="C69" s="17" t="s">
        <v>277</v>
      </c>
      <c r="D69" s="62" t="s">
        <v>278</v>
      </c>
      <c r="E69" s="63"/>
      <c r="F69" s="64"/>
      <c r="G69" s="65" t="s">
        <v>279</v>
      </c>
      <c r="H69" s="79"/>
      <c r="I69" s="80"/>
      <c r="J69" s="66"/>
      <c r="K69" s="79"/>
      <c r="L69" s="80"/>
      <c r="M69" s="5"/>
      <c r="N69" s="6">
        <v>46085</v>
      </c>
      <c r="O69" s="15"/>
    </row>
    <row r="70" spans="1:15">
      <c r="A70" s="10">
        <v>65</v>
      </c>
      <c r="B70" s="9"/>
      <c r="C70" s="17" t="s">
        <v>280</v>
      </c>
      <c r="D70" s="62" t="s">
        <v>281</v>
      </c>
      <c r="E70" s="63"/>
      <c r="F70" s="64"/>
      <c r="G70" s="65" t="s">
        <v>282</v>
      </c>
      <c r="H70" s="79"/>
      <c r="I70" s="80"/>
      <c r="J70" s="66"/>
      <c r="K70" s="79"/>
      <c r="L70" s="80"/>
      <c r="M70" s="5"/>
      <c r="N70" s="6">
        <v>46085</v>
      </c>
      <c r="O70" s="15"/>
    </row>
    <row r="71" spans="1:15">
      <c r="A71" s="10">
        <v>66</v>
      </c>
      <c r="B71" s="9"/>
      <c r="C71" s="17" t="s">
        <v>283</v>
      </c>
      <c r="D71" s="62" t="s">
        <v>284</v>
      </c>
      <c r="E71" s="63"/>
      <c r="F71" s="64"/>
      <c r="G71" s="65" t="s">
        <v>285</v>
      </c>
      <c r="H71" s="79"/>
      <c r="I71" s="80"/>
      <c r="J71" s="66"/>
      <c r="K71" s="79"/>
      <c r="L71" s="80"/>
      <c r="M71" s="5"/>
      <c r="N71" s="6">
        <v>46085</v>
      </c>
      <c r="O71" s="15"/>
    </row>
    <row r="72" spans="1:15">
      <c r="A72" s="10">
        <v>67</v>
      </c>
      <c r="B72" s="9"/>
      <c r="C72" s="17" t="s">
        <v>286</v>
      </c>
      <c r="D72" s="62" t="s">
        <v>287</v>
      </c>
      <c r="E72" s="63"/>
      <c r="F72" s="64"/>
      <c r="G72" s="65" t="s">
        <v>288</v>
      </c>
      <c r="H72" s="79"/>
      <c r="I72" s="80"/>
      <c r="J72" s="66"/>
      <c r="K72" s="79"/>
      <c r="L72" s="80"/>
      <c r="M72" s="5"/>
      <c r="N72" s="6">
        <v>46085</v>
      </c>
      <c r="O72" s="15"/>
    </row>
    <row r="73" spans="1:15">
      <c r="A73" s="10">
        <v>68</v>
      </c>
      <c r="B73" s="9"/>
      <c r="C73" s="17" t="s">
        <v>289</v>
      </c>
      <c r="D73" s="62" t="s">
        <v>290</v>
      </c>
      <c r="E73" s="63"/>
      <c r="F73" s="64"/>
      <c r="G73" s="65" t="s">
        <v>291</v>
      </c>
      <c r="H73" s="79"/>
      <c r="I73" s="80"/>
      <c r="J73" s="66"/>
      <c r="K73" s="79"/>
      <c r="L73" s="80"/>
      <c r="M73" s="5"/>
      <c r="N73" s="6">
        <v>46085</v>
      </c>
      <c r="O73" s="15"/>
    </row>
    <row r="74" spans="1:15">
      <c r="A74" s="10">
        <v>69</v>
      </c>
      <c r="B74" s="9"/>
      <c r="C74" s="17" t="s">
        <v>292</v>
      </c>
      <c r="D74" s="62" t="s">
        <v>293</v>
      </c>
      <c r="E74" s="63"/>
      <c r="F74" s="64"/>
      <c r="G74" s="65" t="s">
        <v>294</v>
      </c>
      <c r="H74" s="79"/>
      <c r="I74" s="80"/>
      <c r="J74" s="66"/>
      <c r="K74" s="79"/>
      <c r="L74" s="80"/>
      <c r="M74" s="5"/>
      <c r="N74" s="6">
        <v>46099</v>
      </c>
      <c r="O74" s="15"/>
    </row>
    <row r="75" spans="1:15">
      <c r="A75" s="10">
        <v>70</v>
      </c>
      <c r="B75" s="9"/>
      <c r="C75" s="17" t="s">
        <v>295</v>
      </c>
      <c r="D75" s="62" t="s">
        <v>296</v>
      </c>
      <c r="E75" s="63"/>
      <c r="F75" s="64"/>
      <c r="G75" s="65" t="s">
        <v>297</v>
      </c>
      <c r="H75" s="79"/>
      <c r="I75" s="80"/>
      <c r="J75" s="66"/>
      <c r="K75" s="79"/>
      <c r="L75" s="80"/>
      <c r="M75" s="5"/>
      <c r="N75" s="6">
        <v>46099</v>
      </c>
      <c r="O75" s="15"/>
    </row>
    <row r="76" spans="1:15">
      <c r="A76" s="10">
        <v>71</v>
      </c>
      <c r="B76" s="9"/>
      <c r="C76" s="17" t="s">
        <v>298</v>
      </c>
      <c r="D76" s="62" t="s">
        <v>299</v>
      </c>
      <c r="E76" s="63"/>
      <c r="F76" s="64"/>
      <c r="G76" s="65" t="s">
        <v>300</v>
      </c>
      <c r="H76" s="79"/>
      <c r="I76" s="80"/>
      <c r="J76" s="66"/>
      <c r="K76" s="79"/>
      <c r="L76" s="80"/>
      <c r="M76" s="5"/>
      <c r="N76" s="6">
        <v>46099</v>
      </c>
      <c r="O76" s="15"/>
    </row>
    <row r="77" spans="1:15">
      <c r="A77" s="10">
        <v>72</v>
      </c>
      <c r="B77" s="9"/>
      <c r="C77" s="17" t="s">
        <v>301</v>
      </c>
      <c r="D77" s="62" t="s">
        <v>302</v>
      </c>
      <c r="E77" s="63"/>
      <c r="F77" s="64"/>
      <c r="G77" s="65" t="s">
        <v>303</v>
      </c>
      <c r="H77" s="79"/>
      <c r="I77" s="80"/>
      <c r="J77" s="66"/>
      <c r="K77" s="79"/>
      <c r="L77" s="80"/>
      <c r="M77" s="5"/>
      <c r="N77" s="6">
        <v>46099</v>
      </c>
      <c r="O77" s="15"/>
    </row>
    <row r="78" spans="1:15">
      <c r="A78" s="10">
        <v>73</v>
      </c>
      <c r="B78" s="9"/>
      <c r="C78" s="17" t="s">
        <v>304</v>
      </c>
      <c r="D78" s="62" t="s">
        <v>305</v>
      </c>
      <c r="E78" s="63"/>
      <c r="F78" s="64"/>
      <c r="G78" s="65" t="s">
        <v>306</v>
      </c>
      <c r="H78" s="79"/>
      <c r="I78" s="80"/>
      <c r="J78" s="66"/>
      <c r="K78" s="79"/>
      <c r="L78" s="80"/>
      <c r="M78" s="5"/>
      <c r="N78" s="6">
        <v>46099</v>
      </c>
      <c r="O78" s="15"/>
    </row>
    <row r="79" spans="1:15">
      <c r="A79" s="10">
        <v>74</v>
      </c>
      <c r="B79" s="9"/>
      <c r="C79" s="17" t="s">
        <v>307</v>
      </c>
      <c r="D79" s="62" t="s">
        <v>308</v>
      </c>
      <c r="E79" s="63"/>
      <c r="F79" s="64"/>
      <c r="G79" s="65" t="s">
        <v>309</v>
      </c>
      <c r="H79" s="79"/>
      <c r="I79" s="80"/>
      <c r="J79" s="66"/>
      <c r="K79" s="79"/>
      <c r="L79" s="80"/>
      <c r="M79" s="5"/>
      <c r="N79" s="6">
        <v>46099</v>
      </c>
      <c r="O79" s="15"/>
    </row>
    <row r="80" spans="1:15">
      <c r="A80" s="10">
        <v>75</v>
      </c>
      <c r="B80" s="9"/>
      <c r="C80" s="17" t="s">
        <v>310</v>
      </c>
      <c r="D80" s="62" t="s">
        <v>311</v>
      </c>
      <c r="E80" s="63"/>
      <c r="F80" s="64"/>
      <c r="G80" s="65" t="s">
        <v>312</v>
      </c>
      <c r="H80" s="79"/>
      <c r="I80" s="80"/>
      <c r="J80" s="66"/>
      <c r="K80" s="79"/>
      <c r="L80" s="80"/>
      <c r="M80" s="5"/>
      <c r="N80" s="6">
        <v>46099</v>
      </c>
      <c r="O80" s="15"/>
    </row>
    <row r="81" spans="1:15">
      <c r="A81" s="10">
        <v>76</v>
      </c>
      <c r="B81" s="9"/>
      <c r="C81" s="17" t="s">
        <v>313</v>
      </c>
      <c r="D81" s="62" t="s">
        <v>314</v>
      </c>
      <c r="E81" s="63"/>
      <c r="F81" s="64"/>
      <c r="G81" s="65" t="s">
        <v>315</v>
      </c>
      <c r="H81" s="79"/>
      <c r="I81" s="80"/>
      <c r="J81" s="66"/>
      <c r="K81" s="79"/>
      <c r="L81" s="80"/>
      <c r="M81" s="5"/>
      <c r="N81" s="6">
        <v>46099</v>
      </c>
      <c r="O81" s="15"/>
    </row>
    <row r="82" spans="1:15">
      <c r="A82" s="10">
        <v>77</v>
      </c>
      <c r="B82" s="9"/>
      <c r="C82" s="17" t="s">
        <v>316</v>
      </c>
      <c r="D82" s="62" t="s">
        <v>317</v>
      </c>
      <c r="E82" s="63"/>
      <c r="F82" s="64"/>
      <c r="G82" s="65" t="s">
        <v>318</v>
      </c>
      <c r="H82" s="79"/>
      <c r="I82" s="80"/>
      <c r="J82" s="66"/>
      <c r="K82" s="79"/>
      <c r="L82" s="80"/>
      <c r="M82" s="5"/>
      <c r="N82" s="6">
        <v>46099</v>
      </c>
      <c r="O82" s="15"/>
    </row>
    <row r="83" spans="1:15">
      <c r="A83" s="10">
        <v>78</v>
      </c>
      <c r="B83" s="9"/>
      <c r="C83" s="17" t="s">
        <v>319</v>
      </c>
      <c r="D83" s="62" t="s">
        <v>320</v>
      </c>
      <c r="E83" s="63"/>
      <c r="F83" s="64"/>
      <c r="G83" s="65" t="s">
        <v>321</v>
      </c>
      <c r="H83" s="79"/>
      <c r="I83" s="80"/>
      <c r="J83" s="66"/>
      <c r="K83" s="79"/>
      <c r="L83" s="80"/>
      <c r="M83" s="5"/>
      <c r="N83" s="6">
        <v>46099</v>
      </c>
      <c r="O83" s="15"/>
    </row>
    <row r="84" spans="1:15">
      <c r="A84" s="10">
        <v>79</v>
      </c>
      <c r="B84" s="9"/>
      <c r="C84" s="17" t="s">
        <v>322</v>
      </c>
      <c r="D84" s="62" t="s">
        <v>323</v>
      </c>
      <c r="E84" s="63"/>
      <c r="F84" s="64"/>
      <c r="G84" s="65" t="s">
        <v>324</v>
      </c>
      <c r="H84" s="79"/>
      <c r="I84" s="80"/>
      <c r="J84" s="66"/>
      <c r="K84" s="79"/>
      <c r="L84" s="80"/>
      <c r="M84" s="5"/>
      <c r="N84" s="6">
        <v>46099</v>
      </c>
      <c r="O84" s="15"/>
    </row>
    <row r="85" spans="1:15">
      <c r="A85" s="10">
        <v>80</v>
      </c>
      <c r="B85" s="9"/>
      <c r="C85" s="17" t="s">
        <v>325</v>
      </c>
      <c r="D85" s="62" t="s">
        <v>326</v>
      </c>
      <c r="E85" s="63"/>
      <c r="F85" s="64"/>
      <c r="G85" s="65" t="s">
        <v>327</v>
      </c>
      <c r="H85" s="79"/>
      <c r="I85" s="80"/>
      <c r="J85" s="66"/>
      <c r="K85" s="79"/>
      <c r="L85" s="80"/>
      <c r="M85" s="5"/>
      <c r="N85" s="6">
        <v>46099</v>
      </c>
      <c r="O85" s="15"/>
    </row>
    <row r="86" spans="1:15">
      <c r="A86" s="10">
        <v>81</v>
      </c>
      <c r="B86" s="9"/>
      <c r="C86" s="17" t="s">
        <v>328</v>
      </c>
      <c r="D86" s="62" t="s">
        <v>329</v>
      </c>
      <c r="E86" s="63"/>
      <c r="F86" s="64"/>
      <c r="G86" s="65" t="s">
        <v>330</v>
      </c>
      <c r="H86" s="79"/>
      <c r="I86" s="80"/>
      <c r="J86" s="66"/>
      <c r="K86" s="79"/>
      <c r="L86" s="80"/>
      <c r="M86" s="5"/>
      <c r="N86" s="6">
        <v>46099</v>
      </c>
      <c r="O86" s="15"/>
    </row>
    <row r="87" spans="1:15">
      <c r="A87" s="10">
        <v>82</v>
      </c>
      <c r="B87" s="9"/>
      <c r="C87" s="17" t="s">
        <v>331</v>
      </c>
      <c r="D87" s="62" t="s">
        <v>332</v>
      </c>
      <c r="E87" s="63"/>
      <c r="F87" s="64"/>
      <c r="G87" s="65" t="s">
        <v>333</v>
      </c>
      <c r="H87" s="79"/>
      <c r="I87" s="80"/>
      <c r="J87" s="66"/>
      <c r="K87" s="79"/>
      <c r="L87" s="80"/>
      <c r="M87" s="5"/>
      <c r="N87" s="6">
        <v>46099</v>
      </c>
      <c r="O87" s="15"/>
    </row>
    <row r="88" spans="1:15">
      <c r="A88" s="10">
        <v>83</v>
      </c>
      <c r="B88" s="9"/>
      <c r="C88" s="17" t="s">
        <v>334</v>
      </c>
      <c r="D88" s="62" t="s">
        <v>335</v>
      </c>
      <c r="E88" s="63"/>
      <c r="F88" s="64"/>
      <c r="G88" s="65" t="s">
        <v>336</v>
      </c>
      <c r="H88" s="79"/>
      <c r="I88" s="80"/>
      <c r="J88" s="66"/>
      <c r="K88" s="79"/>
      <c r="L88" s="80"/>
      <c r="M88" s="5"/>
      <c r="N88" s="6">
        <v>46099</v>
      </c>
      <c r="O88" s="15"/>
    </row>
    <row r="89" spans="1:15">
      <c r="A89" s="10">
        <v>84</v>
      </c>
      <c r="B89" s="9"/>
      <c r="C89" s="17" t="s">
        <v>337</v>
      </c>
      <c r="D89" s="62" t="s">
        <v>338</v>
      </c>
      <c r="E89" s="63"/>
      <c r="F89" s="64"/>
      <c r="G89" s="65" t="s">
        <v>339</v>
      </c>
      <c r="H89" s="79"/>
      <c r="I89" s="80"/>
      <c r="J89" s="66"/>
      <c r="K89" s="79"/>
      <c r="L89" s="80"/>
      <c r="M89" s="5"/>
      <c r="N89" s="6">
        <v>46113</v>
      </c>
      <c r="O89" s="15"/>
    </row>
    <row r="90" spans="1:15">
      <c r="A90" s="10">
        <v>85</v>
      </c>
      <c r="B90" s="9"/>
      <c r="C90" s="17" t="s">
        <v>340</v>
      </c>
      <c r="D90" s="62" t="s">
        <v>341</v>
      </c>
      <c r="E90" s="63"/>
      <c r="F90" s="64"/>
      <c r="G90" s="65" t="s">
        <v>342</v>
      </c>
      <c r="H90" s="79"/>
      <c r="I90" s="80"/>
      <c r="J90" s="66"/>
      <c r="K90" s="79"/>
      <c r="L90" s="80"/>
      <c r="M90" s="5"/>
      <c r="N90" s="6">
        <v>46113</v>
      </c>
      <c r="O90" s="15"/>
    </row>
    <row r="91" spans="1:15">
      <c r="A91" s="10">
        <v>86</v>
      </c>
      <c r="B91" s="9"/>
      <c r="C91" s="17" t="s">
        <v>343</v>
      </c>
      <c r="D91" s="62" t="s">
        <v>344</v>
      </c>
      <c r="E91" s="63"/>
      <c r="F91" s="64"/>
      <c r="G91" s="65" t="s">
        <v>345</v>
      </c>
      <c r="H91" s="79"/>
      <c r="I91" s="80"/>
      <c r="J91" s="66"/>
      <c r="K91" s="79"/>
      <c r="L91" s="80"/>
      <c r="M91" s="5"/>
      <c r="N91" s="6">
        <v>46113</v>
      </c>
      <c r="O91" s="15"/>
    </row>
    <row r="92" spans="1:15">
      <c r="A92" s="10">
        <v>87</v>
      </c>
      <c r="B92" s="9"/>
      <c r="C92" s="17" t="s">
        <v>346</v>
      </c>
      <c r="D92" s="62" t="s">
        <v>347</v>
      </c>
      <c r="E92" s="63"/>
      <c r="F92" s="64"/>
      <c r="G92" s="65" t="s">
        <v>348</v>
      </c>
      <c r="H92" s="79"/>
      <c r="I92" s="80"/>
      <c r="J92" s="66"/>
      <c r="K92" s="79"/>
      <c r="L92" s="80"/>
      <c r="M92" s="5"/>
      <c r="N92" s="6">
        <v>46113</v>
      </c>
      <c r="O92" s="15"/>
    </row>
    <row r="93" spans="1:15">
      <c r="A93" s="10">
        <v>88</v>
      </c>
      <c r="B93" s="9"/>
      <c r="C93" s="17" t="s">
        <v>349</v>
      </c>
      <c r="D93" s="62" t="s">
        <v>350</v>
      </c>
      <c r="E93" s="63"/>
      <c r="F93" s="64"/>
      <c r="G93" s="65" t="s">
        <v>351</v>
      </c>
      <c r="H93" s="79"/>
      <c r="I93" s="80"/>
      <c r="J93" s="66"/>
      <c r="K93" s="79"/>
      <c r="L93" s="80"/>
      <c r="M93" s="5"/>
      <c r="N93" s="6">
        <v>46113</v>
      </c>
      <c r="O93" s="15"/>
    </row>
    <row r="94" spans="1:15">
      <c r="A94" s="10">
        <v>89</v>
      </c>
      <c r="B94" s="9"/>
      <c r="C94" s="17" t="s">
        <v>352</v>
      </c>
      <c r="D94" s="62" t="s">
        <v>353</v>
      </c>
      <c r="E94" s="63"/>
      <c r="F94" s="64"/>
      <c r="G94" s="65" t="s">
        <v>354</v>
      </c>
      <c r="H94" s="79"/>
      <c r="I94" s="80"/>
      <c r="J94" s="66"/>
      <c r="K94" s="79"/>
      <c r="L94" s="80"/>
      <c r="M94" s="5"/>
      <c r="N94" s="6">
        <v>46113</v>
      </c>
      <c r="O94" s="15"/>
    </row>
    <row r="95" spans="1:15">
      <c r="A95" s="10">
        <v>90</v>
      </c>
      <c r="B95" s="9"/>
      <c r="C95" s="17" t="s">
        <v>355</v>
      </c>
      <c r="D95" s="62" t="s">
        <v>356</v>
      </c>
      <c r="E95" s="63"/>
      <c r="F95" s="64"/>
      <c r="G95" s="65" t="s">
        <v>357</v>
      </c>
      <c r="H95" s="79"/>
      <c r="I95" s="80"/>
      <c r="J95" s="66"/>
      <c r="K95" s="79"/>
      <c r="L95" s="80"/>
      <c r="M95" s="5"/>
      <c r="N95" s="6">
        <v>46113</v>
      </c>
      <c r="O95" s="15"/>
    </row>
    <row r="96" spans="1:15">
      <c r="A96" s="10">
        <v>91</v>
      </c>
      <c r="B96" s="9"/>
      <c r="C96" s="17" t="s">
        <v>358</v>
      </c>
      <c r="D96" s="62" t="s">
        <v>359</v>
      </c>
      <c r="E96" s="63"/>
      <c r="F96" s="64"/>
      <c r="G96" s="65" t="s">
        <v>360</v>
      </c>
      <c r="H96" s="79"/>
      <c r="I96" s="80"/>
      <c r="J96" s="66"/>
      <c r="K96" s="79"/>
      <c r="L96" s="80"/>
      <c r="M96" s="5"/>
      <c r="N96" s="6">
        <v>46113</v>
      </c>
      <c r="O96" s="15"/>
    </row>
    <row r="97" spans="1:15">
      <c r="A97" s="10">
        <v>92</v>
      </c>
      <c r="B97" s="9"/>
      <c r="C97" s="17" t="s">
        <v>361</v>
      </c>
      <c r="D97" s="62" t="s">
        <v>362</v>
      </c>
      <c r="E97" s="63"/>
      <c r="F97" s="64"/>
      <c r="G97" s="65" t="s">
        <v>363</v>
      </c>
      <c r="H97" s="79"/>
      <c r="I97" s="80"/>
      <c r="J97" s="66"/>
      <c r="K97" s="79"/>
      <c r="L97" s="80"/>
      <c r="M97" s="5"/>
      <c r="N97" s="6">
        <v>46113</v>
      </c>
      <c r="O97" s="15"/>
    </row>
    <row r="98" spans="1:15">
      <c r="A98" s="10">
        <v>93</v>
      </c>
      <c r="B98" s="9"/>
      <c r="C98" s="17" t="s">
        <v>364</v>
      </c>
      <c r="D98" s="62" t="s">
        <v>365</v>
      </c>
      <c r="E98" s="63"/>
      <c r="F98" s="64"/>
      <c r="G98" s="65" t="s">
        <v>366</v>
      </c>
      <c r="H98" s="79"/>
      <c r="I98" s="80"/>
      <c r="J98" s="66"/>
      <c r="K98" s="79"/>
      <c r="L98" s="80"/>
      <c r="M98" s="5"/>
      <c r="N98" s="6">
        <v>46113</v>
      </c>
      <c r="O98" s="15"/>
    </row>
    <row r="99" spans="1:15">
      <c r="A99" s="10">
        <v>94</v>
      </c>
      <c r="B99" s="9"/>
      <c r="C99" s="17" t="s">
        <v>367</v>
      </c>
      <c r="D99" s="62" t="s">
        <v>368</v>
      </c>
      <c r="E99" s="63"/>
      <c r="F99" s="64"/>
      <c r="G99" s="65" t="s">
        <v>369</v>
      </c>
      <c r="H99" s="79"/>
      <c r="I99" s="80"/>
      <c r="J99" s="66"/>
      <c r="K99" s="79"/>
      <c r="L99" s="80"/>
      <c r="M99" s="5"/>
      <c r="N99" s="6">
        <v>46120</v>
      </c>
      <c r="O99" s="15"/>
    </row>
    <row r="100" spans="1:15">
      <c r="A100" s="10">
        <v>95</v>
      </c>
      <c r="B100" s="9"/>
      <c r="C100" s="17" t="s">
        <v>370</v>
      </c>
      <c r="D100" s="62" t="s">
        <v>371</v>
      </c>
      <c r="E100" s="63"/>
      <c r="F100" s="64"/>
      <c r="G100" s="65" t="s">
        <v>372</v>
      </c>
      <c r="H100" s="79"/>
      <c r="I100" s="80"/>
      <c r="J100" s="66"/>
      <c r="K100" s="79"/>
      <c r="L100" s="80"/>
      <c r="M100" s="5"/>
      <c r="N100" s="6">
        <v>46120</v>
      </c>
      <c r="O100" s="15"/>
    </row>
    <row r="101" spans="1:15">
      <c r="A101" s="10">
        <v>96</v>
      </c>
      <c r="B101" s="9"/>
      <c r="C101" s="17" t="s">
        <v>373</v>
      </c>
      <c r="D101" s="62" t="s">
        <v>374</v>
      </c>
      <c r="E101" s="63"/>
      <c r="F101" s="64"/>
      <c r="G101" s="65" t="s">
        <v>375</v>
      </c>
      <c r="H101" s="79"/>
      <c r="I101" s="80"/>
      <c r="J101" s="66"/>
      <c r="K101" s="79"/>
      <c r="L101" s="80"/>
      <c r="M101" s="5"/>
      <c r="N101" s="6">
        <v>46120</v>
      </c>
      <c r="O101" s="15"/>
    </row>
    <row r="102" spans="1:15">
      <c r="A102" s="10">
        <v>97</v>
      </c>
      <c r="B102" s="9"/>
      <c r="C102" s="17" t="s">
        <v>376</v>
      </c>
      <c r="D102" s="62" t="s">
        <v>377</v>
      </c>
      <c r="E102" s="63"/>
      <c r="F102" s="64"/>
      <c r="G102" s="65" t="s">
        <v>378</v>
      </c>
      <c r="H102" s="79"/>
      <c r="I102" s="80"/>
      <c r="J102" s="66"/>
      <c r="K102" s="79"/>
      <c r="L102" s="80"/>
      <c r="M102" s="5"/>
      <c r="N102" s="6">
        <v>46120</v>
      </c>
      <c r="O102" s="15"/>
    </row>
    <row r="103" spans="1:15">
      <c r="A103" s="10">
        <v>98</v>
      </c>
      <c r="B103" s="9"/>
      <c r="C103" s="17" t="s">
        <v>379</v>
      </c>
      <c r="D103" s="62" t="s">
        <v>380</v>
      </c>
      <c r="E103" s="63"/>
      <c r="F103" s="64"/>
      <c r="G103" s="65" t="s">
        <v>381</v>
      </c>
      <c r="H103" s="79"/>
      <c r="I103" s="80"/>
      <c r="J103" s="66"/>
      <c r="K103" s="79"/>
      <c r="L103" s="80"/>
      <c r="M103" s="5"/>
      <c r="N103" s="6">
        <v>46120</v>
      </c>
      <c r="O103" s="15"/>
    </row>
    <row r="104" spans="1:15">
      <c r="A104" s="10">
        <v>99</v>
      </c>
      <c r="B104" s="9"/>
      <c r="C104" s="17" t="s">
        <v>382</v>
      </c>
      <c r="D104" s="62" t="s">
        <v>383</v>
      </c>
      <c r="E104" s="63"/>
      <c r="F104" s="64"/>
      <c r="G104" s="65" t="s">
        <v>384</v>
      </c>
      <c r="H104" s="79"/>
      <c r="I104" s="80"/>
      <c r="J104" s="66"/>
      <c r="K104" s="79"/>
      <c r="L104" s="80"/>
      <c r="M104" s="5"/>
      <c r="N104" s="6">
        <v>46120</v>
      </c>
      <c r="O104" s="15"/>
    </row>
    <row r="105" spans="1:15">
      <c r="A105" s="10">
        <v>100</v>
      </c>
      <c r="B105" s="9"/>
      <c r="C105" s="17" t="s">
        <v>385</v>
      </c>
      <c r="D105" s="62" t="s">
        <v>386</v>
      </c>
      <c r="E105" s="63"/>
      <c r="F105" s="64"/>
      <c r="G105" s="65" t="s">
        <v>387</v>
      </c>
      <c r="H105" s="79"/>
      <c r="I105" s="80"/>
      <c r="J105" s="66"/>
      <c r="K105" s="79"/>
      <c r="L105" s="80"/>
      <c r="M105" s="5"/>
      <c r="N105" s="6">
        <v>46120</v>
      </c>
      <c r="O105" s="15"/>
    </row>
    <row r="106" spans="1:15">
      <c r="A106" s="10">
        <v>101</v>
      </c>
      <c r="B106" s="9"/>
      <c r="C106" s="17" t="s">
        <v>388</v>
      </c>
      <c r="D106" s="62" t="s">
        <v>389</v>
      </c>
      <c r="E106" s="63"/>
      <c r="F106" s="64"/>
      <c r="G106" s="65" t="s">
        <v>390</v>
      </c>
      <c r="H106" s="79"/>
      <c r="I106" s="80"/>
      <c r="J106" s="66"/>
      <c r="K106" s="79"/>
      <c r="L106" s="80"/>
      <c r="M106" s="5"/>
      <c r="N106" s="6">
        <v>46120</v>
      </c>
      <c r="O106" s="15"/>
    </row>
  </sheetData>
  <mergeCells count="307">
    <mergeCell ref="J102:L102"/>
    <mergeCell ref="J103:L103"/>
    <mergeCell ref="J104:L104"/>
    <mergeCell ref="J105:L105"/>
    <mergeCell ref="J106:L106"/>
    <mergeCell ref="J96:L96"/>
    <mergeCell ref="J97:L97"/>
    <mergeCell ref="J98:L98"/>
    <mergeCell ref="J99:L99"/>
    <mergeCell ref="J100:L100"/>
    <mergeCell ref="J101:L101"/>
    <mergeCell ref="J90:L90"/>
    <mergeCell ref="J91:L91"/>
    <mergeCell ref="J92:L92"/>
    <mergeCell ref="J93:L93"/>
    <mergeCell ref="J94:L94"/>
    <mergeCell ref="J95:L95"/>
    <mergeCell ref="J84:L84"/>
    <mergeCell ref="J85:L85"/>
    <mergeCell ref="J86:L86"/>
    <mergeCell ref="J87:L87"/>
    <mergeCell ref="J88:L88"/>
    <mergeCell ref="J89:L89"/>
    <mergeCell ref="J78:L78"/>
    <mergeCell ref="J79:L79"/>
    <mergeCell ref="J80:L80"/>
    <mergeCell ref="J81:L81"/>
    <mergeCell ref="J82:L82"/>
    <mergeCell ref="J83:L83"/>
    <mergeCell ref="J72:L72"/>
    <mergeCell ref="J73:L73"/>
    <mergeCell ref="J74:L74"/>
    <mergeCell ref="J75:L75"/>
    <mergeCell ref="J76:L76"/>
    <mergeCell ref="J77:L77"/>
    <mergeCell ref="J66:L66"/>
    <mergeCell ref="J67:L67"/>
    <mergeCell ref="J68:L68"/>
    <mergeCell ref="J69:L69"/>
    <mergeCell ref="J70:L70"/>
    <mergeCell ref="J71:L71"/>
    <mergeCell ref="J60:L60"/>
    <mergeCell ref="J61:L61"/>
    <mergeCell ref="J62:L62"/>
    <mergeCell ref="J63:L63"/>
    <mergeCell ref="J64:L64"/>
    <mergeCell ref="J65:L65"/>
    <mergeCell ref="J54:L54"/>
    <mergeCell ref="J55:L55"/>
    <mergeCell ref="J56:L56"/>
    <mergeCell ref="J57:L57"/>
    <mergeCell ref="J58:L58"/>
    <mergeCell ref="J59:L59"/>
    <mergeCell ref="J48:L48"/>
    <mergeCell ref="J49:L49"/>
    <mergeCell ref="J50:L50"/>
    <mergeCell ref="J51:L51"/>
    <mergeCell ref="J52:L52"/>
    <mergeCell ref="J53:L53"/>
    <mergeCell ref="J42:L42"/>
    <mergeCell ref="J43:L43"/>
    <mergeCell ref="J44:L44"/>
    <mergeCell ref="J45:L45"/>
    <mergeCell ref="J46:L46"/>
    <mergeCell ref="J47:L47"/>
    <mergeCell ref="J36:L36"/>
    <mergeCell ref="J37:L37"/>
    <mergeCell ref="J38:L38"/>
    <mergeCell ref="J39:L39"/>
    <mergeCell ref="J40:L40"/>
    <mergeCell ref="J41:L41"/>
    <mergeCell ref="J30:L30"/>
    <mergeCell ref="J31:L31"/>
    <mergeCell ref="J32:L32"/>
    <mergeCell ref="J33:L33"/>
    <mergeCell ref="J34:L34"/>
    <mergeCell ref="J35:L35"/>
    <mergeCell ref="G101:I101"/>
    <mergeCell ref="G102:I102"/>
    <mergeCell ref="G103:I103"/>
    <mergeCell ref="G89:I89"/>
    <mergeCell ref="G90:I90"/>
    <mergeCell ref="G91:I91"/>
    <mergeCell ref="G92:I92"/>
    <mergeCell ref="G93:I93"/>
    <mergeCell ref="G94:I94"/>
    <mergeCell ref="G83:I83"/>
    <mergeCell ref="G84:I84"/>
    <mergeCell ref="G85:I85"/>
    <mergeCell ref="G86:I86"/>
    <mergeCell ref="G87:I87"/>
    <mergeCell ref="G88:I88"/>
    <mergeCell ref="G77:I77"/>
    <mergeCell ref="G78:I78"/>
    <mergeCell ref="G79:I79"/>
    <mergeCell ref="G104:I104"/>
    <mergeCell ref="G105:I105"/>
    <mergeCell ref="G106:I106"/>
    <mergeCell ref="G95:I95"/>
    <mergeCell ref="G96:I96"/>
    <mergeCell ref="G97:I97"/>
    <mergeCell ref="G98:I98"/>
    <mergeCell ref="G99:I99"/>
    <mergeCell ref="G100:I100"/>
    <mergeCell ref="G80:I80"/>
    <mergeCell ref="G81:I81"/>
    <mergeCell ref="G82:I82"/>
    <mergeCell ref="G71:I71"/>
    <mergeCell ref="G72:I72"/>
    <mergeCell ref="G73:I73"/>
    <mergeCell ref="G74:I74"/>
    <mergeCell ref="G75:I75"/>
    <mergeCell ref="G76:I76"/>
    <mergeCell ref="G65:I65"/>
    <mergeCell ref="G66:I66"/>
    <mergeCell ref="G67:I67"/>
    <mergeCell ref="G68:I68"/>
    <mergeCell ref="G69:I69"/>
    <mergeCell ref="G70:I70"/>
    <mergeCell ref="G59:I59"/>
    <mergeCell ref="G60:I60"/>
    <mergeCell ref="G61:I61"/>
    <mergeCell ref="G62:I62"/>
    <mergeCell ref="G63:I63"/>
    <mergeCell ref="G64:I64"/>
    <mergeCell ref="G53:I53"/>
    <mergeCell ref="G54:I54"/>
    <mergeCell ref="G55:I55"/>
    <mergeCell ref="G56:I56"/>
    <mergeCell ref="G57:I57"/>
    <mergeCell ref="G58:I58"/>
    <mergeCell ref="G47:I47"/>
    <mergeCell ref="G48:I48"/>
    <mergeCell ref="G49:I49"/>
    <mergeCell ref="G50:I50"/>
    <mergeCell ref="G51:I51"/>
    <mergeCell ref="G52:I52"/>
    <mergeCell ref="G41:I41"/>
    <mergeCell ref="G42:I42"/>
    <mergeCell ref="G43:I43"/>
    <mergeCell ref="G44:I44"/>
    <mergeCell ref="G45:I45"/>
    <mergeCell ref="G46:I46"/>
    <mergeCell ref="G35:I35"/>
    <mergeCell ref="G36:I36"/>
    <mergeCell ref="G37:I37"/>
    <mergeCell ref="G38:I38"/>
    <mergeCell ref="G39:I39"/>
    <mergeCell ref="G40:I40"/>
    <mergeCell ref="D102:F102"/>
    <mergeCell ref="D103:F103"/>
    <mergeCell ref="D104:F104"/>
    <mergeCell ref="D105:F105"/>
    <mergeCell ref="D106:F106"/>
    <mergeCell ref="G30:I30"/>
    <mergeCell ref="G31:I31"/>
    <mergeCell ref="G32:I32"/>
    <mergeCell ref="G33:I33"/>
    <mergeCell ref="G34:I34"/>
    <mergeCell ref="D96:F96"/>
    <mergeCell ref="D97:F97"/>
    <mergeCell ref="D98:F98"/>
    <mergeCell ref="D99:F99"/>
    <mergeCell ref="D100:F100"/>
    <mergeCell ref="D101:F101"/>
    <mergeCell ref="D90:F90"/>
    <mergeCell ref="D91:F91"/>
    <mergeCell ref="D92:F92"/>
    <mergeCell ref="D93:F93"/>
    <mergeCell ref="D94:F94"/>
    <mergeCell ref="D95:F95"/>
    <mergeCell ref="D84:F84"/>
    <mergeCell ref="D85:F85"/>
    <mergeCell ref="D86:F86"/>
    <mergeCell ref="D87:F87"/>
    <mergeCell ref="D88:F88"/>
    <mergeCell ref="D89:F89"/>
    <mergeCell ref="D78:F78"/>
    <mergeCell ref="D79:F79"/>
    <mergeCell ref="D80:F80"/>
    <mergeCell ref="D81:F81"/>
    <mergeCell ref="D82:F82"/>
    <mergeCell ref="D83:F83"/>
    <mergeCell ref="D72:F72"/>
    <mergeCell ref="D73:F73"/>
    <mergeCell ref="D74:F74"/>
    <mergeCell ref="D75:F75"/>
    <mergeCell ref="D76:F76"/>
    <mergeCell ref="D77:F77"/>
    <mergeCell ref="D66:F66"/>
    <mergeCell ref="D67:F67"/>
    <mergeCell ref="D68:F68"/>
    <mergeCell ref="D69:F69"/>
    <mergeCell ref="D70:F70"/>
    <mergeCell ref="D71:F71"/>
    <mergeCell ref="D60:F60"/>
    <mergeCell ref="D61:F61"/>
    <mergeCell ref="D62:F62"/>
    <mergeCell ref="D63:F63"/>
    <mergeCell ref="D64:F64"/>
    <mergeCell ref="D65:F65"/>
    <mergeCell ref="D54:F54"/>
    <mergeCell ref="D55:F55"/>
    <mergeCell ref="D56:F56"/>
    <mergeCell ref="D57:F57"/>
    <mergeCell ref="D58:F58"/>
    <mergeCell ref="D59:F59"/>
    <mergeCell ref="D48:F48"/>
    <mergeCell ref="D49:F49"/>
    <mergeCell ref="D50:F50"/>
    <mergeCell ref="D51:F51"/>
    <mergeCell ref="D52:F52"/>
    <mergeCell ref="D53:F53"/>
    <mergeCell ref="D42:F42"/>
    <mergeCell ref="D43:F43"/>
    <mergeCell ref="D44:F44"/>
    <mergeCell ref="D45:F45"/>
    <mergeCell ref="D46:F46"/>
    <mergeCell ref="D47:F47"/>
    <mergeCell ref="D36:F36"/>
    <mergeCell ref="D37:F37"/>
    <mergeCell ref="D38:F38"/>
    <mergeCell ref="D39:F39"/>
    <mergeCell ref="D40:F40"/>
    <mergeCell ref="D41:F41"/>
    <mergeCell ref="D30:F30"/>
    <mergeCell ref="D31:F31"/>
    <mergeCell ref="D32:F32"/>
    <mergeCell ref="D33:F33"/>
    <mergeCell ref="D34:F34"/>
    <mergeCell ref="D35:F35"/>
    <mergeCell ref="D28:F28"/>
    <mergeCell ref="G28:I28"/>
    <mergeCell ref="J28:L28"/>
    <mergeCell ref="D29:F29"/>
    <mergeCell ref="G29:I29"/>
    <mergeCell ref="J29:L29"/>
    <mergeCell ref="D26:F26"/>
    <mergeCell ref="G26:I26"/>
    <mergeCell ref="J26:L26"/>
    <mergeCell ref="D27:F27"/>
    <mergeCell ref="G27:I27"/>
    <mergeCell ref="J27:L27"/>
    <mergeCell ref="D24:F24"/>
    <mergeCell ref="G24:I24"/>
    <mergeCell ref="J24:L24"/>
    <mergeCell ref="D25:F25"/>
    <mergeCell ref="G25:I25"/>
    <mergeCell ref="J25:L25"/>
    <mergeCell ref="D22:F22"/>
    <mergeCell ref="G22:I22"/>
    <mergeCell ref="J22:L22"/>
    <mergeCell ref="D23:F23"/>
    <mergeCell ref="G23:I23"/>
    <mergeCell ref="J23:L23"/>
    <mergeCell ref="D20:F20"/>
    <mergeCell ref="G20:I20"/>
    <mergeCell ref="J20:L20"/>
    <mergeCell ref="D21:F21"/>
    <mergeCell ref="G21:I21"/>
    <mergeCell ref="J21:L21"/>
    <mergeCell ref="D18:F18"/>
    <mergeCell ref="G18:I18"/>
    <mergeCell ref="J18:L18"/>
    <mergeCell ref="D19:F19"/>
    <mergeCell ref="G19:I19"/>
    <mergeCell ref="J19:L19"/>
    <mergeCell ref="D16:F16"/>
    <mergeCell ref="G16:I16"/>
    <mergeCell ref="J16:L16"/>
    <mergeCell ref="D17:F17"/>
    <mergeCell ref="G17:I17"/>
    <mergeCell ref="J17:L17"/>
    <mergeCell ref="D14:F14"/>
    <mergeCell ref="G14:I14"/>
    <mergeCell ref="J14:L14"/>
    <mergeCell ref="D15:F15"/>
    <mergeCell ref="G15:I15"/>
    <mergeCell ref="J15:L15"/>
    <mergeCell ref="D13:F13"/>
    <mergeCell ref="G13:I13"/>
    <mergeCell ref="J13:L13"/>
    <mergeCell ref="D10:F10"/>
    <mergeCell ref="G10:I10"/>
    <mergeCell ref="J10:L10"/>
    <mergeCell ref="D11:F11"/>
    <mergeCell ref="G11:I11"/>
    <mergeCell ref="J11:L11"/>
    <mergeCell ref="D8:F8"/>
    <mergeCell ref="G8:I8"/>
    <mergeCell ref="J8:L8"/>
    <mergeCell ref="D9:F9"/>
    <mergeCell ref="G9:I9"/>
    <mergeCell ref="J9:L9"/>
    <mergeCell ref="D12:F12"/>
    <mergeCell ref="G12:I12"/>
    <mergeCell ref="J12:L12"/>
    <mergeCell ref="B2:K3"/>
    <mergeCell ref="D5:F5"/>
    <mergeCell ref="G5:I5"/>
    <mergeCell ref="J5:L5"/>
    <mergeCell ref="D6:F6"/>
    <mergeCell ref="G6:I6"/>
    <mergeCell ref="J6:L6"/>
    <mergeCell ref="D7:F7"/>
    <mergeCell ref="G7:I7"/>
    <mergeCell ref="J7:L7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FABE-F322-4017-8559-787C66BCEA19}">
  <dimension ref="A1"/>
  <sheetViews>
    <sheetView workbookViewId="0">
      <selection activeCell="E20" sqref="E20"/>
    </sheetView>
  </sheetViews>
  <sheetFormatPr defaultColWidth="11.42578125" defaultRowHeight="14.45"/>
  <sheetData/>
  <pageMargins left="0.7" right="0.7" top="0.75" bottom="0.75" header="0.3" footer="0.3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0D6D-3703-48A6-946A-A1D3CD4971A4}">
  <dimension ref="A2:O76"/>
  <sheetViews>
    <sheetView workbookViewId="0">
      <selection activeCell="A5" sqref="A5:XFD5"/>
    </sheetView>
  </sheetViews>
  <sheetFormatPr defaultColWidth="11.42578125" defaultRowHeight="14.45"/>
  <cols>
    <col min="1" max="1" width="3.140625" bestFit="1" customWidth="1"/>
    <col min="2" max="2" width="27" bestFit="1" customWidth="1"/>
    <col min="3" max="3" width="34.42578125" bestFit="1" customWidth="1"/>
    <col min="13" max="13" width="21.85546875" bestFit="1" customWidth="1"/>
    <col min="14" max="14" width="12.5703125" bestFit="1" customWidth="1"/>
  </cols>
  <sheetData>
    <row r="2" spans="1:15">
      <c r="B2" s="58" t="s">
        <v>391</v>
      </c>
      <c r="C2" s="78"/>
      <c r="D2" s="78"/>
      <c r="E2" s="78"/>
      <c r="F2" s="78"/>
      <c r="G2" s="78"/>
      <c r="H2" s="78"/>
      <c r="I2" s="78"/>
      <c r="J2" s="78"/>
      <c r="K2" s="78"/>
    </row>
    <row r="3" spans="1:15">
      <c r="B3" s="78"/>
      <c r="C3" s="78"/>
      <c r="D3" s="78"/>
      <c r="E3" s="78"/>
      <c r="F3" s="78"/>
      <c r="G3" s="78"/>
      <c r="H3" s="78"/>
      <c r="I3" s="78"/>
      <c r="J3" s="78"/>
      <c r="K3" s="78"/>
    </row>
    <row r="5" spans="1:15">
      <c r="A5" s="1" t="s">
        <v>89</v>
      </c>
      <c r="B5" s="1" t="s">
        <v>42</v>
      </c>
      <c r="C5" s="1" t="s">
        <v>43</v>
      </c>
      <c r="D5" s="49" t="s">
        <v>44</v>
      </c>
      <c r="E5" s="79"/>
      <c r="F5" s="80"/>
      <c r="G5" s="49" t="s">
        <v>45</v>
      </c>
      <c r="H5" s="79"/>
      <c r="I5" s="80"/>
      <c r="J5" s="49" t="s">
        <v>46</v>
      </c>
      <c r="K5" s="79"/>
      <c r="L5" s="80"/>
      <c r="M5" s="2" t="s">
        <v>47</v>
      </c>
      <c r="N5" s="3" t="s">
        <v>90</v>
      </c>
      <c r="O5" s="14" t="s">
        <v>91</v>
      </c>
    </row>
    <row r="6" spans="1:15">
      <c r="A6" s="10">
        <v>1</v>
      </c>
      <c r="B6" s="9"/>
      <c r="C6" s="4" t="s">
        <v>392</v>
      </c>
      <c r="D6" s="67" t="s">
        <v>393</v>
      </c>
      <c r="E6" s="68"/>
      <c r="F6" s="69"/>
      <c r="G6" s="65" t="s">
        <v>394</v>
      </c>
      <c r="H6" s="79"/>
      <c r="I6" s="80"/>
      <c r="J6" s="66" t="s">
        <v>395</v>
      </c>
      <c r="K6" s="79"/>
      <c r="L6" s="80"/>
      <c r="M6" s="5"/>
      <c r="N6" s="6">
        <v>46088</v>
      </c>
      <c r="O6" s="71">
        <v>30.5</v>
      </c>
    </row>
    <row r="7" spans="1:15">
      <c r="A7" s="10">
        <v>2</v>
      </c>
      <c r="B7" s="9"/>
      <c r="C7" s="4" t="s">
        <v>396</v>
      </c>
      <c r="D7" s="67" t="s">
        <v>397</v>
      </c>
      <c r="E7" s="68"/>
      <c r="F7" s="69"/>
      <c r="G7" s="65" t="s">
        <v>398</v>
      </c>
      <c r="H7" s="79"/>
      <c r="I7" s="80"/>
      <c r="J7" s="66" t="s">
        <v>399</v>
      </c>
      <c r="K7" s="79"/>
      <c r="L7" s="80"/>
      <c r="M7" s="5"/>
      <c r="N7" s="6">
        <v>46088</v>
      </c>
      <c r="O7" s="72"/>
    </row>
    <row r="8" spans="1:15">
      <c r="A8" s="10">
        <v>3</v>
      </c>
      <c r="B8" s="9"/>
      <c r="C8" s="4" t="s">
        <v>400</v>
      </c>
      <c r="D8" s="67" t="s">
        <v>401</v>
      </c>
      <c r="E8" s="68"/>
      <c r="F8" s="69"/>
      <c r="G8" s="65" t="s">
        <v>402</v>
      </c>
      <c r="H8" s="79"/>
      <c r="I8" s="80"/>
      <c r="J8" s="66" t="s">
        <v>403</v>
      </c>
      <c r="K8" s="79"/>
      <c r="L8" s="80"/>
      <c r="M8" s="5"/>
      <c r="N8" s="6">
        <v>46088</v>
      </c>
      <c r="O8" s="72"/>
    </row>
    <row r="9" spans="1:15">
      <c r="A9" s="10">
        <v>4</v>
      </c>
      <c r="B9" s="9"/>
      <c r="C9" s="4" t="s">
        <v>404</v>
      </c>
      <c r="D9" s="67" t="s">
        <v>405</v>
      </c>
      <c r="E9" s="68"/>
      <c r="F9" s="69"/>
      <c r="G9" s="65" t="s">
        <v>406</v>
      </c>
      <c r="H9" s="79"/>
      <c r="I9" s="80"/>
      <c r="J9" s="66" t="s">
        <v>403</v>
      </c>
      <c r="K9" s="79"/>
      <c r="L9" s="80"/>
      <c r="M9" s="5"/>
      <c r="N9" s="6">
        <v>46088</v>
      </c>
      <c r="O9" s="72"/>
    </row>
    <row r="10" spans="1:15">
      <c r="A10" s="10">
        <v>5</v>
      </c>
      <c r="B10" s="9"/>
      <c r="C10" s="4" t="s">
        <v>407</v>
      </c>
      <c r="D10" s="67" t="s">
        <v>408</v>
      </c>
      <c r="E10" s="68"/>
      <c r="F10" s="69"/>
      <c r="G10" s="65" t="s">
        <v>409</v>
      </c>
      <c r="H10" s="79"/>
      <c r="I10" s="80"/>
      <c r="J10" s="66" t="s">
        <v>410</v>
      </c>
      <c r="K10" s="79"/>
      <c r="L10" s="80"/>
      <c r="M10" s="5"/>
      <c r="N10" s="6">
        <v>46088</v>
      </c>
      <c r="O10" s="72"/>
    </row>
    <row r="11" spans="1:15">
      <c r="A11" s="10">
        <v>6</v>
      </c>
      <c r="B11" s="9"/>
      <c r="C11" s="4" t="s">
        <v>411</v>
      </c>
      <c r="D11" s="67" t="s">
        <v>412</v>
      </c>
      <c r="E11" s="68"/>
      <c r="F11" s="69"/>
      <c r="G11" s="65" t="s">
        <v>83</v>
      </c>
      <c r="H11" s="79"/>
      <c r="I11" s="80"/>
      <c r="J11" s="66" t="s">
        <v>413</v>
      </c>
      <c r="K11" s="79"/>
      <c r="L11" s="80"/>
      <c r="M11" s="5"/>
      <c r="N11" s="6">
        <v>46088</v>
      </c>
      <c r="O11" s="72"/>
    </row>
    <row r="12" spans="1:15">
      <c r="A12" s="10">
        <v>7</v>
      </c>
      <c r="B12" s="9"/>
      <c r="C12" s="4" t="s">
        <v>414</v>
      </c>
      <c r="D12" s="67" t="s">
        <v>415</v>
      </c>
      <c r="E12" s="68"/>
      <c r="F12" s="69"/>
      <c r="G12" s="65" t="s">
        <v>416</v>
      </c>
      <c r="H12" s="79"/>
      <c r="I12" s="80"/>
      <c r="J12" s="66"/>
      <c r="K12" s="79"/>
      <c r="L12" s="80"/>
      <c r="M12" s="5"/>
      <c r="N12" s="6">
        <v>46088</v>
      </c>
      <c r="O12" s="72"/>
    </row>
    <row r="13" spans="1:15">
      <c r="A13" s="10">
        <v>8</v>
      </c>
      <c r="B13" s="9"/>
      <c r="C13" s="4" t="s">
        <v>417</v>
      </c>
      <c r="D13" s="67" t="s">
        <v>418</v>
      </c>
      <c r="E13" s="68"/>
      <c r="F13" s="69"/>
      <c r="G13" s="65" t="s">
        <v>419</v>
      </c>
      <c r="H13" s="79"/>
      <c r="I13" s="80"/>
      <c r="J13" s="66" t="s">
        <v>420</v>
      </c>
      <c r="K13" s="79"/>
      <c r="L13" s="80"/>
      <c r="M13" s="5"/>
      <c r="N13" s="6">
        <v>46088</v>
      </c>
      <c r="O13" s="72"/>
    </row>
    <row r="14" spans="1:15">
      <c r="A14" s="10">
        <v>9</v>
      </c>
      <c r="B14" s="9"/>
      <c r="C14" s="4" t="s">
        <v>421</v>
      </c>
      <c r="D14" s="67" t="s">
        <v>422</v>
      </c>
      <c r="E14" s="68"/>
      <c r="F14" s="69"/>
      <c r="G14" s="65" t="s">
        <v>423</v>
      </c>
      <c r="H14" s="79"/>
      <c r="I14" s="80"/>
      <c r="J14" s="66" t="s">
        <v>423</v>
      </c>
      <c r="K14" s="79"/>
      <c r="L14" s="80"/>
      <c r="M14" s="5"/>
      <c r="N14" s="6">
        <v>46088</v>
      </c>
      <c r="O14" s="72"/>
    </row>
    <row r="15" spans="1:15">
      <c r="A15" s="10">
        <v>10</v>
      </c>
      <c r="B15" s="9"/>
      <c r="C15" s="4" t="s">
        <v>424</v>
      </c>
      <c r="D15" s="67" t="s">
        <v>425</v>
      </c>
      <c r="E15" s="68"/>
      <c r="F15" s="69"/>
      <c r="G15" s="65" t="s">
        <v>426</v>
      </c>
      <c r="H15" s="79"/>
      <c r="I15" s="80"/>
      <c r="J15" s="66"/>
      <c r="K15" s="79"/>
      <c r="L15" s="80"/>
      <c r="M15" s="5"/>
      <c r="N15" s="6">
        <v>46088</v>
      </c>
      <c r="O15" s="72"/>
    </row>
    <row r="16" spans="1:15">
      <c r="A16" s="10">
        <v>11</v>
      </c>
      <c r="B16" s="9"/>
      <c r="C16" s="4" t="s">
        <v>427</v>
      </c>
      <c r="D16" s="67" t="s">
        <v>428</v>
      </c>
      <c r="E16" s="68"/>
      <c r="F16" s="69"/>
      <c r="G16" s="65" t="s">
        <v>429</v>
      </c>
      <c r="H16" s="79"/>
      <c r="I16" s="80"/>
      <c r="J16" s="66"/>
      <c r="K16" s="79"/>
      <c r="L16" s="80"/>
      <c r="M16" s="5"/>
      <c r="N16" s="6">
        <v>46088</v>
      </c>
      <c r="O16" s="72"/>
    </row>
    <row r="17" spans="1:15">
      <c r="A17" s="10">
        <v>12</v>
      </c>
      <c r="B17" s="9"/>
      <c r="C17" s="4" t="s">
        <v>430</v>
      </c>
      <c r="D17" s="67" t="s">
        <v>431</v>
      </c>
      <c r="E17" s="68"/>
      <c r="F17" s="69"/>
      <c r="G17" s="65" t="s">
        <v>432</v>
      </c>
      <c r="H17" s="79"/>
      <c r="I17" s="80"/>
      <c r="J17" s="66" t="s">
        <v>433</v>
      </c>
      <c r="K17" s="79"/>
      <c r="L17" s="80"/>
      <c r="M17" s="5"/>
      <c r="N17" s="6">
        <v>46088</v>
      </c>
      <c r="O17" s="72"/>
    </row>
    <row r="18" spans="1:15">
      <c r="A18" s="10">
        <v>13</v>
      </c>
      <c r="B18" s="9"/>
      <c r="C18" s="4" t="s">
        <v>434</v>
      </c>
      <c r="D18" s="67" t="s">
        <v>435</v>
      </c>
      <c r="E18" s="68"/>
      <c r="F18" s="69"/>
      <c r="G18" s="65" t="s">
        <v>436</v>
      </c>
      <c r="H18" s="79"/>
      <c r="I18" s="80"/>
      <c r="J18" s="66" t="s">
        <v>437</v>
      </c>
      <c r="K18" s="79"/>
      <c r="L18" s="80"/>
      <c r="M18" s="5"/>
      <c r="N18" s="6">
        <v>46088</v>
      </c>
      <c r="O18" s="72"/>
    </row>
    <row r="19" spans="1:15">
      <c r="A19" s="10">
        <v>14</v>
      </c>
      <c r="B19" s="9"/>
      <c r="C19" s="4" t="s">
        <v>438</v>
      </c>
      <c r="D19" s="67" t="s">
        <v>439</v>
      </c>
      <c r="E19" s="68"/>
      <c r="F19" s="69"/>
      <c r="G19" s="65" t="s">
        <v>440</v>
      </c>
      <c r="H19" s="79"/>
      <c r="I19" s="80"/>
      <c r="J19" s="66" t="s">
        <v>441</v>
      </c>
      <c r="K19" s="79"/>
      <c r="L19" s="80"/>
      <c r="M19" s="5"/>
      <c r="N19" s="6">
        <v>46088</v>
      </c>
      <c r="O19" s="72"/>
    </row>
    <row r="20" spans="1:15">
      <c r="A20" s="10">
        <v>15</v>
      </c>
      <c r="B20" s="9"/>
      <c r="C20" s="4" t="s">
        <v>442</v>
      </c>
      <c r="D20" s="67" t="s">
        <v>443</v>
      </c>
      <c r="E20" s="68"/>
      <c r="F20" s="69"/>
      <c r="G20" s="65" t="s">
        <v>444</v>
      </c>
      <c r="H20" s="79"/>
      <c r="I20" s="80"/>
      <c r="J20" s="66"/>
      <c r="K20" s="79"/>
      <c r="L20" s="80"/>
      <c r="M20" s="5"/>
      <c r="N20" s="6">
        <v>46088</v>
      </c>
      <c r="O20" s="72"/>
    </row>
    <row r="21" spans="1:15">
      <c r="A21" s="10">
        <v>16</v>
      </c>
      <c r="B21" s="9"/>
      <c r="C21" s="4" t="s">
        <v>445</v>
      </c>
      <c r="D21" s="67" t="s">
        <v>446</v>
      </c>
      <c r="E21" s="68"/>
      <c r="F21" s="69"/>
      <c r="G21" s="65" t="s">
        <v>447</v>
      </c>
      <c r="H21" s="79"/>
      <c r="I21" s="80"/>
      <c r="J21" s="66"/>
      <c r="K21" s="79"/>
      <c r="L21" s="80"/>
      <c r="M21" s="5"/>
      <c r="N21" s="6">
        <v>46088</v>
      </c>
      <c r="O21" s="72"/>
    </row>
    <row r="22" spans="1:15">
      <c r="A22" s="10">
        <v>17</v>
      </c>
      <c r="B22" s="9"/>
      <c r="C22" s="4" t="s">
        <v>448</v>
      </c>
      <c r="D22" s="67" t="s">
        <v>449</v>
      </c>
      <c r="E22" s="68"/>
      <c r="F22" s="69"/>
      <c r="G22" s="65" t="s">
        <v>450</v>
      </c>
      <c r="H22" s="79"/>
      <c r="I22" s="80"/>
      <c r="J22" s="66"/>
      <c r="K22" s="79"/>
      <c r="L22" s="80"/>
      <c r="M22" s="5"/>
      <c r="N22" s="6">
        <v>46088</v>
      </c>
      <c r="O22" s="72"/>
    </row>
    <row r="23" spans="1:15">
      <c r="A23" s="10">
        <v>18</v>
      </c>
      <c r="B23" s="9"/>
      <c r="C23" s="4" t="s">
        <v>61</v>
      </c>
      <c r="D23" s="67" t="s">
        <v>62</v>
      </c>
      <c r="E23" s="68"/>
      <c r="F23" s="69"/>
      <c r="G23" s="65" t="s">
        <v>63</v>
      </c>
      <c r="H23" s="79"/>
      <c r="I23" s="80"/>
      <c r="J23" s="66"/>
      <c r="K23" s="79"/>
      <c r="L23" s="80"/>
      <c r="M23" s="5"/>
      <c r="N23" s="6">
        <v>46088</v>
      </c>
      <c r="O23" s="73"/>
    </row>
    <row r="24" spans="1:15">
      <c r="A24" s="10">
        <v>19</v>
      </c>
      <c r="B24" s="9"/>
      <c r="C24" s="4"/>
      <c r="D24" s="67"/>
      <c r="E24" s="68"/>
      <c r="F24" s="69"/>
      <c r="G24" s="65"/>
      <c r="H24" s="79"/>
      <c r="I24" s="80"/>
      <c r="J24" s="66"/>
      <c r="K24" s="79"/>
      <c r="L24" s="80"/>
      <c r="M24" s="5"/>
      <c r="N24" s="6"/>
      <c r="O24" s="16"/>
    </row>
    <row r="25" spans="1:15">
      <c r="A25" s="10">
        <v>20</v>
      </c>
      <c r="B25" s="9"/>
      <c r="C25" s="4"/>
      <c r="D25" s="67"/>
      <c r="E25" s="68"/>
      <c r="F25" s="69"/>
      <c r="G25" s="65"/>
      <c r="H25" s="79"/>
      <c r="I25" s="80"/>
      <c r="J25" s="66"/>
      <c r="K25" s="79"/>
      <c r="L25" s="80"/>
      <c r="M25" s="5"/>
      <c r="N25" s="6"/>
      <c r="O25" s="16"/>
    </row>
    <row r="26" spans="1:15">
      <c r="A26" s="10">
        <v>21</v>
      </c>
      <c r="B26" s="9"/>
      <c r="C26" s="4"/>
      <c r="D26" s="70"/>
      <c r="E26" s="79"/>
      <c r="F26" s="80"/>
      <c r="G26" s="65"/>
      <c r="H26" s="79"/>
      <c r="I26" s="80"/>
      <c r="J26" s="66"/>
      <c r="K26" s="79"/>
      <c r="L26" s="80"/>
      <c r="M26" s="5"/>
      <c r="N26" s="6"/>
      <c r="O26" s="15"/>
    </row>
    <row r="27" spans="1:15">
      <c r="A27" s="10">
        <v>22</v>
      </c>
      <c r="B27" s="9"/>
      <c r="C27" s="4"/>
      <c r="D27" s="70"/>
      <c r="E27" s="79"/>
      <c r="F27" s="80"/>
      <c r="G27" s="65"/>
      <c r="H27" s="79"/>
      <c r="I27" s="80"/>
      <c r="J27" s="66"/>
      <c r="K27" s="79"/>
      <c r="L27" s="80"/>
      <c r="M27" s="5"/>
      <c r="N27" s="6"/>
      <c r="O27" s="15"/>
    </row>
    <row r="28" spans="1:15">
      <c r="A28" s="10">
        <v>23</v>
      </c>
      <c r="B28" s="9"/>
      <c r="C28" s="4"/>
      <c r="D28" s="70"/>
      <c r="E28" s="79"/>
      <c r="F28" s="80"/>
      <c r="G28" s="65"/>
      <c r="H28" s="79"/>
      <c r="I28" s="80"/>
      <c r="J28" s="66"/>
      <c r="K28" s="79"/>
      <c r="L28" s="80"/>
      <c r="M28" s="5"/>
      <c r="N28" s="6"/>
      <c r="O28" s="15"/>
    </row>
    <row r="29" spans="1:15">
      <c r="A29" s="10">
        <v>24</v>
      </c>
      <c r="B29" s="9"/>
      <c r="C29" s="4"/>
      <c r="D29" s="70"/>
      <c r="E29" s="79"/>
      <c r="F29" s="80"/>
      <c r="G29" s="65"/>
      <c r="H29" s="79"/>
      <c r="I29" s="80"/>
      <c r="J29" s="66"/>
      <c r="K29" s="79"/>
      <c r="L29" s="80"/>
      <c r="M29" s="5"/>
      <c r="N29" s="6"/>
      <c r="O29" s="15"/>
    </row>
    <row r="30" spans="1:15">
      <c r="A30" s="10">
        <v>25</v>
      </c>
      <c r="B30" s="9"/>
      <c r="C30" s="4"/>
      <c r="D30" s="70"/>
      <c r="E30" s="79"/>
      <c r="F30" s="80"/>
      <c r="G30" s="65"/>
      <c r="H30" s="79"/>
      <c r="I30" s="80"/>
      <c r="J30" s="66"/>
      <c r="K30" s="79"/>
      <c r="L30" s="80"/>
      <c r="M30" s="5"/>
      <c r="N30" s="6"/>
      <c r="O30" s="15"/>
    </row>
    <row r="31" spans="1:15">
      <c r="A31" s="10">
        <v>26</v>
      </c>
      <c r="B31" s="9"/>
      <c r="C31" s="4"/>
      <c r="D31" s="70"/>
      <c r="E31" s="79"/>
      <c r="F31" s="80"/>
      <c r="G31" s="65"/>
      <c r="H31" s="79"/>
      <c r="I31" s="80"/>
      <c r="J31" s="66"/>
      <c r="K31" s="79"/>
      <c r="L31" s="80"/>
      <c r="M31" s="5"/>
      <c r="N31" s="6"/>
      <c r="O31" s="15"/>
    </row>
    <row r="32" spans="1:15">
      <c r="A32" s="10">
        <v>27</v>
      </c>
      <c r="B32" s="9"/>
      <c r="C32" s="4"/>
      <c r="D32" s="70"/>
      <c r="E32" s="79"/>
      <c r="F32" s="80"/>
      <c r="G32" s="65"/>
      <c r="H32" s="79"/>
      <c r="I32" s="80"/>
      <c r="J32" s="66"/>
      <c r="K32" s="79"/>
      <c r="L32" s="80"/>
      <c r="M32" s="5"/>
      <c r="N32" s="6"/>
      <c r="O32" s="15"/>
    </row>
    <row r="33" spans="1:15">
      <c r="A33" s="10">
        <v>28</v>
      </c>
      <c r="B33" s="9"/>
      <c r="C33" s="4"/>
      <c r="D33" s="70"/>
      <c r="E33" s="79"/>
      <c r="F33" s="80"/>
      <c r="G33" s="65"/>
      <c r="H33" s="79"/>
      <c r="I33" s="80"/>
      <c r="J33" s="66"/>
      <c r="K33" s="79"/>
      <c r="L33" s="80"/>
      <c r="M33" s="5"/>
      <c r="N33" s="6"/>
      <c r="O33" s="15"/>
    </row>
    <row r="34" spans="1:15">
      <c r="A34" s="10">
        <v>29</v>
      </c>
      <c r="B34" s="9"/>
      <c r="C34" s="4"/>
      <c r="D34" s="70"/>
      <c r="E34" s="79"/>
      <c r="F34" s="80"/>
      <c r="G34" s="65"/>
      <c r="H34" s="79"/>
      <c r="I34" s="80"/>
      <c r="J34" s="66"/>
      <c r="K34" s="79"/>
      <c r="L34" s="80"/>
      <c r="M34" s="5"/>
      <c r="N34" s="6"/>
      <c r="O34" s="15"/>
    </row>
    <row r="35" spans="1:15">
      <c r="A35" s="10">
        <v>30</v>
      </c>
      <c r="B35" s="9"/>
      <c r="C35" s="4"/>
      <c r="D35" s="70"/>
      <c r="E35" s="79"/>
      <c r="F35" s="80"/>
      <c r="G35" s="65"/>
      <c r="H35" s="79"/>
      <c r="I35" s="80"/>
      <c r="J35" s="66"/>
      <c r="K35" s="79"/>
      <c r="L35" s="80"/>
      <c r="M35" s="5"/>
      <c r="N35" s="6"/>
      <c r="O35" s="15"/>
    </row>
    <row r="36" spans="1:15">
      <c r="A36" s="10">
        <v>31</v>
      </c>
      <c r="B36" s="9"/>
      <c r="C36" s="4"/>
      <c r="D36" s="70"/>
      <c r="E36" s="79"/>
      <c r="F36" s="80"/>
      <c r="G36" s="65"/>
      <c r="H36" s="79"/>
      <c r="I36" s="80"/>
      <c r="J36" s="66"/>
      <c r="K36" s="79"/>
      <c r="L36" s="80"/>
      <c r="M36" s="5"/>
      <c r="N36" s="6"/>
      <c r="O36" s="15"/>
    </row>
    <row r="37" spans="1:15">
      <c r="A37" s="10">
        <v>32</v>
      </c>
      <c r="B37" s="9"/>
      <c r="C37" s="4"/>
      <c r="D37" s="70"/>
      <c r="E37" s="79"/>
      <c r="F37" s="80"/>
      <c r="G37" s="65"/>
      <c r="H37" s="79"/>
      <c r="I37" s="80"/>
      <c r="J37" s="66"/>
      <c r="K37" s="79"/>
      <c r="L37" s="80"/>
      <c r="M37" s="5"/>
      <c r="N37" s="6"/>
      <c r="O37" s="15"/>
    </row>
    <row r="38" spans="1:15">
      <c r="A38" s="10">
        <v>33</v>
      </c>
      <c r="B38" s="9"/>
      <c r="C38" s="4"/>
      <c r="D38" s="70"/>
      <c r="E38" s="79"/>
      <c r="F38" s="80"/>
      <c r="G38" s="65"/>
      <c r="H38" s="79"/>
      <c r="I38" s="80"/>
      <c r="J38" s="66"/>
      <c r="K38" s="79"/>
      <c r="L38" s="80"/>
      <c r="M38" s="5"/>
      <c r="N38" s="6"/>
      <c r="O38" s="15"/>
    </row>
    <row r="39" spans="1:15">
      <c r="A39" s="10">
        <v>34</v>
      </c>
      <c r="B39" s="9"/>
      <c r="C39" s="4"/>
      <c r="D39" s="70"/>
      <c r="E39" s="79"/>
      <c r="F39" s="80"/>
      <c r="G39" s="65"/>
      <c r="H39" s="79"/>
      <c r="I39" s="80"/>
      <c r="J39" s="66"/>
      <c r="K39" s="79"/>
      <c r="L39" s="80"/>
      <c r="M39" s="5"/>
      <c r="N39" s="6"/>
      <c r="O39" s="15"/>
    </row>
    <row r="40" spans="1:15">
      <c r="A40" s="10">
        <v>35</v>
      </c>
      <c r="B40" s="9"/>
      <c r="C40" s="4"/>
      <c r="D40" s="70"/>
      <c r="E40" s="79"/>
      <c r="F40" s="80"/>
      <c r="G40" s="65"/>
      <c r="H40" s="79"/>
      <c r="I40" s="80"/>
      <c r="J40" s="66"/>
      <c r="K40" s="79"/>
      <c r="L40" s="80"/>
      <c r="M40" s="5"/>
      <c r="N40" s="6"/>
      <c r="O40" s="15"/>
    </row>
    <row r="41" spans="1:15">
      <c r="A41" s="10">
        <v>36</v>
      </c>
      <c r="B41" s="9"/>
      <c r="C41" s="4"/>
      <c r="D41" s="70"/>
      <c r="E41" s="79"/>
      <c r="F41" s="80"/>
      <c r="G41" s="65"/>
      <c r="H41" s="79"/>
      <c r="I41" s="80"/>
      <c r="J41" s="66"/>
      <c r="K41" s="79"/>
      <c r="L41" s="80"/>
      <c r="M41" s="5"/>
      <c r="N41" s="6"/>
      <c r="O41" s="15"/>
    </row>
    <row r="42" spans="1:15">
      <c r="A42" s="10">
        <v>37</v>
      </c>
      <c r="B42" s="9"/>
      <c r="C42" s="4"/>
      <c r="D42" s="70"/>
      <c r="E42" s="79"/>
      <c r="F42" s="80"/>
      <c r="G42" s="65"/>
      <c r="H42" s="79"/>
      <c r="I42" s="80"/>
      <c r="J42" s="66"/>
      <c r="K42" s="79"/>
      <c r="L42" s="80"/>
      <c r="M42" s="5"/>
      <c r="N42" s="6"/>
      <c r="O42" s="15"/>
    </row>
    <row r="43" spans="1:15">
      <c r="A43" s="10">
        <v>38</v>
      </c>
      <c r="B43" s="9"/>
      <c r="C43" s="4"/>
      <c r="D43" s="70"/>
      <c r="E43" s="79"/>
      <c r="F43" s="80"/>
      <c r="G43" s="65"/>
      <c r="H43" s="79"/>
      <c r="I43" s="80"/>
      <c r="J43" s="66"/>
      <c r="K43" s="79"/>
      <c r="L43" s="80"/>
      <c r="M43" s="5"/>
      <c r="N43" s="6"/>
      <c r="O43" s="15"/>
    </row>
    <row r="44" spans="1:15">
      <c r="A44" s="10">
        <v>39</v>
      </c>
      <c r="B44" s="9"/>
      <c r="C44" s="4"/>
      <c r="D44" s="70"/>
      <c r="E44" s="79"/>
      <c r="F44" s="80"/>
      <c r="G44" s="65"/>
      <c r="H44" s="79"/>
      <c r="I44" s="80"/>
      <c r="J44" s="66"/>
      <c r="K44" s="79"/>
      <c r="L44" s="80"/>
      <c r="M44" s="5"/>
      <c r="N44" s="6"/>
      <c r="O44" s="15"/>
    </row>
    <row r="45" spans="1:15">
      <c r="A45" s="10">
        <v>40</v>
      </c>
      <c r="B45" s="9"/>
      <c r="C45" s="4"/>
      <c r="D45" s="70"/>
      <c r="E45" s="79"/>
      <c r="F45" s="80"/>
      <c r="G45" s="65"/>
      <c r="H45" s="79"/>
      <c r="I45" s="80"/>
      <c r="J45" s="66"/>
      <c r="K45" s="79"/>
      <c r="L45" s="80"/>
      <c r="M45" s="5"/>
      <c r="N45" s="6"/>
      <c r="O45" s="15"/>
    </row>
    <row r="46" spans="1:15">
      <c r="A46" s="10">
        <v>41</v>
      </c>
      <c r="B46" s="9"/>
      <c r="C46" s="4"/>
      <c r="D46" s="70"/>
      <c r="E46" s="79"/>
      <c r="F46" s="80"/>
      <c r="G46" s="65"/>
      <c r="H46" s="79"/>
      <c r="I46" s="80"/>
      <c r="J46" s="66"/>
      <c r="K46" s="79"/>
      <c r="L46" s="80"/>
      <c r="M46" s="5"/>
      <c r="N46" s="6"/>
      <c r="O46" s="15"/>
    </row>
    <row r="47" spans="1:15">
      <c r="A47" s="10">
        <v>42</v>
      </c>
      <c r="B47" s="9"/>
      <c r="C47" s="4"/>
      <c r="D47" s="70"/>
      <c r="E47" s="79"/>
      <c r="F47" s="80"/>
      <c r="G47" s="65"/>
      <c r="H47" s="79"/>
      <c r="I47" s="80"/>
      <c r="J47" s="66"/>
      <c r="K47" s="79"/>
      <c r="L47" s="80"/>
      <c r="M47" s="5"/>
      <c r="N47" s="6"/>
      <c r="O47" s="15"/>
    </row>
    <row r="48" spans="1:15">
      <c r="A48" s="10">
        <v>43</v>
      </c>
      <c r="B48" s="9"/>
      <c r="C48" s="4"/>
      <c r="D48" s="70"/>
      <c r="E48" s="79"/>
      <c r="F48" s="80"/>
      <c r="G48" s="65"/>
      <c r="H48" s="79"/>
      <c r="I48" s="80"/>
      <c r="J48" s="66"/>
      <c r="K48" s="79"/>
      <c r="L48" s="80"/>
      <c r="M48" s="5"/>
      <c r="N48" s="6"/>
      <c r="O48" s="15"/>
    </row>
    <row r="49" spans="1:15">
      <c r="A49" s="10">
        <v>44</v>
      </c>
      <c r="B49" s="9"/>
      <c r="C49" s="4"/>
      <c r="D49" s="70"/>
      <c r="E49" s="79"/>
      <c r="F49" s="80"/>
      <c r="G49" s="65"/>
      <c r="H49" s="79"/>
      <c r="I49" s="80"/>
      <c r="J49" s="66"/>
      <c r="K49" s="79"/>
      <c r="L49" s="80"/>
      <c r="M49" s="5"/>
      <c r="N49" s="6"/>
      <c r="O49" s="15"/>
    </row>
    <row r="50" spans="1:15">
      <c r="A50" s="10">
        <v>45</v>
      </c>
      <c r="B50" s="9"/>
      <c r="C50" s="4"/>
      <c r="D50" s="70"/>
      <c r="E50" s="79"/>
      <c r="F50" s="80"/>
      <c r="G50" s="65"/>
      <c r="H50" s="79"/>
      <c r="I50" s="80"/>
      <c r="J50" s="66"/>
      <c r="K50" s="79"/>
      <c r="L50" s="80"/>
      <c r="M50" s="5"/>
      <c r="N50" s="6"/>
      <c r="O50" s="15"/>
    </row>
    <row r="51" spans="1:15">
      <c r="A51" s="10">
        <v>46</v>
      </c>
      <c r="B51" s="9"/>
      <c r="C51" s="4"/>
      <c r="D51" s="70"/>
      <c r="E51" s="79"/>
      <c r="F51" s="80"/>
      <c r="G51" s="65"/>
      <c r="H51" s="79"/>
      <c r="I51" s="80"/>
      <c r="J51" s="66"/>
      <c r="K51" s="79"/>
      <c r="L51" s="80"/>
      <c r="M51" s="5"/>
      <c r="N51" s="6"/>
      <c r="O51" s="15"/>
    </row>
    <row r="52" spans="1:15">
      <c r="A52" s="10">
        <v>47</v>
      </c>
      <c r="B52" s="9"/>
      <c r="C52" s="4"/>
      <c r="D52" s="70"/>
      <c r="E52" s="79"/>
      <c r="F52" s="80"/>
      <c r="G52" s="65"/>
      <c r="H52" s="79"/>
      <c r="I52" s="80"/>
      <c r="J52" s="66"/>
      <c r="K52" s="79"/>
      <c r="L52" s="80"/>
      <c r="M52" s="5"/>
      <c r="N52" s="6"/>
      <c r="O52" s="15"/>
    </row>
    <row r="53" spans="1:15">
      <c r="A53" s="10">
        <v>48</v>
      </c>
      <c r="B53" s="9"/>
      <c r="C53" s="4"/>
      <c r="D53" s="70"/>
      <c r="E53" s="79"/>
      <c r="F53" s="80"/>
      <c r="G53" s="65"/>
      <c r="H53" s="79"/>
      <c r="I53" s="80"/>
      <c r="J53" s="66"/>
      <c r="K53" s="79"/>
      <c r="L53" s="80"/>
      <c r="M53" s="5"/>
      <c r="N53" s="6"/>
      <c r="O53" s="15"/>
    </row>
    <row r="54" spans="1:15">
      <c r="A54" s="10">
        <v>49</v>
      </c>
      <c r="B54" s="9"/>
      <c r="C54" s="4"/>
      <c r="D54" s="70"/>
      <c r="E54" s="79"/>
      <c r="F54" s="80"/>
      <c r="G54" s="65"/>
      <c r="H54" s="79"/>
      <c r="I54" s="80"/>
      <c r="J54" s="66"/>
      <c r="K54" s="79"/>
      <c r="L54" s="80"/>
      <c r="M54" s="5"/>
      <c r="N54" s="6"/>
      <c r="O54" s="15"/>
    </row>
    <row r="55" spans="1:15">
      <c r="A55" s="10">
        <v>50</v>
      </c>
      <c r="B55" s="9"/>
      <c r="C55" s="4"/>
      <c r="D55" s="70"/>
      <c r="E55" s="79"/>
      <c r="F55" s="80"/>
      <c r="G55" s="65"/>
      <c r="H55" s="79"/>
      <c r="I55" s="80"/>
      <c r="J55" s="66"/>
      <c r="K55" s="79"/>
      <c r="L55" s="80"/>
      <c r="M55" s="5"/>
      <c r="N55" s="6"/>
      <c r="O55" s="15"/>
    </row>
    <row r="56" spans="1:15">
      <c r="A56" s="10">
        <v>51</v>
      </c>
      <c r="B56" s="9"/>
      <c r="C56" s="4"/>
      <c r="D56" s="70"/>
      <c r="E56" s="79"/>
      <c r="F56" s="80"/>
      <c r="G56" s="65"/>
      <c r="H56" s="79"/>
      <c r="I56" s="80"/>
      <c r="J56" s="66"/>
      <c r="K56" s="79"/>
      <c r="L56" s="80"/>
      <c r="M56" s="5"/>
      <c r="N56" s="6"/>
      <c r="O56" s="15"/>
    </row>
    <row r="57" spans="1:15">
      <c r="A57" s="10">
        <v>52</v>
      </c>
      <c r="B57" s="9"/>
      <c r="C57" s="4"/>
      <c r="D57" s="70"/>
      <c r="E57" s="79"/>
      <c r="F57" s="80"/>
      <c r="G57" s="65"/>
      <c r="H57" s="79"/>
      <c r="I57" s="80"/>
      <c r="J57" s="66"/>
      <c r="K57" s="79"/>
      <c r="L57" s="80"/>
      <c r="M57" s="5"/>
      <c r="N57" s="6"/>
      <c r="O57" s="15"/>
    </row>
    <row r="58" spans="1:15">
      <c r="A58" s="10">
        <v>53</v>
      </c>
      <c r="B58" s="9"/>
      <c r="C58" s="4"/>
      <c r="D58" s="70"/>
      <c r="E58" s="79"/>
      <c r="F58" s="80"/>
      <c r="G58" s="65"/>
      <c r="H58" s="79"/>
      <c r="I58" s="80"/>
      <c r="J58" s="66"/>
      <c r="K58" s="79"/>
      <c r="L58" s="80"/>
      <c r="M58" s="5"/>
      <c r="N58" s="6"/>
      <c r="O58" s="15"/>
    </row>
    <row r="59" spans="1:15">
      <c r="A59" s="10">
        <v>54</v>
      </c>
      <c r="B59" s="9"/>
      <c r="C59" s="4"/>
      <c r="D59" s="70"/>
      <c r="E59" s="79"/>
      <c r="F59" s="80"/>
      <c r="G59" s="65"/>
      <c r="H59" s="79"/>
      <c r="I59" s="80"/>
      <c r="J59" s="66"/>
      <c r="K59" s="79"/>
      <c r="L59" s="80"/>
      <c r="M59" s="5"/>
      <c r="N59" s="6"/>
      <c r="O59" s="15"/>
    </row>
    <row r="60" spans="1:15">
      <c r="A60" s="10">
        <v>55</v>
      </c>
      <c r="B60" s="9"/>
      <c r="C60" s="4"/>
      <c r="D60" s="70"/>
      <c r="E60" s="79"/>
      <c r="F60" s="80"/>
      <c r="G60" s="65"/>
      <c r="H60" s="79"/>
      <c r="I60" s="80"/>
      <c r="J60" s="66"/>
      <c r="K60" s="79"/>
      <c r="L60" s="80"/>
      <c r="M60" s="5"/>
      <c r="N60" s="6"/>
      <c r="O60" s="15"/>
    </row>
    <row r="61" spans="1:15">
      <c r="A61" s="10">
        <v>56</v>
      </c>
      <c r="B61" s="9"/>
      <c r="C61" s="4"/>
      <c r="D61" s="70"/>
      <c r="E61" s="79"/>
      <c r="F61" s="80"/>
      <c r="G61" s="65"/>
      <c r="H61" s="79"/>
      <c r="I61" s="80"/>
      <c r="J61" s="66"/>
      <c r="K61" s="79"/>
      <c r="L61" s="80"/>
      <c r="M61" s="5"/>
      <c r="N61" s="6"/>
      <c r="O61" s="15"/>
    </row>
    <row r="62" spans="1:15">
      <c r="A62" s="10">
        <v>57</v>
      </c>
      <c r="B62" s="9"/>
      <c r="C62" s="4"/>
      <c r="D62" s="70"/>
      <c r="E62" s="79"/>
      <c r="F62" s="80"/>
      <c r="G62" s="65"/>
      <c r="H62" s="79"/>
      <c r="I62" s="80"/>
      <c r="J62" s="66"/>
      <c r="K62" s="79"/>
      <c r="L62" s="80"/>
      <c r="M62" s="5"/>
      <c r="N62" s="6"/>
      <c r="O62" s="15"/>
    </row>
    <row r="63" spans="1:15">
      <c r="A63" s="10">
        <v>58</v>
      </c>
      <c r="B63" s="9"/>
      <c r="C63" s="4"/>
      <c r="D63" s="70"/>
      <c r="E63" s="79"/>
      <c r="F63" s="80"/>
      <c r="G63" s="65"/>
      <c r="H63" s="79"/>
      <c r="I63" s="80"/>
      <c r="J63" s="66"/>
      <c r="K63" s="79"/>
      <c r="L63" s="80"/>
      <c r="M63" s="5"/>
      <c r="N63" s="6"/>
      <c r="O63" s="15"/>
    </row>
    <row r="64" spans="1:15">
      <c r="A64" s="10">
        <v>59</v>
      </c>
      <c r="B64" s="9"/>
      <c r="C64" s="4"/>
      <c r="D64" s="70"/>
      <c r="E64" s="79"/>
      <c r="F64" s="80"/>
      <c r="G64" s="65"/>
      <c r="H64" s="79"/>
      <c r="I64" s="80"/>
      <c r="J64" s="66"/>
      <c r="K64" s="79"/>
      <c r="L64" s="80"/>
      <c r="M64" s="5"/>
      <c r="N64" s="6"/>
      <c r="O64" s="15"/>
    </row>
    <row r="65" spans="1:15">
      <c r="A65" s="10">
        <v>60</v>
      </c>
      <c r="B65" s="9"/>
      <c r="C65" s="4"/>
      <c r="D65" s="70"/>
      <c r="E65" s="79"/>
      <c r="F65" s="80"/>
      <c r="G65" s="65"/>
      <c r="H65" s="79"/>
      <c r="I65" s="80"/>
      <c r="J65" s="66"/>
      <c r="K65" s="79"/>
      <c r="L65" s="80"/>
      <c r="M65" s="5"/>
      <c r="N65" s="6"/>
      <c r="O65" s="15"/>
    </row>
    <row r="66" spans="1:15">
      <c r="A66" s="10">
        <v>61</v>
      </c>
      <c r="B66" s="9"/>
      <c r="C66" s="4"/>
      <c r="D66" s="70"/>
      <c r="E66" s="79"/>
      <c r="F66" s="80"/>
      <c r="G66" s="65"/>
      <c r="H66" s="79"/>
      <c r="I66" s="80"/>
      <c r="J66" s="66"/>
      <c r="K66" s="79"/>
      <c r="L66" s="80"/>
      <c r="M66" s="5"/>
      <c r="N66" s="6"/>
      <c r="O66" s="15"/>
    </row>
    <row r="67" spans="1:15">
      <c r="A67" s="10">
        <v>62</v>
      </c>
      <c r="B67" s="9"/>
      <c r="C67" s="4"/>
      <c r="D67" s="70"/>
      <c r="E67" s="79"/>
      <c r="F67" s="80"/>
      <c r="G67" s="65"/>
      <c r="H67" s="79"/>
      <c r="I67" s="80"/>
      <c r="J67" s="66"/>
      <c r="K67" s="79"/>
      <c r="L67" s="80"/>
      <c r="M67" s="5"/>
      <c r="N67" s="6"/>
      <c r="O67" s="15"/>
    </row>
    <row r="68" spans="1:15">
      <c r="A68" s="10">
        <v>63</v>
      </c>
      <c r="B68" s="9"/>
      <c r="C68" s="4"/>
      <c r="D68" s="70"/>
      <c r="E68" s="79"/>
      <c r="F68" s="80"/>
      <c r="G68" s="65"/>
      <c r="H68" s="79"/>
      <c r="I68" s="80"/>
      <c r="J68" s="66"/>
      <c r="K68" s="79"/>
      <c r="L68" s="80"/>
      <c r="M68" s="5"/>
      <c r="N68" s="6"/>
      <c r="O68" s="15"/>
    </row>
    <row r="69" spans="1:15">
      <c r="A69" s="10">
        <v>64</v>
      </c>
      <c r="B69" s="9"/>
      <c r="C69" s="4"/>
      <c r="D69" s="70"/>
      <c r="E69" s="79"/>
      <c r="F69" s="80"/>
      <c r="G69" s="65"/>
      <c r="H69" s="79"/>
      <c r="I69" s="80"/>
      <c r="J69" s="66"/>
      <c r="K69" s="79"/>
      <c r="L69" s="80"/>
      <c r="M69" s="5"/>
      <c r="N69" s="6"/>
      <c r="O69" s="15"/>
    </row>
    <row r="70" spans="1:15">
      <c r="A70" s="10">
        <v>65</v>
      </c>
      <c r="B70" s="9"/>
      <c r="C70" s="4"/>
      <c r="D70" s="70"/>
      <c r="E70" s="79"/>
      <c r="F70" s="80"/>
      <c r="G70" s="65"/>
      <c r="H70" s="79"/>
      <c r="I70" s="80"/>
      <c r="J70" s="66"/>
      <c r="K70" s="79"/>
      <c r="L70" s="80"/>
      <c r="M70" s="5"/>
      <c r="N70" s="6"/>
      <c r="O70" s="15"/>
    </row>
    <row r="71" spans="1:15">
      <c r="A71" s="10">
        <v>66</v>
      </c>
      <c r="B71" s="9"/>
      <c r="C71" s="4"/>
      <c r="D71" s="70"/>
      <c r="E71" s="79"/>
      <c r="F71" s="80"/>
      <c r="G71" s="65"/>
      <c r="H71" s="79"/>
      <c r="I71" s="80"/>
      <c r="J71" s="66"/>
      <c r="K71" s="79"/>
      <c r="L71" s="80"/>
      <c r="M71" s="5"/>
      <c r="N71" s="6"/>
      <c r="O71" s="15"/>
    </row>
    <row r="72" spans="1:15">
      <c r="A72" s="10">
        <v>67</v>
      </c>
      <c r="B72" s="9"/>
      <c r="C72" s="4"/>
      <c r="D72" s="70"/>
      <c r="E72" s="79"/>
      <c r="F72" s="80"/>
      <c r="G72" s="65"/>
      <c r="H72" s="79"/>
      <c r="I72" s="80"/>
      <c r="J72" s="66"/>
      <c r="K72" s="79"/>
      <c r="L72" s="80"/>
      <c r="M72" s="5"/>
      <c r="N72" s="6"/>
      <c r="O72" s="15"/>
    </row>
    <row r="73" spans="1:15">
      <c r="A73" s="10">
        <v>68</v>
      </c>
      <c r="B73" s="9"/>
      <c r="C73" s="4"/>
      <c r="D73" s="70"/>
      <c r="E73" s="79"/>
      <c r="F73" s="80"/>
      <c r="G73" s="65"/>
      <c r="H73" s="79"/>
      <c r="I73" s="80"/>
      <c r="J73" s="66"/>
      <c r="K73" s="79"/>
      <c r="L73" s="80"/>
      <c r="M73" s="5"/>
      <c r="N73" s="6"/>
      <c r="O73" s="15"/>
    </row>
    <row r="74" spans="1:15">
      <c r="A74" s="10">
        <v>69</v>
      </c>
      <c r="B74" s="9"/>
      <c r="C74" s="4"/>
      <c r="D74" s="70"/>
      <c r="E74" s="79"/>
      <c r="F74" s="80"/>
      <c r="G74" s="65"/>
      <c r="H74" s="79"/>
      <c r="I74" s="80"/>
      <c r="J74" s="66"/>
      <c r="K74" s="79"/>
      <c r="L74" s="80"/>
      <c r="M74" s="5"/>
      <c r="N74" s="6"/>
      <c r="O74" s="15"/>
    </row>
    <row r="75" spans="1:15">
      <c r="A75" s="10">
        <v>70</v>
      </c>
      <c r="B75" s="9"/>
      <c r="C75" s="4"/>
      <c r="D75" s="70"/>
      <c r="E75" s="79"/>
      <c r="F75" s="80"/>
      <c r="G75" s="65"/>
      <c r="H75" s="79"/>
      <c r="I75" s="80"/>
      <c r="J75" s="66"/>
      <c r="K75" s="79"/>
      <c r="L75" s="80"/>
      <c r="M75" s="5"/>
      <c r="N75" s="6"/>
      <c r="O75" s="15"/>
    </row>
    <row r="76" spans="1:15">
      <c r="A76" s="10">
        <v>71</v>
      </c>
      <c r="B76" s="9"/>
      <c r="C76" s="4"/>
      <c r="D76" s="70"/>
      <c r="E76" s="79"/>
      <c r="F76" s="80"/>
      <c r="G76" s="65"/>
      <c r="H76" s="79"/>
      <c r="I76" s="80"/>
      <c r="J76" s="66"/>
      <c r="K76" s="79"/>
      <c r="L76" s="80"/>
      <c r="M76" s="5"/>
      <c r="N76" s="6"/>
      <c r="O76" s="15"/>
    </row>
  </sheetData>
  <mergeCells count="218">
    <mergeCell ref="D76:F76"/>
    <mergeCell ref="G76:I76"/>
    <mergeCell ref="J76:L76"/>
    <mergeCell ref="D74:F74"/>
    <mergeCell ref="G74:I74"/>
    <mergeCell ref="J74:L74"/>
    <mergeCell ref="D75:F75"/>
    <mergeCell ref="G75:I75"/>
    <mergeCell ref="J75:L75"/>
    <mergeCell ref="D72:F72"/>
    <mergeCell ref="G72:I72"/>
    <mergeCell ref="J72:L72"/>
    <mergeCell ref="D73:F73"/>
    <mergeCell ref="G73:I73"/>
    <mergeCell ref="J73:L73"/>
    <mergeCell ref="D70:F70"/>
    <mergeCell ref="G70:I70"/>
    <mergeCell ref="J70:L70"/>
    <mergeCell ref="D71:F71"/>
    <mergeCell ref="G71:I71"/>
    <mergeCell ref="J71:L71"/>
    <mergeCell ref="D68:F68"/>
    <mergeCell ref="G68:I68"/>
    <mergeCell ref="J68:L68"/>
    <mergeCell ref="D69:F69"/>
    <mergeCell ref="G69:I69"/>
    <mergeCell ref="J69:L69"/>
    <mergeCell ref="D66:F66"/>
    <mergeCell ref="G66:I66"/>
    <mergeCell ref="J66:L66"/>
    <mergeCell ref="D67:F67"/>
    <mergeCell ref="G67:I67"/>
    <mergeCell ref="J67:L67"/>
    <mergeCell ref="D64:F64"/>
    <mergeCell ref="G64:I64"/>
    <mergeCell ref="J64:L64"/>
    <mergeCell ref="D65:F65"/>
    <mergeCell ref="G65:I65"/>
    <mergeCell ref="J65:L65"/>
    <mergeCell ref="D62:F62"/>
    <mergeCell ref="G62:I62"/>
    <mergeCell ref="J62:L62"/>
    <mergeCell ref="D63:F63"/>
    <mergeCell ref="G63:I63"/>
    <mergeCell ref="J63:L63"/>
    <mergeCell ref="D60:F60"/>
    <mergeCell ref="G60:I60"/>
    <mergeCell ref="J60:L60"/>
    <mergeCell ref="D61:F61"/>
    <mergeCell ref="G61:I61"/>
    <mergeCell ref="J61:L61"/>
    <mergeCell ref="D58:F58"/>
    <mergeCell ref="G58:I58"/>
    <mergeCell ref="J58:L58"/>
    <mergeCell ref="D59:F59"/>
    <mergeCell ref="G59:I59"/>
    <mergeCell ref="J59:L59"/>
    <mergeCell ref="D56:F56"/>
    <mergeCell ref="G56:I56"/>
    <mergeCell ref="J56:L56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2:F52"/>
    <mergeCell ref="G52:I52"/>
    <mergeCell ref="J52:L52"/>
    <mergeCell ref="D53:F53"/>
    <mergeCell ref="G53:I53"/>
    <mergeCell ref="J53:L53"/>
    <mergeCell ref="D50:F50"/>
    <mergeCell ref="G50:I50"/>
    <mergeCell ref="J50:L50"/>
    <mergeCell ref="D51:F51"/>
    <mergeCell ref="G51:I51"/>
    <mergeCell ref="J51:L51"/>
    <mergeCell ref="D48:F48"/>
    <mergeCell ref="G48:I48"/>
    <mergeCell ref="J48:L48"/>
    <mergeCell ref="D49:F49"/>
    <mergeCell ref="G49:I49"/>
    <mergeCell ref="J49:L49"/>
    <mergeCell ref="D46:F46"/>
    <mergeCell ref="G46:I46"/>
    <mergeCell ref="J46:L46"/>
    <mergeCell ref="D47:F47"/>
    <mergeCell ref="G47:I47"/>
    <mergeCell ref="J47:L47"/>
    <mergeCell ref="D44:F44"/>
    <mergeCell ref="G44:I44"/>
    <mergeCell ref="J44:L44"/>
    <mergeCell ref="D45:F45"/>
    <mergeCell ref="G45:I45"/>
    <mergeCell ref="J45:L45"/>
    <mergeCell ref="D42:F42"/>
    <mergeCell ref="G42:I42"/>
    <mergeCell ref="J42:L42"/>
    <mergeCell ref="D43:F43"/>
    <mergeCell ref="G43:I43"/>
    <mergeCell ref="J43:L43"/>
    <mergeCell ref="D40:F40"/>
    <mergeCell ref="G40:I40"/>
    <mergeCell ref="J40:L40"/>
    <mergeCell ref="D41:F41"/>
    <mergeCell ref="G41:I41"/>
    <mergeCell ref="J41:L41"/>
    <mergeCell ref="D38:F38"/>
    <mergeCell ref="G38:I38"/>
    <mergeCell ref="J38:L38"/>
    <mergeCell ref="D39:F39"/>
    <mergeCell ref="G39:I39"/>
    <mergeCell ref="J39:L39"/>
    <mergeCell ref="D36:F36"/>
    <mergeCell ref="G36:I36"/>
    <mergeCell ref="J36:L36"/>
    <mergeCell ref="D37:F37"/>
    <mergeCell ref="G37:I37"/>
    <mergeCell ref="J37:L37"/>
    <mergeCell ref="D34:F34"/>
    <mergeCell ref="G34:I34"/>
    <mergeCell ref="J34:L34"/>
    <mergeCell ref="D35:F35"/>
    <mergeCell ref="G35:I35"/>
    <mergeCell ref="J35:L35"/>
    <mergeCell ref="D32:F32"/>
    <mergeCell ref="G32:I32"/>
    <mergeCell ref="J32:L32"/>
    <mergeCell ref="D33:F33"/>
    <mergeCell ref="G33:I33"/>
    <mergeCell ref="J33:L33"/>
    <mergeCell ref="D30:F30"/>
    <mergeCell ref="G30:I30"/>
    <mergeCell ref="J30:L30"/>
    <mergeCell ref="D31:F31"/>
    <mergeCell ref="G31:I31"/>
    <mergeCell ref="J31:L31"/>
    <mergeCell ref="D29:F29"/>
    <mergeCell ref="G29:I29"/>
    <mergeCell ref="J29:L29"/>
    <mergeCell ref="O6:O23"/>
    <mergeCell ref="D27:F27"/>
    <mergeCell ref="G27:I27"/>
    <mergeCell ref="J27:L27"/>
    <mergeCell ref="D28:F28"/>
    <mergeCell ref="G28:I28"/>
    <mergeCell ref="J28:L28"/>
    <mergeCell ref="D25:F25"/>
    <mergeCell ref="G25:I25"/>
    <mergeCell ref="J25:L25"/>
    <mergeCell ref="D26:F26"/>
    <mergeCell ref="G26:I26"/>
    <mergeCell ref="J26:L26"/>
    <mergeCell ref="D23:F23"/>
    <mergeCell ref="G23:I23"/>
    <mergeCell ref="J23:L23"/>
    <mergeCell ref="D24:F24"/>
    <mergeCell ref="G24:I24"/>
    <mergeCell ref="J24:L24"/>
    <mergeCell ref="D21:F21"/>
    <mergeCell ref="G21:I21"/>
    <mergeCell ref="J21:L21"/>
    <mergeCell ref="D22:F22"/>
    <mergeCell ref="G22:I22"/>
    <mergeCell ref="J22:L22"/>
    <mergeCell ref="D19:F19"/>
    <mergeCell ref="G19:I19"/>
    <mergeCell ref="J19:L19"/>
    <mergeCell ref="D20:F20"/>
    <mergeCell ref="G20:I20"/>
    <mergeCell ref="J20:L20"/>
    <mergeCell ref="D18:F18"/>
    <mergeCell ref="G18:I18"/>
    <mergeCell ref="J18:L18"/>
    <mergeCell ref="D14:F14"/>
    <mergeCell ref="G14:I14"/>
    <mergeCell ref="J14:L14"/>
    <mergeCell ref="D15:F15"/>
    <mergeCell ref="G15:I15"/>
    <mergeCell ref="J15:L15"/>
    <mergeCell ref="D16:F16"/>
    <mergeCell ref="G16:I16"/>
    <mergeCell ref="J16:L16"/>
    <mergeCell ref="D17:F17"/>
    <mergeCell ref="G17:I17"/>
    <mergeCell ref="J17:L17"/>
    <mergeCell ref="D12:F12"/>
    <mergeCell ref="G12:I12"/>
    <mergeCell ref="J12:L12"/>
    <mergeCell ref="D13:F13"/>
    <mergeCell ref="G13:I13"/>
    <mergeCell ref="J13:L13"/>
    <mergeCell ref="D10:F10"/>
    <mergeCell ref="G10:I10"/>
    <mergeCell ref="J10:L10"/>
    <mergeCell ref="D11:F11"/>
    <mergeCell ref="G11:I11"/>
    <mergeCell ref="J11:L11"/>
    <mergeCell ref="D9:F9"/>
    <mergeCell ref="G9:I9"/>
    <mergeCell ref="J9:L9"/>
    <mergeCell ref="B2:K3"/>
    <mergeCell ref="D5:F5"/>
    <mergeCell ref="G5:I5"/>
    <mergeCell ref="J5:L5"/>
    <mergeCell ref="D6:F6"/>
    <mergeCell ref="G6:I6"/>
    <mergeCell ref="J6:L6"/>
    <mergeCell ref="D7:F7"/>
    <mergeCell ref="G7:I7"/>
    <mergeCell ref="J7:L7"/>
    <mergeCell ref="D8:F8"/>
    <mergeCell ref="G8:I8"/>
    <mergeCell ref="J8:L8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6"/>
  <sheetViews>
    <sheetView topLeftCell="A19" zoomScale="85" zoomScaleNormal="85" workbookViewId="0">
      <selection activeCell="G47" sqref="G47:I47"/>
    </sheetView>
  </sheetViews>
  <sheetFormatPr defaultColWidth="11.42578125" defaultRowHeight="14.45"/>
  <cols>
    <col min="1" max="1" width="4" bestFit="1" customWidth="1"/>
    <col min="2" max="2" width="27" bestFit="1" customWidth="1"/>
    <col min="3" max="3" width="34.42578125" bestFit="1" customWidth="1"/>
    <col min="13" max="13" width="23.28515625" customWidth="1"/>
    <col min="14" max="14" width="12.5703125" bestFit="1" customWidth="1"/>
  </cols>
  <sheetData>
    <row r="2" spans="1:15">
      <c r="B2" s="58" t="s">
        <v>451</v>
      </c>
      <c r="C2" s="78"/>
      <c r="D2" s="78"/>
      <c r="E2" s="78"/>
      <c r="F2" s="78"/>
      <c r="G2" s="78"/>
      <c r="H2" s="78"/>
      <c r="I2" s="78"/>
      <c r="J2" s="78"/>
      <c r="K2" s="78"/>
    </row>
    <row r="3" spans="1:15">
      <c r="B3" s="78"/>
      <c r="C3" s="78"/>
      <c r="D3" s="78"/>
      <c r="E3" s="78"/>
      <c r="F3" s="78"/>
      <c r="G3" s="78"/>
      <c r="H3" s="78"/>
      <c r="I3" s="78"/>
      <c r="J3" s="78"/>
      <c r="K3" s="78"/>
    </row>
    <row r="5" spans="1:15">
      <c r="A5" s="1" t="s">
        <v>89</v>
      </c>
      <c r="B5" s="1" t="s">
        <v>42</v>
      </c>
      <c r="C5" s="1" t="s">
        <v>43</v>
      </c>
      <c r="D5" s="49" t="s">
        <v>44</v>
      </c>
      <c r="E5" s="79"/>
      <c r="F5" s="80"/>
      <c r="G5" s="49" t="s">
        <v>45</v>
      </c>
      <c r="H5" s="79"/>
      <c r="I5" s="80"/>
      <c r="J5" s="49" t="s">
        <v>46</v>
      </c>
      <c r="K5" s="79"/>
      <c r="L5" s="80"/>
      <c r="M5" s="2" t="s">
        <v>47</v>
      </c>
      <c r="N5" s="3" t="s">
        <v>90</v>
      </c>
      <c r="O5" s="14" t="s">
        <v>91</v>
      </c>
    </row>
    <row r="6" spans="1:15">
      <c r="A6" s="10">
        <v>1</v>
      </c>
      <c r="B6" s="9" t="s">
        <v>51</v>
      </c>
      <c r="C6" s="4" t="s">
        <v>452</v>
      </c>
      <c r="D6" s="70" t="s">
        <v>453</v>
      </c>
      <c r="E6" s="79"/>
      <c r="F6" s="80"/>
      <c r="G6" s="65" t="s">
        <v>454</v>
      </c>
      <c r="H6" s="79"/>
      <c r="I6" s="80"/>
      <c r="J6" s="66" t="s">
        <v>455</v>
      </c>
      <c r="K6" s="79"/>
      <c r="L6" s="80"/>
      <c r="M6" s="5" t="s">
        <v>456</v>
      </c>
      <c r="N6" s="6">
        <v>46086</v>
      </c>
      <c r="O6" s="77">
        <v>60</v>
      </c>
    </row>
    <row r="7" spans="1:15">
      <c r="A7" s="10">
        <v>2</v>
      </c>
      <c r="B7" s="9" t="s">
        <v>51</v>
      </c>
      <c r="C7" s="4" t="s">
        <v>457</v>
      </c>
      <c r="D7" s="70" t="s">
        <v>458</v>
      </c>
      <c r="E7" s="79"/>
      <c r="F7" s="80"/>
      <c r="G7" s="65" t="s">
        <v>454</v>
      </c>
      <c r="H7" s="79"/>
      <c r="I7" s="80"/>
      <c r="J7" s="66" t="s">
        <v>455</v>
      </c>
      <c r="K7" s="79"/>
      <c r="L7" s="80"/>
      <c r="M7" s="5" t="s">
        <v>456</v>
      </c>
      <c r="N7" s="6">
        <v>46086</v>
      </c>
      <c r="O7" s="77"/>
    </row>
    <row r="8" spans="1:15">
      <c r="A8" s="10">
        <v>3</v>
      </c>
      <c r="B8" s="9" t="s">
        <v>51</v>
      </c>
      <c r="C8" s="4" t="s">
        <v>459</v>
      </c>
      <c r="D8" s="70" t="s">
        <v>453</v>
      </c>
      <c r="E8" s="79"/>
      <c r="F8" s="80"/>
      <c r="G8" s="65" t="s">
        <v>460</v>
      </c>
      <c r="H8" s="79"/>
      <c r="I8" s="80"/>
      <c r="J8" s="66" t="s">
        <v>461</v>
      </c>
      <c r="K8" s="79"/>
      <c r="L8" s="80"/>
      <c r="M8" s="5" t="s">
        <v>456</v>
      </c>
      <c r="N8" s="6">
        <v>46086</v>
      </c>
      <c r="O8" s="77"/>
    </row>
    <row r="9" spans="1:15">
      <c r="A9" s="10">
        <v>4</v>
      </c>
      <c r="B9" s="9" t="s">
        <v>51</v>
      </c>
      <c r="C9" s="4" t="s">
        <v>462</v>
      </c>
      <c r="D9" s="70" t="s">
        <v>463</v>
      </c>
      <c r="E9" s="79"/>
      <c r="F9" s="80"/>
      <c r="G9" s="65" t="s">
        <v>464</v>
      </c>
      <c r="H9" s="79"/>
      <c r="I9" s="80"/>
      <c r="J9" s="66" t="s">
        <v>465</v>
      </c>
      <c r="K9" s="79"/>
      <c r="L9" s="80"/>
      <c r="M9" s="5" t="s">
        <v>456</v>
      </c>
      <c r="N9" s="6">
        <v>46086</v>
      </c>
      <c r="O9" s="77"/>
    </row>
    <row r="10" spans="1:15">
      <c r="A10" s="10">
        <v>5</v>
      </c>
      <c r="B10" s="9" t="s">
        <v>51</v>
      </c>
      <c r="C10" s="4" t="s">
        <v>466</v>
      </c>
      <c r="D10" s="70" t="s">
        <v>467</v>
      </c>
      <c r="E10" s="79"/>
      <c r="F10" s="80"/>
      <c r="G10" s="65" t="s">
        <v>468</v>
      </c>
      <c r="H10" s="79"/>
      <c r="I10" s="80"/>
      <c r="J10" s="66" t="s">
        <v>469</v>
      </c>
      <c r="K10" s="79"/>
      <c r="L10" s="80"/>
      <c r="M10" s="5" t="s">
        <v>456</v>
      </c>
      <c r="N10" s="6">
        <v>46086</v>
      </c>
      <c r="O10" s="77"/>
    </row>
    <row r="11" spans="1:15">
      <c r="A11" s="10">
        <v>6</v>
      </c>
      <c r="B11" s="9" t="s">
        <v>51</v>
      </c>
      <c r="C11" s="4" t="s">
        <v>470</v>
      </c>
      <c r="D11" s="70" t="s">
        <v>471</v>
      </c>
      <c r="E11" s="79"/>
      <c r="F11" s="80"/>
      <c r="G11" s="65" t="s">
        <v>472</v>
      </c>
      <c r="H11" s="79"/>
      <c r="I11" s="80"/>
      <c r="J11" s="66"/>
      <c r="K11" s="79"/>
      <c r="L11" s="80"/>
      <c r="M11" s="5" t="s">
        <v>456</v>
      </c>
      <c r="N11" s="6">
        <v>46086</v>
      </c>
      <c r="O11" s="77"/>
    </row>
    <row r="12" spans="1:15">
      <c r="A12" s="10">
        <v>7</v>
      </c>
      <c r="B12" s="9" t="s">
        <v>51</v>
      </c>
      <c r="C12" s="4" t="s">
        <v>473</v>
      </c>
      <c r="D12" s="70" t="s">
        <v>474</v>
      </c>
      <c r="E12" s="79"/>
      <c r="F12" s="80"/>
      <c r="G12" s="65" t="s">
        <v>475</v>
      </c>
      <c r="H12" s="79"/>
      <c r="I12" s="80"/>
      <c r="J12" s="66" t="s">
        <v>476</v>
      </c>
      <c r="K12" s="79"/>
      <c r="L12" s="80"/>
      <c r="M12" s="5" t="s">
        <v>456</v>
      </c>
      <c r="N12" s="6">
        <v>46086</v>
      </c>
      <c r="O12" s="77"/>
    </row>
    <row r="13" spans="1:15">
      <c r="A13" s="10">
        <v>8</v>
      </c>
      <c r="B13" s="9" t="s">
        <v>51</v>
      </c>
      <c r="C13" s="4" t="s">
        <v>477</v>
      </c>
      <c r="D13" s="70" t="s">
        <v>478</v>
      </c>
      <c r="E13" s="79"/>
      <c r="F13" s="80"/>
      <c r="G13" s="65" t="s">
        <v>479</v>
      </c>
      <c r="H13" s="79"/>
      <c r="I13" s="80"/>
      <c r="J13" s="66"/>
      <c r="K13" s="79"/>
      <c r="L13" s="80"/>
      <c r="M13" s="5" t="s">
        <v>456</v>
      </c>
      <c r="N13" s="6">
        <v>46086</v>
      </c>
      <c r="O13" s="77"/>
    </row>
    <row r="14" spans="1:15">
      <c r="A14" s="10">
        <v>9</v>
      </c>
      <c r="B14" s="9" t="s">
        <v>51</v>
      </c>
      <c r="C14" s="4" t="s">
        <v>480</v>
      </c>
      <c r="D14" s="70" t="s">
        <v>481</v>
      </c>
      <c r="E14" s="79"/>
      <c r="F14" s="80"/>
      <c r="G14" s="65" t="s">
        <v>482</v>
      </c>
      <c r="H14" s="79"/>
      <c r="I14" s="80"/>
      <c r="J14" s="66"/>
      <c r="K14" s="79"/>
      <c r="L14" s="80"/>
      <c r="M14" s="5" t="s">
        <v>456</v>
      </c>
      <c r="N14" s="6">
        <v>46086</v>
      </c>
      <c r="O14" s="77"/>
    </row>
    <row r="15" spans="1:15">
      <c r="A15" s="10">
        <v>10</v>
      </c>
      <c r="B15" s="9" t="s">
        <v>51</v>
      </c>
      <c r="C15" s="4" t="s">
        <v>483</v>
      </c>
      <c r="D15" s="70" t="s">
        <v>484</v>
      </c>
      <c r="E15" s="79"/>
      <c r="F15" s="80"/>
      <c r="G15" s="65" t="s">
        <v>485</v>
      </c>
      <c r="H15" s="79"/>
      <c r="I15" s="80"/>
      <c r="J15" s="66" t="s">
        <v>485</v>
      </c>
      <c r="K15" s="79"/>
      <c r="L15" s="80"/>
      <c r="M15" s="5" t="s">
        <v>456</v>
      </c>
      <c r="N15" s="6">
        <v>46086</v>
      </c>
      <c r="O15" s="77"/>
    </row>
    <row r="16" spans="1:15">
      <c r="A16" s="10">
        <v>11</v>
      </c>
      <c r="B16" s="9" t="s">
        <v>486</v>
      </c>
      <c r="C16" s="4" t="s">
        <v>487</v>
      </c>
      <c r="D16" s="70" t="s">
        <v>488</v>
      </c>
      <c r="E16" s="79"/>
      <c r="F16" s="80"/>
      <c r="G16" s="65" t="s">
        <v>489</v>
      </c>
      <c r="H16" s="79"/>
      <c r="I16" s="80"/>
      <c r="J16" s="66" t="s">
        <v>490</v>
      </c>
      <c r="K16" s="79"/>
      <c r="L16" s="80"/>
      <c r="M16" s="5" t="s">
        <v>491</v>
      </c>
      <c r="N16" s="6">
        <v>46086</v>
      </c>
      <c r="O16" s="77"/>
    </row>
    <row r="17" spans="1:15">
      <c r="A17" s="10">
        <v>12</v>
      </c>
      <c r="B17" s="9" t="s">
        <v>51</v>
      </c>
      <c r="C17" s="4" t="s">
        <v>480</v>
      </c>
      <c r="D17" s="70" t="s">
        <v>481</v>
      </c>
      <c r="E17" s="79"/>
      <c r="F17" s="80"/>
      <c r="G17" s="65" t="s">
        <v>482</v>
      </c>
      <c r="H17" s="79"/>
      <c r="I17" s="80"/>
      <c r="J17" s="66"/>
      <c r="K17" s="79"/>
      <c r="L17" s="80"/>
      <c r="M17" s="5" t="s">
        <v>456</v>
      </c>
      <c r="N17" s="6">
        <v>46086</v>
      </c>
      <c r="O17" s="77"/>
    </row>
    <row r="18" spans="1:15">
      <c r="A18" s="10">
        <v>13</v>
      </c>
      <c r="B18" s="9" t="s">
        <v>51</v>
      </c>
      <c r="C18" s="13" t="s">
        <v>492</v>
      </c>
      <c r="D18" s="70" t="s">
        <v>493</v>
      </c>
      <c r="E18" s="79"/>
      <c r="F18" s="80"/>
      <c r="G18" s="65" t="s">
        <v>494</v>
      </c>
      <c r="H18" s="79"/>
      <c r="I18" s="80"/>
      <c r="J18" s="66" t="s">
        <v>495</v>
      </c>
      <c r="K18" s="79"/>
      <c r="L18" s="80"/>
      <c r="M18" s="5" t="s">
        <v>456</v>
      </c>
      <c r="N18" s="6">
        <v>46100</v>
      </c>
      <c r="O18" s="77">
        <v>60</v>
      </c>
    </row>
    <row r="19" spans="1:15">
      <c r="A19" s="10">
        <v>14</v>
      </c>
      <c r="B19" s="9" t="s">
        <v>51</v>
      </c>
      <c r="C19" s="11" t="s">
        <v>496</v>
      </c>
      <c r="D19" s="70" t="s">
        <v>497</v>
      </c>
      <c r="E19" s="79"/>
      <c r="F19" s="80"/>
      <c r="G19" s="65" t="s">
        <v>498</v>
      </c>
      <c r="H19" s="79"/>
      <c r="I19" s="80"/>
      <c r="J19" s="66" t="s">
        <v>499</v>
      </c>
      <c r="K19" s="79"/>
      <c r="L19" s="80"/>
      <c r="M19" s="5" t="s">
        <v>456</v>
      </c>
      <c r="N19" s="6">
        <v>46100</v>
      </c>
      <c r="O19" s="77"/>
    </row>
    <row r="20" spans="1:15">
      <c r="A20" s="10">
        <v>15</v>
      </c>
      <c r="B20" s="9" t="s">
        <v>51</v>
      </c>
      <c r="C20" s="11" t="s">
        <v>500</v>
      </c>
      <c r="D20" s="70" t="s">
        <v>501</v>
      </c>
      <c r="E20" s="79"/>
      <c r="F20" s="80"/>
      <c r="G20" s="65" t="s">
        <v>502</v>
      </c>
      <c r="H20" s="79"/>
      <c r="I20" s="80"/>
      <c r="J20" s="66" t="s">
        <v>503</v>
      </c>
      <c r="K20" s="79"/>
      <c r="L20" s="80"/>
      <c r="M20" s="5" t="s">
        <v>456</v>
      </c>
      <c r="N20" s="6">
        <v>46100</v>
      </c>
      <c r="O20" s="77"/>
    </row>
    <row r="21" spans="1:15">
      <c r="A21" s="10">
        <v>16</v>
      </c>
      <c r="B21" s="9" t="s">
        <v>51</v>
      </c>
      <c r="C21" s="12" t="s">
        <v>504</v>
      </c>
      <c r="D21" s="70" t="s">
        <v>505</v>
      </c>
      <c r="E21" s="79"/>
      <c r="F21" s="80"/>
      <c r="G21" s="65" t="s">
        <v>494</v>
      </c>
      <c r="H21" s="79"/>
      <c r="I21" s="80"/>
      <c r="J21" s="66" t="s">
        <v>506</v>
      </c>
      <c r="K21" s="79"/>
      <c r="L21" s="80"/>
      <c r="M21" s="5" t="s">
        <v>456</v>
      </c>
      <c r="N21" s="6">
        <v>46100</v>
      </c>
      <c r="O21" s="77"/>
    </row>
    <row r="22" spans="1:15">
      <c r="A22" s="10">
        <v>17</v>
      </c>
      <c r="B22" s="9" t="s">
        <v>51</v>
      </c>
      <c r="C22" s="12" t="s">
        <v>507</v>
      </c>
      <c r="D22" s="76" t="s">
        <v>508</v>
      </c>
      <c r="E22" s="79"/>
      <c r="F22" s="80"/>
      <c r="G22" s="65" t="s">
        <v>406</v>
      </c>
      <c r="H22" s="79"/>
      <c r="I22" s="80"/>
      <c r="J22" s="66" t="s">
        <v>509</v>
      </c>
      <c r="K22" s="79"/>
      <c r="L22" s="80"/>
      <c r="M22" s="5" t="s">
        <v>456</v>
      </c>
      <c r="N22" s="6">
        <v>46100</v>
      </c>
      <c r="O22" s="77"/>
    </row>
    <row r="23" spans="1:15">
      <c r="A23" s="10">
        <v>18</v>
      </c>
      <c r="B23" s="9" t="s">
        <v>51</v>
      </c>
      <c r="C23" s="13" t="s">
        <v>510</v>
      </c>
      <c r="D23" s="70" t="s">
        <v>511</v>
      </c>
      <c r="E23" s="79"/>
      <c r="F23" s="80"/>
      <c r="G23" s="65" t="s">
        <v>512</v>
      </c>
      <c r="H23" s="79"/>
      <c r="I23" s="80"/>
      <c r="J23" s="66" t="s">
        <v>513</v>
      </c>
      <c r="K23" s="79"/>
      <c r="L23" s="80"/>
      <c r="M23" s="5" t="s">
        <v>456</v>
      </c>
      <c r="N23" s="6">
        <v>46100</v>
      </c>
      <c r="O23" s="77"/>
    </row>
    <row r="24" spans="1:15">
      <c r="A24" s="10">
        <v>19</v>
      </c>
      <c r="B24" s="9" t="s">
        <v>51</v>
      </c>
      <c r="C24" s="13" t="s">
        <v>514</v>
      </c>
      <c r="D24" s="70" t="s">
        <v>515</v>
      </c>
      <c r="E24" s="79"/>
      <c r="F24" s="80"/>
      <c r="G24" s="65" t="s">
        <v>67</v>
      </c>
      <c r="H24" s="79"/>
      <c r="I24" s="80"/>
      <c r="J24" s="66" t="s">
        <v>516</v>
      </c>
      <c r="K24" s="79"/>
      <c r="L24" s="80"/>
      <c r="M24" s="5" t="s">
        <v>456</v>
      </c>
      <c r="N24" s="6">
        <v>46100</v>
      </c>
      <c r="O24" s="77"/>
    </row>
    <row r="25" spans="1:15">
      <c r="A25" s="10">
        <v>20</v>
      </c>
      <c r="B25" s="9" t="s">
        <v>51</v>
      </c>
      <c r="C25" s="13" t="s">
        <v>517</v>
      </c>
      <c r="D25" s="70" t="s">
        <v>518</v>
      </c>
      <c r="E25" s="79"/>
      <c r="F25" s="80"/>
      <c r="G25" s="65" t="s">
        <v>519</v>
      </c>
      <c r="H25" s="79"/>
      <c r="I25" s="80"/>
      <c r="J25" s="66" t="s">
        <v>520</v>
      </c>
      <c r="K25" s="79"/>
      <c r="L25" s="80"/>
      <c r="M25" s="5" t="s">
        <v>456</v>
      </c>
      <c r="N25" s="6">
        <v>46100</v>
      </c>
      <c r="O25" s="77"/>
    </row>
    <row r="26" spans="1:15">
      <c r="A26" s="10">
        <v>21</v>
      </c>
      <c r="B26" s="9" t="s">
        <v>521</v>
      </c>
      <c r="C26" s="13" t="s">
        <v>522</v>
      </c>
      <c r="D26" s="70" t="s">
        <v>523</v>
      </c>
      <c r="E26" s="79"/>
      <c r="F26" s="80"/>
      <c r="G26" s="65" t="s">
        <v>524</v>
      </c>
      <c r="H26" s="79"/>
      <c r="I26" s="80"/>
      <c r="J26" s="66" t="s">
        <v>525</v>
      </c>
      <c r="K26" s="79"/>
      <c r="L26" s="80"/>
      <c r="M26" s="5" t="s">
        <v>526</v>
      </c>
      <c r="N26" s="6">
        <v>46100</v>
      </c>
      <c r="O26" s="77"/>
    </row>
    <row r="27" spans="1:15">
      <c r="A27" s="10">
        <v>22</v>
      </c>
      <c r="B27" s="9" t="s">
        <v>521</v>
      </c>
      <c r="C27" s="11" t="s">
        <v>527</v>
      </c>
      <c r="D27" s="70" t="s">
        <v>528</v>
      </c>
      <c r="E27" s="79"/>
      <c r="F27" s="80"/>
      <c r="G27" s="65" t="s">
        <v>529</v>
      </c>
      <c r="H27" s="79"/>
      <c r="I27" s="80"/>
      <c r="J27" s="66" t="s">
        <v>524</v>
      </c>
      <c r="K27" s="79"/>
      <c r="L27" s="80"/>
      <c r="M27" s="5" t="s">
        <v>526</v>
      </c>
      <c r="N27" s="6">
        <v>46100</v>
      </c>
      <c r="O27" s="77"/>
    </row>
    <row r="28" spans="1:15">
      <c r="A28" s="10">
        <v>23</v>
      </c>
      <c r="B28" s="9" t="s">
        <v>521</v>
      </c>
      <c r="C28" s="11" t="s">
        <v>530</v>
      </c>
      <c r="D28" s="70" t="s">
        <v>531</v>
      </c>
      <c r="E28" s="79"/>
      <c r="F28" s="80"/>
      <c r="G28" s="65" t="s">
        <v>532</v>
      </c>
      <c r="H28" s="79"/>
      <c r="I28" s="80"/>
      <c r="J28" s="66" t="s">
        <v>468</v>
      </c>
      <c r="K28" s="79"/>
      <c r="L28" s="80"/>
      <c r="M28" s="5" t="s">
        <v>526</v>
      </c>
      <c r="N28" s="6">
        <v>46100</v>
      </c>
      <c r="O28" s="77"/>
    </row>
    <row r="29" spans="1:15">
      <c r="A29" s="10">
        <v>24</v>
      </c>
      <c r="B29" s="9" t="s">
        <v>521</v>
      </c>
      <c r="C29" s="12" t="s">
        <v>533</v>
      </c>
      <c r="D29" s="70" t="s">
        <v>534</v>
      </c>
      <c r="E29" s="79"/>
      <c r="F29" s="80"/>
      <c r="G29" s="65" t="s">
        <v>529</v>
      </c>
      <c r="H29" s="79"/>
      <c r="I29" s="80"/>
      <c r="J29" s="66" t="s">
        <v>535</v>
      </c>
      <c r="K29" s="79"/>
      <c r="L29" s="80"/>
      <c r="M29" s="5" t="s">
        <v>526</v>
      </c>
      <c r="N29" s="6">
        <v>46100</v>
      </c>
      <c r="O29" s="77"/>
    </row>
    <row r="30" spans="1:15">
      <c r="A30" s="10">
        <v>25</v>
      </c>
      <c r="B30" s="9" t="s">
        <v>521</v>
      </c>
      <c r="C30" s="12" t="s">
        <v>536</v>
      </c>
      <c r="D30" s="76" t="s">
        <v>537</v>
      </c>
      <c r="E30" s="79"/>
      <c r="F30" s="80"/>
      <c r="G30" s="65" t="s">
        <v>538</v>
      </c>
      <c r="H30" s="79"/>
      <c r="I30" s="80"/>
      <c r="J30" s="66" t="s">
        <v>539</v>
      </c>
      <c r="K30" s="79"/>
      <c r="L30" s="80"/>
      <c r="M30" s="5" t="s">
        <v>526</v>
      </c>
      <c r="N30" s="6">
        <v>46100</v>
      </c>
      <c r="O30" s="77"/>
    </row>
    <row r="31" spans="1:15">
      <c r="A31" s="10">
        <v>26</v>
      </c>
      <c r="B31" s="9" t="s">
        <v>521</v>
      </c>
      <c r="C31" s="13" t="s">
        <v>540</v>
      </c>
      <c r="D31" s="70" t="s">
        <v>453</v>
      </c>
      <c r="E31" s="79"/>
      <c r="F31" s="80"/>
      <c r="G31" s="65" t="s">
        <v>541</v>
      </c>
      <c r="H31" s="79"/>
      <c r="I31" s="80"/>
      <c r="J31" s="66" t="s">
        <v>542</v>
      </c>
      <c r="K31" s="79"/>
      <c r="L31" s="80"/>
      <c r="M31" s="5" t="s">
        <v>526</v>
      </c>
      <c r="N31" s="6">
        <v>46100</v>
      </c>
      <c r="O31" s="77"/>
    </row>
    <row r="32" spans="1:15">
      <c r="A32" s="10">
        <v>27</v>
      </c>
      <c r="B32" s="9" t="s">
        <v>521</v>
      </c>
      <c r="C32" s="13" t="s">
        <v>543</v>
      </c>
      <c r="D32" s="70" t="s">
        <v>544</v>
      </c>
      <c r="E32" s="79"/>
      <c r="F32" s="80"/>
      <c r="G32" s="65" t="s">
        <v>545</v>
      </c>
      <c r="H32" s="79"/>
      <c r="I32" s="80"/>
      <c r="J32" s="66" t="s">
        <v>546</v>
      </c>
      <c r="K32" s="79"/>
      <c r="L32" s="80"/>
      <c r="M32" s="5" t="s">
        <v>526</v>
      </c>
      <c r="N32" s="6">
        <v>46100</v>
      </c>
      <c r="O32" s="77"/>
    </row>
    <row r="33" spans="1:15">
      <c r="A33" s="10">
        <v>28</v>
      </c>
      <c r="B33" s="9" t="s">
        <v>547</v>
      </c>
      <c r="C33" s="13" t="s">
        <v>376</v>
      </c>
      <c r="D33" s="70" t="s">
        <v>548</v>
      </c>
      <c r="E33" s="79"/>
      <c r="F33" s="80"/>
      <c r="G33" s="65" t="s">
        <v>549</v>
      </c>
      <c r="H33" s="79"/>
      <c r="I33" s="80"/>
      <c r="J33" s="66" t="s">
        <v>550</v>
      </c>
      <c r="K33" s="79"/>
      <c r="L33" s="80"/>
      <c r="M33" s="5" t="s">
        <v>551</v>
      </c>
      <c r="N33" s="6">
        <v>46100</v>
      </c>
      <c r="O33" s="77"/>
    </row>
    <row r="34" spans="1:15">
      <c r="A34" s="10">
        <v>29</v>
      </c>
      <c r="B34" s="9" t="s">
        <v>552</v>
      </c>
      <c r="C34" s="13" t="s">
        <v>274</v>
      </c>
      <c r="D34" s="70" t="s">
        <v>553</v>
      </c>
      <c r="E34" s="79"/>
      <c r="F34" s="80"/>
      <c r="G34" s="65" t="s">
        <v>554</v>
      </c>
      <c r="H34" s="79"/>
      <c r="I34" s="80"/>
      <c r="J34" s="66" t="s">
        <v>555</v>
      </c>
      <c r="K34" s="79"/>
      <c r="L34" s="80"/>
      <c r="M34" s="5" t="s">
        <v>556</v>
      </c>
      <c r="N34" s="6">
        <v>46111</v>
      </c>
      <c r="O34" s="77">
        <v>60</v>
      </c>
    </row>
    <row r="35" spans="1:15">
      <c r="A35" s="10">
        <v>30</v>
      </c>
      <c r="B35" s="9" t="s">
        <v>552</v>
      </c>
      <c r="C35" s="11" t="s">
        <v>557</v>
      </c>
      <c r="D35" s="70" t="s">
        <v>558</v>
      </c>
      <c r="E35" s="79"/>
      <c r="F35" s="80"/>
      <c r="G35" s="65" t="s">
        <v>559</v>
      </c>
      <c r="H35" s="79"/>
      <c r="I35" s="80"/>
      <c r="J35" s="66" t="s">
        <v>560</v>
      </c>
      <c r="K35" s="79"/>
      <c r="L35" s="80"/>
      <c r="M35" s="5" t="s">
        <v>556</v>
      </c>
      <c r="N35" s="6">
        <v>46111</v>
      </c>
      <c r="O35" s="77"/>
    </row>
    <row r="36" spans="1:15">
      <c r="A36" s="10">
        <v>31</v>
      </c>
      <c r="B36" s="9" t="s">
        <v>552</v>
      </c>
      <c r="C36" s="11" t="s">
        <v>561</v>
      </c>
      <c r="D36" s="70" t="s">
        <v>562</v>
      </c>
      <c r="E36" s="79"/>
      <c r="F36" s="80"/>
      <c r="G36" s="65" t="s">
        <v>509</v>
      </c>
      <c r="H36" s="79"/>
      <c r="I36" s="80"/>
      <c r="J36" s="66" t="s">
        <v>563</v>
      </c>
      <c r="K36" s="79"/>
      <c r="L36" s="80"/>
      <c r="M36" s="5" t="s">
        <v>556</v>
      </c>
      <c r="N36" s="6">
        <v>46111</v>
      </c>
      <c r="O36" s="77"/>
    </row>
    <row r="37" spans="1:15">
      <c r="A37" s="10">
        <v>32</v>
      </c>
      <c r="B37" s="9" t="s">
        <v>552</v>
      </c>
      <c r="C37" s="12" t="s">
        <v>564</v>
      </c>
      <c r="D37" s="70" t="s">
        <v>565</v>
      </c>
      <c r="E37" s="79"/>
      <c r="F37" s="80"/>
      <c r="G37" s="65" t="s">
        <v>423</v>
      </c>
      <c r="H37" s="79"/>
      <c r="I37" s="80"/>
      <c r="J37" s="66" t="s">
        <v>67</v>
      </c>
      <c r="K37" s="79"/>
      <c r="L37" s="80"/>
      <c r="M37" s="5" t="s">
        <v>556</v>
      </c>
      <c r="N37" s="6">
        <v>46111</v>
      </c>
      <c r="O37" s="77"/>
    </row>
    <row r="38" spans="1:15">
      <c r="A38" s="10">
        <v>33</v>
      </c>
      <c r="B38" s="9" t="s">
        <v>552</v>
      </c>
      <c r="C38" s="12" t="s">
        <v>566</v>
      </c>
      <c r="D38" s="76" t="s">
        <v>567</v>
      </c>
      <c r="E38" s="79"/>
      <c r="F38" s="80"/>
      <c r="G38" s="65" t="s">
        <v>568</v>
      </c>
      <c r="H38" s="79"/>
      <c r="I38" s="80"/>
      <c r="J38" s="66" t="s">
        <v>569</v>
      </c>
      <c r="K38" s="79"/>
      <c r="L38" s="80"/>
      <c r="M38" s="5" t="s">
        <v>556</v>
      </c>
      <c r="N38" s="6">
        <v>46111</v>
      </c>
      <c r="O38" s="77"/>
    </row>
    <row r="39" spans="1:15">
      <c r="A39" s="10">
        <v>34</v>
      </c>
      <c r="B39" s="9" t="s">
        <v>552</v>
      </c>
      <c r="C39" s="13" t="s">
        <v>570</v>
      </c>
      <c r="D39" s="70" t="s">
        <v>571</v>
      </c>
      <c r="E39" s="79"/>
      <c r="F39" s="80"/>
      <c r="G39" s="65" t="s">
        <v>572</v>
      </c>
      <c r="H39" s="79"/>
      <c r="I39" s="80"/>
      <c r="J39" s="66" t="s">
        <v>573</v>
      </c>
      <c r="K39" s="79"/>
      <c r="L39" s="80"/>
      <c r="M39" s="5" t="s">
        <v>556</v>
      </c>
      <c r="N39" s="6">
        <v>46111</v>
      </c>
      <c r="O39" s="77"/>
    </row>
    <row r="40" spans="1:15">
      <c r="A40" s="10">
        <v>35</v>
      </c>
      <c r="B40" s="9" t="s">
        <v>552</v>
      </c>
      <c r="C40" s="13" t="s">
        <v>574</v>
      </c>
      <c r="D40" s="70" t="s">
        <v>575</v>
      </c>
      <c r="E40" s="79"/>
      <c r="F40" s="80"/>
      <c r="G40" s="65" t="s">
        <v>576</v>
      </c>
      <c r="H40" s="79"/>
      <c r="I40" s="80"/>
      <c r="J40" s="66" t="s">
        <v>577</v>
      </c>
      <c r="K40" s="79"/>
      <c r="L40" s="80"/>
      <c r="M40" s="5" t="s">
        <v>556</v>
      </c>
      <c r="N40" s="6">
        <v>46111</v>
      </c>
      <c r="O40" s="77"/>
    </row>
    <row r="41" spans="1:15">
      <c r="A41" s="10">
        <v>36</v>
      </c>
      <c r="B41" s="9" t="s">
        <v>552</v>
      </c>
      <c r="C41" s="13" t="s">
        <v>578</v>
      </c>
      <c r="D41" s="70" t="s">
        <v>579</v>
      </c>
      <c r="E41" s="79"/>
      <c r="F41" s="80"/>
      <c r="G41" s="65" t="s">
        <v>580</v>
      </c>
      <c r="H41" s="79"/>
      <c r="I41" s="80"/>
      <c r="J41" s="66" t="s">
        <v>581</v>
      </c>
      <c r="K41" s="79"/>
      <c r="L41" s="80"/>
      <c r="M41" s="5" t="s">
        <v>556</v>
      </c>
      <c r="N41" s="6">
        <v>46111</v>
      </c>
      <c r="O41" s="77"/>
    </row>
    <row r="42" spans="1:15">
      <c r="A42" s="10">
        <v>37</v>
      </c>
      <c r="B42" s="9" t="s">
        <v>547</v>
      </c>
      <c r="C42" s="13" t="s">
        <v>582</v>
      </c>
      <c r="D42" s="70" t="s">
        <v>484</v>
      </c>
      <c r="E42" s="79"/>
      <c r="F42" s="80"/>
      <c r="G42" s="65" t="s">
        <v>583</v>
      </c>
      <c r="H42" s="79"/>
      <c r="I42" s="80"/>
      <c r="J42" s="66" t="s">
        <v>584</v>
      </c>
      <c r="K42" s="79"/>
      <c r="L42" s="80"/>
      <c r="M42" s="5" t="s">
        <v>551</v>
      </c>
      <c r="N42" s="6">
        <v>46111</v>
      </c>
      <c r="O42" s="77"/>
    </row>
    <row r="43" spans="1:15">
      <c r="A43" s="10">
        <v>38</v>
      </c>
      <c r="B43" s="9"/>
      <c r="C43" s="4"/>
      <c r="D43" s="70"/>
      <c r="E43" s="79"/>
      <c r="F43" s="80"/>
      <c r="G43" s="65"/>
      <c r="H43" s="79"/>
      <c r="I43" s="80"/>
      <c r="J43" s="66"/>
      <c r="K43" s="79"/>
      <c r="L43" s="80"/>
      <c r="M43" s="5"/>
      <c r="N43" s="6"/>
      <c r="O43" s="15"/>
    </row>
    <row r="44" spans="1:15">
      <c r="A44" s="10">
        <v>39</v>
      </c>
      <c r="B44" s="9"/>
      <c r="C44" s="4"/>
      <c r="D44" s="70"/>
      <c r="E44" s="79"/>
      <c r="F44" s="80"/>
      <c r="G44" s="65"/>
      <c r="H44" s="79"/>
      <c r="I44" s="80"/>
      <c r="J44" s="66"/>
      <c r="K44" s="79"/>
      <c r="L44" s="80"/>
      <c r="M44" s="5"/>
      <c r="N44" s="6"/>
      <c r="O44" s="15"/>
    </row>
    <row r="45" spans="1:15">
      <c r="A45" s="10">
        <v>40</v>
      </c>
      <c r="B45" s="9"/>
      <c r="C45" s="7"/>
      <c r="D45" s="75"/>
      <c r="E45" s="79"/>
      <c r="F45" s="80"/>
      <c r="G45" s="74"/>
      <c r="H45" s="79"/>
      <c r="I45" s="80"/>
      <c r="J45" s="74"/>
      <c r="K45" s="79"/>
      <c r="L45" s="80"/>
      <c r="M45" s="8"/>
      <c r="N45" s="6"/>
      <c r="O45" s="15"/>
    </row>
    <row r="46" spans="1:15">
      <c r="A46" s="10">
        <v>41</v>
      </c>
      <c r="B46" s="9"/>
      <c r="C46" s="7"/>
      <c r="D46" s="75"/>
      <c r="E46" s="79"/>
      <c r="F46" s="80"/>
      <c r="G46" s="74"/>
      <c r="H46" s="79"/>
      <c r="I46" s="80"/>
      <c r="J46" s="74"/>
      <c r="K46" s="79"/>
      <c r="L46" s="80"/>
      <c r="M46" s="8"/>
      <c r="N46" s="6"/>
      <c r="O46" s="15"/>
    </row>
    <row r="47" spans="1:15">
      <c r="A47" s="10">
        <v>42</v>
      </c>
      <c r="B47" s="9"/>
      <c r="C47" s="7"/>
      <c r="D47" s="75"/>
      <c r="E47" s="79"/>
      <c r="F47" s="80"/>
      <c r="G47" s="74"/>
      <c r="H47" s="79"/>
      <c r="I47" s="80"/>
      <c r="J47" s="74"/>
      <c r="K47" s="79"/>
      <c r="L47" s="80"/>
      <c r="M47" s="8"/>
      <c r="N47" s="6"/>
      <c r="O47" s="15"/>
    </row>
    <row r="48" spans="1:15">
      <c r="A48" s="10">
        <v>43</v>
      </c>
      <c r="B48" s="9"/>
      <c r="C48" s="7"/>
      <c r="D48" s="75"/>
      <c r="E48" s="79"/>
      <c r="F48" s="80"/>
      <c r="G48" s="74"/>
      <c r="H48" s="79"/>
      <c r="I48" s="80"/>
      <c r="J48" s="74"/>
      <c r="K48" s="79"/>
      <c r="L48" s="80"/>
      <c r="M48" s="8"/>
      <c r="N48" s="6"/>
      <c r="O48" s="15"/>
    </row>
    <row r="49" spans="1:15">
      <c r="A49" s="10">
        <v>44</v>
      </c>
      <c r="B49" s="9"/>
      <c r="C49" s="7"/>
      <c r="D49" s="75"/>
      <c r="E49" s="79"/>
      <c r="F49" s="80"/>
      <c r="G49" s="74"/>
      <c r="H49" s="79"/>
      <c r="I49" s="80"/>
      <c r="J49" s="74"/>
      <c r="K49" s="79"/>
      <c r="L49" s="80"/>
      <c r="M49" s="8"/>
      <c r="N49" s="6"/>
      <c r="O49" s="15"/>
    </row>
    <row r="50" spans="1:15">
      <c r="A50" s="10">
        <v>45</v>
      </c>
      <c r="B50" s="9"/>
      <c r="C50" s="7"/>
      <c r="D50" s="75"/>
      <c r="E50" s="79"/>
      <c r="F50" s="80"/>
      <c r="G50" s="74"/>
      <c r="H50" s="79"/>
      <c r="I50" s="80"/>
      <c r="J50" s="74"/>
      <c r="K50" s="79"/>
      <c r="L50" s="80"/>
      <c r="M50" s="8"/>
      <c r="N50" s="6"/>
      <c r="O50" s="15"/>
    </row>
    <row r="51" spans="1:15">
      <c r="A51" s="10">
        <v>46</v>
      </c>
      <c r="B51" s="9"/>
      <c r="C51" s="7"/>
      <c r="D51" s="75"/>
      <c r="E51" s="79"/>
      <c r="F51" s="80"/>
      <c r="G51" s="74"/>
      <c r="H51" s="79"/>
      <c r="I51" s="80"/>
      <c r="J51" s="74"/>
      <c r="K51" s="79"/>
      <c r="L51" s="80"/>
      <c r="M51" s="8"/>
      <c r="N51" s="6"/>
      <c r="O51" s="15"/>
    </row>
    <row r="52" spans="1:15">
      <c r="A52" s="10">
        <v>47</v>
      </c>
      <c r="B52" s="9"/>
      <c r="C52" s="7"/>
      <c r="D52" s="75"/>
      <c r="E52" s="79"/>
      <c r="F52" s="80"/>
      <c r="G52" s="74"/>
      <c r="H52" s="79"/>
      <c r="I52" s="80"/>
      <c r="J52" s="74"/>
      <c r="K52" s="79"/>
      <c r="L52" s="80"/>
      <c r="M52" s="8"/>
      <c r="N52" s="6"/>
      <c r="O52" s="15"/>
    </row>
    <row r="53" spans="1:15">
      <c r="A53" s="10">
        <v>48</v>
      </c>
      <c r="B53" s="9"/>
      <c r="C53" s="7"/>
      <c r="D53" s="75"/>
      <c r="E53" s="79"/>
      <c r="F53" s="80"/>
      <c r="G53" s="74"/>
      <c r="H53" s="79"/>
      <c r="I53" s="80"/>
      <c r="J53" s="74"/>
      <c r="K53" s="79"/>
      <c r="L53" s="80"/>
      <c r="M53" s="8"/>
      <c r="N53" s="6"/>
      <c r="O53" s="15"/>
    </row>
    <row r="54" spans="1:15">
      <c r="A54" s="10">
        <v>49</v>
      </c>
      <c r="B54" s="9"/>
      <c r="C54" s="7"/>
      <c r="D54" s="75"/>
      <c r="E54" s="79"/>
      <c r="F54" s="80"/>
      <c r="G54" s="74"/>
      <c r="H54" s="79"/>
      <c r="I54" s="80"/>
      <c r="J54" s="74"/>
      <c r="K54" s="79"/>
      <c r="L54" s="80"/>
      <c r="M54" s="8"/>
      <c r="N54" s="6"/>
      <c r="O54" s="15"/>
    </row>
    <row r="55" spans="1:15">
      <c r="A55" s="10">
        <v>50</v>
      </c>
      <c r="B55" s="9"/>
      <c r="C55" s="7"/>
      <c r="D55" s="75"/>
      <c r="E55" s="79"/>
      <c r="F55" s="80"/>
      <c r="G55" s="74"/>
      <c r="H55" s="79"/>
      <c r="I55" s="80"/>
      <c r="J55" s="74"/>
      <c r="K55" s="79"/>
      <c r="L55" s="80"/>
      <c r="M55" s="8"/>
      <c r="N55" s="6"/>
      <c r="O55" s="15"/>
    </row>
    <row r="56" spans="1:15">
      <c r="A56" s="10">
        <v>51</v>
      </c>
      <c r="B56" s="9"/>
      <c r="C56" s="7"/>
      <c r="D56" s="75"/>
      <c r="E56" s="79"/>
      <c r="F56" s="80"/>
      <c r="G56" s="74"/>
      <c r="H56" s="79"/>
      <c r="I56" s="80"/>
      <c r="J56" s="74"/>
      <c r="K56" s="79"/>
      <c r="L56" s="80"/>
      <c r="M56" s="8"/>
      <c r="N56" s="6"/>
      <c r="O56" s="15"/>
    </row>
    <row r="57" spans="1:15">
      <c r="A57" s="10">
        <v>52</v>
      </c>
      <c r="B57" s="9"/>
      <c r="C57" s="7"/>
      <c r="D57" s="75"/>
      <c r="E57" s="79"/>
      <c r="F57" s="80"/>
      <c r="G57" s="74"/>
      <c r="H57" s="79"/>
      <c r="I57" s="80"/>
      <c r="J57" s="74"/>
      <c r="K57" s="79"/>
      <c r="L57" s="80"/>
      <c r="M57" s="8"/>
      <c r="N57" s="6"/>
      <c r="O57" s="15"/>
    </row>
    <row r="58" spans="1:15">
      <c r="A58" s="10">
        <v>53</v>
      </c>
      <c r="B58" s="9"/>
      <c r="C58" s="7"/>
      <c r="D58" s="75"/>
      <c r="E58" s="79"/>
      <c r="F58" s="80"/>
      <c r="G58" s="74"/>
      <c r="H58" s="79"/>
      <c r="I58" s="80"/>
      <c r="J58" s="74"/>
      <c r="K58" s="79"/>
      <c r="L58" s="80"/>
      <c r="M58" s="8"/>
      <c r="N58" s="6"/>
      <c r="O58" s="15"/>
    </row>
    <row r="59" spans="1:15">
      <c r="A59" s="10">
        <v>54</v>
      </c>
      <c r="B59" s="9"/>
      <c r="C59" s="7"/>
      <c r="D59" s="75"/>
      <c r="E59" s="79"/>
      <c r="F59" s="80"/>
      <c r="G59" s="74"/>
      <c r="H59" s="79"/>
      <c r="I59" s="80"/>
      <c r="J59" s="74"/>
      <c r="K59" s="79"/>
      <c r="L59" s="80"/>
      <c r="M59" s="8"/>
      <c r="N59" s="6"/>
      <c r="O59" s="15"/>
    </row>
    <row r="60" spans="1:15">
      <c r="A60" s="10">
        <v>55</v>
      </c>
      <c r="B60" s="9"/>
      <c r="C60" s="7"/>
      <c r="D60" s="75"/>
      <c r="E60" s="79"/>
      <c r="F60" s="80"/>
      <c r="G60" s="74"/>
      <c r="H60" s="79"/>
      <c r="I60" s="80"/>
      <c r="J60" s="74"/>
      <c r="K60" s="79"/>
      <c r="L60" s="80"/>
      <c r="M60" s="8"/>
      <c r="N60" s="6"/>
      <c r="O60" s="15"/>
    </row>
    <row r="61" spans="1:15">
      <c r="A61" s="10">
        <v>56</v>
      </c>
      <c r="B61" s="9"/>
      <c r="C61" s="7"/>
      <c r="D61" s="75"/>
      <c r="E61" s="79"/>
      <c r="F61" s="80"/>
      <c r="G61" s="74"/>
      <c r="H61" s="79"/>
      <c r="I61" s="80"/>
      <c r="J61" s="74"/>
      <c r="K61" s="79"/>
      <c r="L61" s="80"/>
      <c r="M61" s="8"/>
      <c r="N61" s="6"/>
      <c r="O61" s="15"/>
    </row>
    <row r="62" spans="1:15">
      <c r="A62" s="10">
        <v>57</v>
      </c>
      <c r="B62" s="9"/>
      <c r="C62" s="7"/>
      <c r="D62" s="75"/>
      <c r="E62" s="79"/>
      <c r="F62" s="80"/>
      <c r="G62" s="74"/>
      <c r="H62" s="79"/>
      <c r="I62" s="80"/>
      <c r="J62" s="74"/>
      <c r="K62" s="79"/>
      <c r="L62" s="80"/>
      <c r="M62" s="8"/>
      <c r="N62" s="6"/>
      <c r="O62" s="15"/>
    </row>
    <row r="63" spans="1:15">
      <c r="A63" s="10">
        <v>58</v>
      </c>
      <c r="B63" s="9"/>
      <c r="C63" s="7"/>
      <c r="D63" s="75"/>
      <c r="E63" s="79"/>
      <c r="F63" s="80"/>
      <c r="G63" s="74"/>
      <c r="H63" s="79"/>
      <c r="I63" s="80"/>
      <c r="J63" s="74"/>
      <c r="K63" s="79"/>
      <c r="L63" s="80"/>
      <c r="M63" s="8"/>
      <c r="N63" s="6"/>
      <c r="O63" s="15"/>
    </row>
    <row r="64" spans="1:15">
      <c r="A64" s="10">
        <v>59</v>
      </c>
      <c r="B64" s="9"/>
      <c r="C64" s="7"/>
      <c r="D64" s="75"/>
      <c r="E64" s="79"/>
      <c r="F64" s="80"/>
      <c r="G64" s="74"/>
      <c r="H64" s="79"/>
      <c r="I64" s="80"/>
      <c r="J64" s="74"/>
      <c r="K64" s="79"/>
      <c r="L64" s="80"/>
      <c r="M64" s="8"/>
      <c r="N64" s="6"/>
      <c r="O64" s="15"/>
    </row>
    <row r="65" spans="1:15">
      <c r="A65" s="10">
        <v>60</v>
      </c>
      <c r="B65" s="9"/>
      <c r="C65" s="7"/>
      <c r="D65" s="75"/>
      <c r="E65" s="79"/>
      <c r="F65" s="80"/>
      <c r="G65" s="74"/>
      <c r="H65" s="79"/>
      <c r="I65" s="80"/>
      <c r="J65" s="74"/>
      <c r="K65" s="79"/>
      <c r="L65" s="80"/>
      <c r="M65" s="8"/>
      <c r="N65" s="6"/>
      <c r="O65" s="15"/>
    </row>
    <row r="66" spans="1:15">
      <c r="A66" s="10">
        <v>61</v>
      </c>
      <c r="B66" s="9"/>
      <c r="C66" s="7"/>
      <c r="D66" s="75"/>
      <c r="E66" s="79"/>
      <c r="F66" s="80"/>
      <c r="G66" s="74"/>
      <c r="H66" s="79"/>
      <c r="I66" s="80"/>
      <c r="J66" s="74"/>
      <c r="K66" s="79"/>
      <c r="L66" s="80"/>
      <c r="M66" s="8"/>
      <c r="N66" s="6"/>
      <c r="O66" s="15"/>
    </row>
    <row r="67" spans="1:15">
      <c r="A67" s="10">
        <v>62</v>
      </c>
      <c r="B67" s="9"/>
      <c r="C67" s="7"/>
      <c r="D67" s="75"/>
      <c r="E67" s="79"/>
      <c r="F67" s="80"/>
      <c r="G67" s="74"/>
      <c r="H67" s="79"/>
      <c r="I67" s="80"/>
      <c r="J67" s="74"/>
      <c r="K67" s="79"/>
      <c r="L67" s="80"/>
      <c r="M67" s="8"/>
      <c r="N67" s="6"/>
      <c r="O67" s="15"/>
    </row>
    <row r="68" spans="1:15">
      <c r="A68" s="10">
        <v>63</v>
      </c>
      <c r="B68" s="9"/>
      <c r="C68" s="7"/>
      <c r="D68" s="75"/>
      <c r="E68" s="79"/>
      <c r="F68" s="80"/>
      <c r="G68" s="74"/>
      <c r="H68" s="79"/>
      <c r="I68" s="80"/>
      <c r="J68" s="74"/>
      <c r="K68" s="79"/>
      <c r="L68" s="80"/>
      <c r="M68" s="8"/>
      <c r="N68" s="6"/>
      <c r="O68" s="15"/>
    </row>
    <row r="69" spans="1:15">
      <c r="A69" s="10">
        <v>64</v>
      </c>
      <c r="B69" s="9"/>
      <c r="C69" s="7"/>
      <c r="D69" s="75"/>
      <c r="E69" s="79"/>
      <c r="F69" s="80"/>
      <c r="G69" s="74"/>
      <c r="H69" s="79"/>
      <c r="I69" s="80"/>
      <c r="J69" s="74"/>
      <c r="K69" s="79"/>
      <c r="L69" s="80"/>
      <c r="M69" s="8"/>
      <c r="N69" s="6"/>
      <c r="O69" s="15"/>
    </row>
    <row r="70" spans="1:15">
      <c r="A70" s="10">
        <v>65</v>
      </c>
      <c r="B70" s="9"/>
      <c r="C70" s="7"/>
      <c r="D70" s="75"/>
      <c r="E70" s="79"/>
      <c r="F70" s="80"/>
      <c r="G70" s="74"/>
      <c r="H70" s="79"/>
      <c r="I70" s="80"/>
      <c r="J70" s="74"/>
      <c r="K70" s="79"/>
      <c r="L70" s="80"/>
      <c r="M70" s="8"/>
      <c r="N70" s="6"/>
      <c r="O70" s="15"/>
    </row>
    <row r="71" spans="1:15">
      <c r="A71" s="10">
        <v>66</v>
      </c>
      <c r="B71" s="9"/>
      <c r="C71" s="7"/>
      <c r="D71" s="75"/>
      <c r="E71" s="79"/>
      <c r="F71" s="80"/>
      <c r="G71" s="74"/>
      <c r="H71" s="79"/>
      <c r="I71" s="80"/>
      <c r="J71" s="74"/>
      <c r="K71" s="79"/>
      <c r="L71" s="80"/>
      <c r="M71" s="8"/>
      <c r="N71" s="6"/>
      <c r="O71" s="15"/>
    </row>
    <row r="72" spans="1:15">
      <c r="A72" s="10">
        <v>67</v>
      </c>
      <c r="B72" s="9"/>
      <c r="C72" s="7"/>
      <c r="D72" s="75"/>
      <c r="E72" s="79"/>
      <c r="F72" s="80"/>
      <c r="G72" s="74"/>
      <c r="H72" s="79"/>
      <c r="I72" s="80"/>
      <c r="J72" s="74"/>
      <c r="K72" s="79"/>
      <c r="L72" s="80"/>
      <c r="M72" s="8"/>
      <c r="N72" s="6"/>
      <c r="O72" s="15"/>
    </row>
    <row r="73" spans="1:15">
      <c r="A73" s="10">
        <v>68</v>
      </c>
      <c r="B73" s="9"/>
      <c r="C73" s="7"/>
      <c r="D73" s="75"/>
      <c r="E73" s="79"/>
      <c r="F73" s="80"/>
      <c r="G73" s="74"/>
      <c r="H73" s="79"/>
      <c r="I73" s="80"/>
      <c r="J73" s="74"/>
      <c r="K73" s="79"/>
      <c r="L73" s="80"/>
      <c r="M73" s="8"/>
      <c r="N73" s="6"/>
      <c r="O73" s="15"/>
    </row>
    <row r="74" spans="1:15">
      <c r="A74" s="10">
        <v>69</v>
      </c>
      <c r="B74" s="9"/>
      <c r="C74" s="7"/>
      <c r="D74" s="75"/>
      <c r="E74" s="79"/>
      <c r="F74" s="80"/>
      <c r="G74" s="74"/>
      <c r="H74" s="79"/>
      <c r="I74" s="80"/>
      <c r="J74" s="74"/>
      <c r="K74" s="79"/>
      <c r="L74" s="80"/>
      <c r="M74" s="8"/>
      <c r="N74" s="6"/>
      <c r="O74" s="15"/>
    </row>
    <row r="75" spans="1:15">
      <c r="A75" s="10">
        <v>70</v>
      </c>
      <c r="B75" s="9"/>
      <c r="C75" s="7"/>
      <c r="D75" s="75"/>
      <c r="E75" s="79"/>
      <c r="F75" s="80"/>
      <c r="G75" s="74"/>
      <c r="H75" s="79"/>
      <c r="I75" s="80"/>
      <c r="J75" s="74"/>
      <c r="K75" s="79"/>
      <c r="L75" s="80"/>
      <c r="M75" s="8"/>
      <c r="N75" s="6"/>
      <c r="O75" s="15"/>
    </row>
    <row r="76" spans="1:15">
      <c r="A76" s="10">
        <v>71</v>
      </c>
      <c r="B76" s="9"/>
      <c r="C76" s="7"/>
      <c r="D76" s="75"/>
      <c r="E76" s="79"/>
      <c r="F76" s="80"/>
      <c r="G76" s="74"/>
      <c r="H76" s="79"/>
      <c r="I76" s="80"/>
      <c r="J76" s="74"/>
      <c r="K76" s="79"/>
      <c r="L76" s="80"/>
      <c r="M76" s="8"/>
      <c r="N76" s="6"/>
      <c r="O76" s="15"/>
    </row>
    <row r="77" spans="1:15">
      <c r="A77" s="10">
        <v>72</v>
      </c>
      <c r="B77" s="9"/>
      <c r="C77" s="7"/>
      <c r="D77" s="75"/>
      <c r="E77" s="79"/>
      <c r="F77" s="80"/>
      <c r="G77" s="74"/>
      <c r="H77" s="79"/>
      <c r="I77" s="80"/>
      <c r="J77" s="74"/>
      <c r="K77" s="79"/>
      <c r="L77" s="80"/>
      <c r="M77" s="8"/>
      <c r="N77" s="6"/>
      <c r="O77" s="15"/>
    </row>
    <row r="78" spans="1:15">
      <c r="A78" s="10">
        <v>73</v>
      </c>
      <c r="B78" s="9"/>
      <c r="C78" s="7"/>
      <c r="D78" s="75"/>
      <c r="E78" s="79"/>
      <c r="F78" s="80"/>
      <c r="G78" s="74"/>
      <c r="H78" s="79"/>
      <c r="I78" s="80"/>
      <c r="J78" s="74"/>
      <c r="K78" s="79"/>
      <c r="L78" s="80"/>
      <c r="M78" s="8"/>
      <c r="N78" s="6"/>
      <c r="O78" s="15"/>
    </row>
    <row r="79" spans="1:15">
      <c r="A79" s="10">
        <v>74</v>
      </c>
      <c r="B79" s="9"/>
      <c r="C79" s="7"/>
      <c r="D79" s="75"/>
      <c r="E79" s="79"/>
      <c r="F79" s="80"/>
      <c r="G79" s="74"/>
      <c r="H79" s="79"/>
      <c r="I79" s="80"/>
      <c r="J79" s="74"/>
      <c r="K79" s="79"/>
      <c r="L79" s="80"/>
      <c r="M79" s="8"/>
      <c r="N79" s="6"/>
      <c r="O79" s="15"/>
    </row>
    <row r="80" spans="1:15">
      <c r="A80" s="10">
        <v>75</v>
      </c>
      <c r="B80" s="9"/>
      <c r="C80" s="7"/>
      <c r="D80" s="75"/>
      <c r="E80" s="79"/>
      <c r="F80" s="80"/>
      <c r="G80" s="74"/>
      <c r="H80" s="79"/>
      <c r="I80" s="80"/>
      <c r="J80" s="74"/>
      <c r="K80" s="79"/>
      <c r="L80" s="80"/>
      <c r="M80" s="8"/>
      <c r="N80" s="6"/>
      <c r="O80" s="15"/>
    </row>
    <row r="81" spans="1:15">
      <c r="A81" s="10">
        <v>76</v>
      </c>
      <c r="B81" s="9"/>
      <c r="C81" s="7"/>
      <c r="D81" s="75"/>
      <c r="E81" s="79"/>
      <c r="F81" s="80"/>
      <c r="G81" s="74"/>
      <c r="H81" s="79"/>
      <c r="I81" s="80"/>
      <c r="J81" s="74"/>
      <c r="K81" s="79"/>
      <c r="L81" s="80"/>
      <c r="M81" s="8"/>
      <c r="N81" s="6"/>
      <c r="O81" s="15"/>
    </row>
    <row r="82" spans="1:15">
      <c r="A82" s="10">
        <v>77</v>
      </c>
      <c r="B82" s="9"/>
      <c r="C82" s="7"/>
      <c r="D82" s="75"/>
      <c r="E82" s="79"/>
      <c r="F82" s="80"/>
      <c r="G82" s="74"/>
      <c r="H82" s="79"/>
      <c r="I82" s="80"/>
      <c r="J82" s="74"/>
      <c r="K82" s="79"/>
      <c r="L82" s="80"/>
      <c r="M82" s="8"/>
      <c r="N82" s="6"/>
      <c r="O82" s="15"/>
    </row>
    <row r="83" spans="1:15">
      <c r="A83" s="10">
        <v>78</v>
      </c>
      <c r="B83" s="9"/>
      <c r="C83" s="7"/>
      <c r="D83" s="75"/>
      <c r="E83" s="79"/>
      <c r="F83" s="80"/>
      <c r="G83" s="74"/>
      <c r="H83" s="79"/>
      <c r="I83" s="80"/>
      <c r="J83" s="74"/>
      <c r="K83" s="79"/>
      <c r="L83" s="80"/>
      <c r="M83" s="8"/>
      <c r="N83" s="6"/>
      <c r="O83" s="15"/>
    </row>
    <row r="84" spans="1:15">
      <c r="A84" s="10">
        <v>79</v>
      </c>
      <c r="B84" s="9"/>
      <c r="C84" s="7"/>
      <c r="D84" s="75"/>
      <c r="E84" s="79"/>
      <c r="F84" s="80"/>
      <c r="G84" s="74"/>
      <c r="H84" s="79"/>
      <c r="I84" s="80"/>
      <c r="J84" s="74"/>
      <c r="K84" s="79"/>
      <c r="L84" s="80"/>
      <c r="M84" s="8"/>
      <c r="N84" s="6"/>
      <c r="O84" s="15"/>
    </row>
    <row r="85" spans="1:15">
      <c r="A85" s="10">
        <v>80</v>
      </c>
      <c r="B85" s="9"/>
      <c r="C85" s="7"/>
      <c r="D85" s="75"/>
      <c r="E85" s="79"/>
      <c r="F85" s="80"/>
      <c r="G85" s="74"/>
      <c r="H85" s="79"/>
      <c r="I85" s="80"/>
      <c r="J85" s="74"/>
      <c r="K85" s="79"/>
      <c r="L85" s="80"/>
      <c r="M85" s="8"/>
      <c r="N85" s="6"/>
      <c r="O85" s="15"/>
    </row>
    <row r="86" spans="1:15">
      <c r="A86" s="10">
        <v>81</v>
      </c>
      <c r="B86" s="9"/>
      <c r="C86" s="7"/>
      <c r="D86" s="75"/>
      <c r="E86" s="79"/>
      <c r="F86" s="80"/>
      <c r="G86" s="74"/>
      <c r="H86" s="79"/>
      <c r="I86" s="80"/>
      <c r="J86" s="74"/>
      <c r="K86" s="79"/>
      <c r="L86" s="80"/>
      <c r="M86" s="8"/>
      <c r="N86" s="6"/>
      <c r="O86" s="15"/>
    </row>
    <row r="87" spans="1:15">
      <c r="A87" s="10">
        <v>82</v>
      </c>
      <c r="B87" s="9"/>
      <c r="C87" s="7"/>
      <c r="D87" s="75"/>
      <c r="E87" s="79"/>
      <c r="F87" s="80"/>
      <c r="G87" s="74"/>
      <c r="H87" s="79"/>
      <c r="I87" s="80"/>
      <c r="J87" s="74"/>
      <c r="K87" s="79"/>
      <c r="L87" s="80"/>
      <c r="M87" s="8"/>
      <c r="N87" s="6"/>
      <c r="O87" s="15"/>
    </row>
    <row r="88" spans="1:15">
      <c r="A88" s="10">
        <v>83</v>
      </c>
      <c r="B88" s="9"/>
      <c r="C88" s="7"/>
      <c r="D88" s="75"/>
      <c r="E88" s="79"/>
      <c r="F88" s="80"/>
      <c r="G88" s="74"/>
      <c r="H88" s="79"/>
      <c r="I88" s="80"/>
      <c r="J88" s="74"/>
      <c r="K88" s="79"/>
      <c r="L88" s="80"/>
      <c r="M88" s="8"/>
      <c r="N88" s="6"/>
      <c r="O88" s="15"/>
    </row>
    <row r="89" spans="1:15">
      <c r="A89" s="10">
        <v>84</v>
      </c>
      <c r="B89" s="9"/>
      <c r="C89" s="7"/>
      <c r="D89" s="75"/>
      <c r="E89" s="79"/>
      <c r="F89" s="80"/>
      <c r="G89" s="74"/>
      <c r="H89" s="79"/>
      <c r="I89" s="80"/>
      <c r="J89" s="74"/>
      <c r="K89" s="79"/>
      <c r="L89" s="80"/>
      <c r="M89" s="8"/>
      <c r="N89" s="6"/>
      <c r="O89" s="15"/>
    </row>
    <row r="90" spans="1:15">
      <c r="A90" s="10">
        <v>85</v>
      </c>
      <c r="B90" s="9"/>
      <c r="C90" s="7"/>
      <c r="D90" s="75"/>
      <c r="E90" s="79"/>
      <c r="F90" s="80"/>
      <c r="G90" s="74"/>
      <c r="H90" s="79"/>
      <c r="I90" s="80"/>
      <c r="J90" s="74"/>
      <c r="K90" s="79"/>
      <c r="L90" s="80"/>
      <c r="M90" s="8"/>
      <c r="N90" s="6"/>
      <c r="O90" s="15"/>
    </row>
    <row r="91" spans="1:15">
      <c r="A91" s="10">
        <v>86</v>
      </c>
      <c r="B91" s="9"/>
      <c r="C91" s="7"/>
      <c r="D91" s="75"/>
      <c r="E91" s="79"/>
      <c r="F91" s="80"/>
      <c r="G91" s="74"/>
      <c r="H91" s="79"/>
      <c r="I91" s="80"/>
      <c r="J91" s="74"/>
      <c r="K91" s="79"/>
      <c r="L91" s="80"/>
      <c r="M91" s="8"/>
      <c r="N91" s="6"/>
      <c r="O91" s="15"/>
    </row>
    <row r="92" spans="1:15">
      <c r="A92" s="10">
        <v>87</v>
      </c>
      <c r="B92" s="9"/>
      <c r="C92" s="7"/>
      <c r="D92" s="75"/>
      <c r="E92" s="79"/>
      <c r="F92" s="80"/>
      <c r="G92" s="74"/>
      <c r="H92" s="79"/>
      <c r="I92" s="80"/>
      <c r="J92" s="74"/>
      <c r="K92" s="79"/>
      <c r="L92" s="80"/>
      <c r="M92" s="8"/>
      <c r="N92" s="6"/>
      <c r="O92" s="15"/>
    </row>
    <row r="93" spans="1:15">
      <c r="A93" s="10">
        <v>88</v>
      </c>
      <c r="B93" s="9"/>
      <c r="C93" s="7"/>
      <c r="D93" s="75"/>
      <c r="E93" s="79"/>
      <c r="F93" s="80"/>
      <c r="G93" s="74"/>
      <c r="H93" s="79"/>
      <c r="I93" s="80"/>
      <c r="J93" s="74"/>
      <c r="K93" s="79"/>
      <c r="L93" s="80"/>
      <c r="M93" s="8"/>
      <c r="N93" s="6"/>
      <c r="O93" s="15"/>
    </row>
    <row r="94" spans="1:15">
      <c r="A94" s="10">
        <v>89</v>
      </c>
      <c r="B94" s="9"/>
      <c r="C94" s="7"/>
      <c r="D94" s="75"/>
      <c r="E94" s="79"/>
      <c r="F94" s="80"/>
      <c r="G94" s="74"/>
      <c r="H94" s="79"/>
      <c r="I94" s="80"/>
      <c r="J94" s="74"/>
      <c r="K94" s="79"/>
      <c r="L94" s="80"/>
      <c r="M94" s="8"/>
      <c r="N94" s="6"/>
      <c r="O94" s="15"/>
    </row>
    <row r="95" spans="1:15">
      <c r="A95" s="10">
        <v>90</v>
      </c>
      <c r="B95" s="9"/>
      <c r="C95" s="7"/>
      <c r="D95" s="75"/>
      <c r="E95" s="79"/>
      <c r="F95" s="80"/>
      <c r="G95" s="74"/>
      <c r="H95" s="79"/>
      <c r="I95" s="80"/>
      <c r="J95" s="74"/>
      <c r="K95" s="79"/>
      <c r="L95" s="80"/>
      <c r="M95" s="8"/>
      <c r="N95" s="6"/>
      <c r="O95" s="15"/>
    </row>
    <row r="96" spans="1:15">
      <c r="A96" s="10">
        <v>91</v>
      </c>
      <c r="B96" s="9"/>
      <c r="C96" s="7"/>
      <c r="D96" s="75"/>
      <c r="E96" s="79"/>
      <c r="F96" s="80"/>
      <c r="G96" s="74"/>
      <c r="H96" s="79"/>
      <c r="I96" s="80"/>
      <c r="J96" s="74"/>
      <c r="K96" s="79"/>
      <c r="L96" s="80"/>
      <c r="M96" s="8"/>
      <c r="N96" s="6"/>
      <c r="O96" s="15"/>
    </row>
    <row r="97" spans="1:15">
      <c r="A97" s="10">
        <v>92</v>
      </c>
      <c r="B97" s="9"/>
      <c r="C97" s="7"/>
      <c r="D97" s="75"/>
      <c r="E97" s="79"/>
      <c r="F97" s="80"/>
      <c r="G97" s="74"/>
      <c r="H97" s="79"/>
      <c r="I97" s="80"/>
      <c r="J97" s="74"/>
      <c r="K97" s="79"/>
      <c r="L97" s="80"/>
      <c r="M97" s="8"/>
      <c r="N97" s="6"/>
      <c r="O97" s="15"/>
    </row>
    <row r="98" spans="1:15">
      <c r="A98" s="10">
        <v>93</v>
      </c>
      <c r="B98" s="9"/>
      <c r="C98" s="7"/>
      <c r="D98" s="75"/>
      <c r="E98" s="79"/>
      <c r="F98" s="80"/>
      <c r="G98" s="74"/>
      <c r="H98" s="79"/>
      <c r="I98" s="80"/>
      <c r="J98" s="74"/>
      <c r="K98" s="79"/>
      <c r="L98" s="80"/>
      <c r="M98" s="8"/>
      <c r="N98" s="6"/>
      <c r="O98" s="15"/>
    </row>
    <row r="99" spans="1:15">
      <c r="A99" s="10">
        <v>94</v>
      </c>
      <c r="B99" s="9"/>
      <c r="C99" s="7"/>
      <c r="D99" s="75"/>
      <c r="E99" s="79"/>
      <c r="F99" s="80"/>
      <c r="G99" s="74"/>
      <c r="H99" s="79"/>
      <c r="I99" s="80"/>
      <c r="J99" s="74"/>
      <c r="K99" s="79"/>
      <c r="L99" s="80"/>
      <c r="M99" s="8"/>
      <c r="N99" s="6"/>
      <c r="O99" s="15"/>
    </row>
    <row r="100" spans="1:15">
      <c r="A100" s="10">
        <v>95</v>
      </c>
      <c r="B100" s="9"/>
      <c r="C100" s="7"/>
      <c r="D100" s="75"/>
      <c r="E100" s="79"/>
      <c r="F100" s="80"/>
      <c r="G100" s="74"/>
      <c r="H100" s="79"/>
      <c r="I100" s="80"/>
      <c r="J100" s="74"/>
      <c r="K100" s="79"/>
      <c r="L100" s="80"/>
      <c r="M100" s="8"/>
      <c r="N100" s="6"/>
      <c r="O100" s="15"/>
    </row>
    <row r="101" spans="1:15">
      <c r="A101" s="10">
        <v>96</v>
      </c>
      <c r="B101" s="9"/>
      <c r="C101" s="7"/>
      <c r="D101" s="75"/>
      <c r="E101" s="79"/>
      <c r="F101" s="80"/>
      <c r="G101" s="74"/>
      <c r="H101" s="79"/>
      <c r="I101" s="80"/>
      <c r="J101" s="74"/>
      <c r="K101" s="79"/>
      <c r="L101" s="80"/>
      <c r="M101" s="8"/>
      <c r="N101" s="6"/>
      <c r="O101" s="15"/>
    </row>
    <row r="102" spans="1:15">
      <c r="A102" s="10">
        <v>97</v>
      </c>
      <c r="B102" s="9"/>
      <c r="C102" s="7"/>
      <c r="D102" s="75"/>
      <c r="E102" s="79"/>
      <c r="F102" s="80"/>
      <c r="G102" s="74"/>
      <c r="H102" s="79"/>
      <c r="I102" s="80"/>
      <c r="J102" s="74"/>
      <c r="K102" s="79"/>
      <c r="L102" s="80"/>
      <c r="M102" s="8"/>
      <c r="N102" s="6"/>
      <c r="O102" s="15"/>
    </row>
    <row r="103" spans="1:15">
      <c r="A103" s="10">
        <v>98</v>
      </c>
      <c r="B103" s="9"/>
      <c r="C103" s="7"/>
      <c r="D103" s="75"/>
      <c r="E103" s="79"/>
      <c r="F103" s="80"/>
      <c r="G103" s="74"/>
      <c r="H103" s="79"/>
      <c r="I103" s="80"/>
      <c r="J103" s="74"/>
      <c r="K103" s="79"/>
      <c r="L103" s="80"/>
      <c r="M103" s="8"/>
      <c r="N103" s="6"/>
      <c r="O103" s="15"/>
    </row>
    <row r="104" spans="1:15">
      <c r="A104" s="10">
        <v>99</v>
      </c>
      <c r="B104" s="9"/>
      <c r="C104" s="7"/>
      <c r="D104" s="75"/>
      <c r="E104" s="79"/>
      <c r="F104" s="80"/>
      <c r="G104" s="74"/>
      <c r="H104" s="79"/>
      <c r="I104" s="80"/>
      <c r="J104" s="74"/>
      <c r="K104" s="79"/>
      <c r="L104" s="80"/>
      <c r="M104" s="8"/>
      <c r="N104" s="6"/>
      <c r="O104" s="15"/>
    </row>
    <row r="105" spans="1:15">
      <c r="A105" s="10">
        <v>100</v>
      </c>
      <c r="B105" s="9"/>
      <c r="C105" s="7"/>
      <c r="D105" s="75"/>
      <c r="E105" s="79"/>
      <c r="F105" s="80"/>
      <c r="G105" s="74"/>
      <c r="H105" s="79"/>
      <c r="I105" s="80"/>
      <c r="J105" s="74"/>
      <c r="K105" s="79"/>
      <c r="L105" s="80"/>
      <c r="M105" s="8"/>
      <c r="N105" s="6"/>
      <c r="O105" s="15"/>
    </row>
    <row r="106" spans="1:15">
      <c r="A106" s="10">
        <v>101</v>
      </c>
      <c r="B106" s="9"/>
      <c r="C106" s="7"/>
      <c r="D106" s="75"/>
      <c r="E106" s="79"/>
      <c r="F106" s="80"/>
      <c r="G106" s="74"/>
      <c r="H106" s="79"/>
      <c r="I106" s="80"/>
      <c r="J106" s="74"/>
      <c r="K106" s="79"/>
      <c r="L106" s="80"/>
      <c r="M106" s="8"/>
      <c r="N106" s="6"/>
      <c r="O106" s="15"/>
    </row>
    <row r="107" spans="1:15">
      <c r="A107" s="10">
        <v>102</v>
      </c>
      <c r="B107" s="9"/>
      <c r="C107" s="7"/>
      <c r="D107" s="75"/>
      <c r="E107" s="79"/>
      <c r="F107" s="80"/>
      <c r="G107" s="74"/>
      <c r="H107" s="79"/>
      <c r="I107" s="80"/>
      <c r="J107" s="74"/>
      <c r="K107" s="79"/>
      <c r="L107" s="80"/>
      <c r="M107" s="8"/>
      <c r="N107" s="6"/>
      <c r="O107" s="15"/>
    </row>
    <row r="108" spans="1:15">
      <c r="A108" s="10">
        <v>103</v>
      </c>
      <c r="B108" s="9"/>
      <c r="C108" s="7"/>
      <c r="D108" s="75"/>
      <c r="E108" s="79"/>
      <c r="F108" s="80"/>
      <c r="G108" s="74"/>
      <c r="H108" s="79"/>
      <c r="I108" s="80"/>
      <c r="J108" s="74"/>
      <c r="K108" s="79"/>
      <c r="L108" s="80"/>
      <c r="M108" s="8"/>
      <c r="N108" s="6"/>
      <c r="O108" s="15"/>
    </row>
    <row r="109" spans="1:15">
      <c r="A109" s="10">
        <v>104</v>
      </c>
      <c r="B109" s="9"/>
      <c r="C109" s="7"/>
      <c r="D109" s="75"/>
      <c r="E109" s="79"/>
      <c r="F109" s="80"/>
      <c r="G109" s="74"/>
      <c r="H109" s="79"/>
      <c r="I109" s="80"/>
      <c r="J109" s="74"/>
      <c r="K109" s="79"/>
      <c r="L109" s="80"/>
      <c r="M109" s="8"/>
      <c r="N109" s="6"/>
      <c r="O109" s="15"/>
    </row>
    <row r="110" spans="1:15">
      <c r="A110" s="10">
        <v>105</v>
      </c>
      <c r="B110" s="9"/>
      <c r="C110" s="7"/>
      <c r="D110" s="75"/>
      <c r="E110" s="79"/>
      <c r="F110" s="80"/>
      <c r="G110" s="74"/>
      <c r="H110" s="79"/>
      <c r="I110" s="80"/>
      <c r="J110" s="74"/>
      <c r="K110" s="79"/>
      <c r="L110" s="80"/>
      <c r="M110" s="8"/>
      <c r="N110" s="6"/>
      <c r="O110" s="15"/>
    </row>
    <row r="111" spans="1:15">
      <c r="A111" s="10">
        <v>106</v>
      </c>
      <c r="B111" s="9"/>
      <c r="C111" s="7"/>
      <c r="D111" s="75"/>
      <c r="E111" s="79"/>
      <c r="F111" s="80"/>
      <c r="G111" s="74"/>
      <c r="H111" s="79"/>
      <c r="I111" s="80"/>
      <c r="J111" s="74"/>
      <c r="K111" s="79"/>
      <c r="L111" s="80"/>
      <c r="M111" s="8"/>
      <c r="N111" s="6"/>
      <c r="O111" s="15"/>
    </row>
    <row r="112" spans="1:15">
      <c r="A112" s="10">
        <v>107</v>
      </c>
      <c r="B112" s="9"/>
      <c r="C112" s="7"/>
      <c r="D112" s="75"/>
      <c r="E112" s="79"/>
      <c r="F112" s="80"/>
      <c r="G112" s="74"/>
      <c r="H112" s="79"/>
      <c r="I112" s="80"/>
      <c r="J112" s="74"/>
      <c r="K112" s="79"/>
      <c r="L112" s="80"/>
      <c r="M112" s="8"/>
      <c r="N112" s="6"/>
      <c r="O112" s="15"/>
    </row>
    <row r="113" spans="1:15">
      <c r="A113" s="10">
        <v>108</v>
      </c>
      <c r="B113" s="9"/>
      <c r="C113" s="7"/>
      <c r="D113" s="75"/>
      <c r="E113" s="79"/>
      <c r="F113" s="80"/>
      <c r="G113" s="74"/>
      <c r="H113" s="79"/>
      <c r="I113" s="80"/>
      <c r="J113" s="74"/>
      <c r="K113" s="79"/>
      <c r="L113" s="80"/>
      <c r="M113" s="8"/>
      <c r="N113" s="6"/>
      <c r="O113" s="15"/>
    </row>
    <row r="114" spans="1:15">
      <c r="A114" s="10">
        <v>109</v>
      </c>
      <c r="B114" s="9"/>
      <c r="C114" s="7"/>
      <c r="D114" s="75"/>
      <c r="E114" s="79"/>
      <c r="F114" s="80"/>
      <c r="G114" s="74"/>
      <c r="H114" s="79"/>
      <c r="I114" s="80"/>
      <c r="J114" s="74"/>
      <c r="K114" s="79"/>
      <c r="L114" s="80"/>
      <c r="M114" s="8"/>
      <c r="N114" s="6"/>
      <c r="O114" s="15"/>
    </row>
    <row r="115" spans="1:15">
      <c r="A115" s="10">
        <v>110</v>
      </c>
      <c r="B115" s="9"/>
      <c r="C115" s="7"/>
      <c r="D115" s="75"/>
      <c r="E115" s="79"/>
      <c r="F115" s="80"/>
      <c r="G115" s="74"/>
      <c r="H115" s="79"/>
      <c r="I115" s="80"/>
      <c r="J115" s="74"/>
      <c r="K115" s="79"/>
      <c r="L115" s="80"/>
      <c r="M115" s="8"/>
      <c r="N115" s="6"/>
      <c r="O115" s="15"/>
    </row>
    <row r="116" spans="1:15">
      <c r="A116" s="10">
        <v>111</v>
      </c>
      <c r="B116" s="9"/>
      <c r="C116" s="7"/>
      <c r="D116" s="75"/>
      <c r="E116" s="79"/>
      <c r="F116" s="80"/>
      <c r="G116" s="74"/>
      <c r="H116" s="79"/>
      <c r="I116" s="80"/>
      <c r="J116" s="74"/>
      <c r="K116" s="79"/>
      <c r="L116" s="80"/>
      <c r="M116" s="8"/>
      <c r="N116" s="6"/>
      <c r="O116" s="15"/>
    </row>
    <row r="117" spans="1:15">
      <c r="A117" s="10">
        <v>112</v>
      </c>
      <c r="B117" s="9"/>
      <c r="C117" s="7"/>
      <c r="D117" s="75"/>
      <c r="E117" s="79"/>
      <c r="F117" s="80"/>
      <c r="G117" s="74"/>
      <c r="H117" s="79"/>
      <c r="I117" s="80"/>
      <c r="J117" s="74"/>
      <c r="K117" s="79"/>
      <c r="L117" s="80"/>
      <c r="M117" s="8"/>
      <c r="N117" s="6"/>
      <c r="O117" s="15"/>
    </row>
    <row r="118" spans="1:15">
      <c r="A118" s="10">
        <v>113</v>
      </c>
      <c r="B118" s="9"/>
      <c r="C118" s="7"/>
      <c r="D118" s="75"/>
      <c r="E118" s="79"/>
      <c r="F118" s="80"/>
      <c r="G118" s="74"/>
      <c r="H118" s="79"/>
      <c r="I118" s="80"/>
      <c r="J118" s="74"/>
      <c r="K118" s="79"/>
      <c r="L118" s="80"/>
      <c r="M118" s="8"/>
      <c r="N118" s="6"/>
      <c r="O118" s="15"/>
    </row>
    <row r="119" spans="1:15">
      <c r="A119" s="10">
        <v>114</v>
      </c>
      <c r="B119" s="9"/>
      <c r="C119" s="7"/>
      <c r="D119" s="75"/>
      <c r="E119" s="79"/>
      <c r="F119" s="80"/>
      <c r="G119" s="74"/>
      <c r="H119" s="79"/>
      <c r="I119" s="80"/>
      <c r="J119" s="74"/>
      <c r="K119" s="79"/>
      <c r="L119" s="80"/>
      <c r="M119" s="8"/>
      <c r="N119" s="6"/>
      <c r="O119" s="15"/>
    </row>
    <row r="120" spans="1:15">
      <c r="A120" s="10">
        <v>115</v>
      </c>
      <c r="B120" s="9"/>
      <c r="C120" s="7"/>
      <c r="D120" s="75"/>
      <c r="E120" s="79"/>
      <c r="F120" s="80"/>
      <c r="G120" s="74"/>
      <c r="H120" s="79"/>
      <c r="I120" s="80"/>
      <c r="J120" s="74"/>
      <c r="K120" s="79"/>
      <c r="L120" s="80"/>
      <c r="M120" s="8"/>
      <c r="N120" s="6"/>
      <c r="O120" s="15"/>
    </row>
    <row r="121" spans="1:15">
      <c r="A121" s="10">
        <v>116</v>
      </c>
      <c r="B121" s="9"/>
      <c r="C121" s="7"/>
      <c r="D121" s="75"/>
      <c r="E121" s="79"/>
      <c r="F121" s="80"/>
      <c r="G121" s="74"/>
      <c r="H121" s="79"/>
      <c r="I121" s="80"/>
      <c r="J121" s="74"/>
      <c r="K121" s="79"/>
      <c r="L121" s="80"/>
      <c r="M121" s="8"/>
      <c r="N121" s="6"/>
      <c r="O121" s="15"/>
    </row>
    <row r="122" spans="1:15">
      <c r="A122" s="10">
        <v>117</v>
      </c>
      <c r="B122" s="9"/>
      <c r="C122" s="7"/>
      <c r="D122" s="75"/>
      <c r="E122" s="79"/>
      <c r="F122" s="80"/>
      <c r="G122" s="74"/>
      <c r="H122" s="79"/>
      <c r="I122" s="80"/>
      <c r="J122" s="74"/>
      <c r="K122" s="79"/>
      <c r="L122" s="80"/>
      <c r="M122" s="8"/>
      <c r="N122" s="6"/>
      <c r="O122" s="15"/>
    </row>
    <row r="123" spans="1:15">
      <c r="A123" s="10">
        <v>118</v>
      </c>
      <c r="B123" s="9"/>
      <c r="C123" s="7"/>
      <c r="D123" s="75"/>
      <c r="E123" s="79"/>
      <c r="F123" s="80"/>
      <c r="G123" s="74"/>
      <c r="H123" s="79"/>
      <c r="I123" s="80"/>
      <c r="J123" s="74"/>
      <c r="K123" s="79"/>
      <c r="L123" s="80"/>
      <c r="M123" s="8"/>
      <c r="N123" s="6"/>
      <c r="O123" s="15"/>
    </row>
    <row r="124" spans="1:15">
      <c r="A124" s="10">
        <v>119</v>
      </c>
      <c r="B124" s="9"/>
      <c r="C124" s="7"/>
      <c r="D124" s="75"/>
      <c r="E124" s="79"/>
      <c r="F124" s="80"/>
      <c r="G124" s="74"/>
      <c r="H124" s="79"/>
      <c r="I124" s="80"/>
      <c r="J124" s="74"/>
      <c r="K124" s="79"/>
      <c r="L124" s="80"/>
      <c r="M124" s="8"/>
      <c r="N124" s="6"/>
      <c r="O124" s="15"/>
    </row>
    <row r="125" spans="1:15">
      <c r="A125" s="10">
        <v>120</v>
      </c>
      <c r="B125" s="9"/>
      <c r="C125" s="7"/>
      <c r="D125" s="75"/>
      <c r="E125" s="79"/>
      <c r="F125" s="80"/>
      <c r="G125" s="74"/>
      <c r="H125" s="79"/>
      <c r="I125" s="80"/>
      <c r="J125" s="74"/>
      <c r="K125" s="79"/>
      <c r="L125" s="80"/>
      <c r="M125" s="8"/>
      <c r="N125" s="6"/>
      <c r="O125" s="15"/>
    </row>
    <row r="126" spans="1:15">
      <c r="A126" s="10">
        <v>121</v>
      </c>
      <c r="B126" s="9"/>
      <c r="C126" s="7"/>
      <c r="D126" s="75"/>
      <c r="E126" s="79"/>
      <c r="F126" s="80"/>
      <c r="G126" s="74"/>
      <c r="H126" s="79"/>
      <c r="I126" s="80"/>
      <c r="J126" s="74"/>
      <c r="K126" s="79"/>
      <c r="L126" s="80"/>
      <c r="M126" s="8"/>
      <c r="N126" s="6"/>
      <c r="O126" s="15"/>
    </row>
    <row r="127" spans="1:15">
      <c r="A127" s="10">
        <v>122</v>
      </c>
      <c r="B127" s="9"/>
      <c r="C127" s="7"/>
      <c r="D127" s="75"/>
      <c r="E127" s="79"/>
      <c r="F127" s="80"/>
      <c r="G127" s="74"/>
      <c r="H127" s="79"/>
      <c r="I127" s="80"/>
      <c r="J127" s="74"/>
      <c r="K127" s="79"/>
      <c r="L127" s="80"/>
      <c r="M127" s="8"/>
      <c r="N127" s="6"/>
      <c r="O127" s="15"/>
    </row>
    <row r="128" spans="1:15">
      <c r="A128" s="10">
        <v>123</v>
      </c>
      <c r="B128" s="9"/>
      <c r="C128" s="7"/>
      <c r="D128" s="75"/>
      <c r="E128" s="79"/>
      <c r="F128" s="80"/>
      <c r="G128" s="74"/>
      <c r="H128" s="79"/>
      <c r="I128" s="80"/>
      <c r="J128" s="74"/>
      <c r="K128" s="79"/>
      <c r="L128" s="80"/>
      <c r="M128" s="8"/>
      <c r="N128" s="6"/>
      <c r="O128" s="15"/>
    </row>
    <row r="129" spans="1:15">
      <c r="A129" s="10">
        <v>124</v>
      </c>
      <c r="B129" s="9"/>
      <c r="C129" s="7"/>
      <c r="D129" s="75"/>
      <c r="E129" s="79"/>
      <c r="F129" s="80"/>
      <c r="G129" s="74"/>
      <c r="H129" s="79"/>
      <c r="I129" s="80"/>
      <c r="J129" s="74"/>
      <c r="K129" s="79"/>
      <c r="L129" s="80"/>
      <c r="M129" s="8"/>
      <c r="N129" s="6"/>
      <c r="O129" s="15"/>
    </row>
    <row r="130" spans="1:15">
      <c r="A130" s="10">
        <v>125</v>
      </c>
      <c r="B130" s="9"/>
      <c r="C130" s="7"/>
      <c r="D130" s="75"/>
      <c r="E130" s="79"/>
      <c r="F130" s="80"/>
      <c r="G130" s="74"/>
      <c r="H130" s="79"/>
      <c r="I130" s="80"/>
      <c r="J130" s="74"/>
      <c r="K130" s="79"/>
      <c r="L130" s="80"/>
      <c r="M130" s="8"/>
      <c r="N130" s="6"/>
      <c r="O130" s="15"/>
    </row>
    <row r="131" spans="1:15">
      <c r="A131" s="10">
        <v>126</v>
      </c>
      <c r="B131" s="9"/>
      <c r="C131" s="7"/>
      <c r="D131" s="75"/>
      <c r="E131" s="79"/>
      <c r="F131" s="80"/>
      <c r="G131" s="74"/>
      <c r="H131" s="79"/>
      <c r="I131" s="80"/>
      <c r="J131" s="74"/>
      <c r="K131" s="79"/>
      <c r="L131" s="80"/>
      <c r="M131" s="8"/>
      <c r="N131" s="6"/>
      <c r="O131" s="15"/>
    </row>
    <row r="132" spans="1:15">
      <c r="A132" s="10">
        <v>127</v>
      </c>
      <c r="B132" s="9"/>
      <c r="C132" s="7"/>
      <c r="D132" s="75"/>
      <c r="E132" s="79"/>
      <c r="F132" s="80"/>
      <c r="G132" s="74"/>
      <c r="H132" s="79"/>
      <c r="I132" s="80"/>
      <c r="J132" s="74"/>
      <c r="K132" s="79"/>
      <c r="L132" s="80"/>
      <c r="M132" s="8"/>
      <c r="N132" s="6"/>
      <c r="O132" s="15"/>
    </row>
    <row r="133" spans="1:15">
      <c r="A133" s="10">
        <v>128</v>
      </c>
      <c r="B133" s="9"/>
      <c r="C133" s="7"/>
      <c r="D133" s="75"/>
      <c r="E133" s="79"/>
      <c r="F133" s="80"/>
      <c r="G133" s="74"/>
      <c r="H133" s="79"/>
      <c r="I133" s="80"/>
      <c r="J133" s="74"/>
      <c r="K133" s="79"/>
      <c r="L133" s="80"/>
      <c r="M133" s="8"/>
      <c r="N133" s="6"/>
      <c r="O133" s="15"/>
    </row>
    <row r="134" spans="1:15">
      <c r="A134" s="10">
        <v>129</v>
      </c>
      <c r="B134" s="9"/>
      <c r="C134" s="7"/>
      <c r="D134" s="75"/>
      <c r="E134" s="79"/>
      <c r="F134" s="80"/>
      <c r="G134" s="74"/>
      <c r="H134" s="79"/>
      <c r="I134" s="80"/>
      <c r="J134" s="74"/>
      <c r="K134" s="79"/>
      <c r="L134" s="80"/>
      <c r="M134" s="8"/>
      <c r="N134" s="6"/>
      <c r="O134" s="15"/>
    </row>
    <row r="135" spans="1:15">
      <c r="A135" s="10">
        <v>130</v>
      </c>
      <c r="B135" s="9"/>
      <c r="C135" s="7"/>
      <c r="D135" s="75"/>
      <c r="E135" s="79"/>
      <c r="F135" s="80"/>
      <c r="G135" s="74"/>
      <c r="H135" s="79"/>
      <c r="I135" s="80"/>
      <c r="J135" s="74"/>
      <c r="K135" s="79"/>
      <c r="L135" s="80"/>
      <c r="M135" s="8"/>
      <c r="N135" s="6"/>
      <c r="O135" s="15"/>
    </row>
    <row r="136" spans="1:15">
      <c r="A136" s="10">
        <v>131</v>
      </c>
      <c r="B136" s="9"/>
      <c r="C136" s="7"/>
      <c r="D136" s="75"/>
      <c r="E136" s="79"/>
      <c r="F136" s="80"/>
      <c r="G136" s="74"/>
      <c r="H136" s="79"/>
      <c r="I136" s="80"/>
      <c r="J136" s="74"/>
      <c r="K136" s="79"/>
      <c r="L136" s="80"/>
      <c r="M136" s="8"/>
      <c r="N136" s="6"/>
      <c r="O136" s="15"/>
    </row>
    <row r="137" spans="1:15">
      <c r="A137" s="10">
        <v>132</v>
      </c>
      <c r="B137" s="9"/>
      <c r="C137" s="7"/>
      <c r="D137" s="75"/>
      <c r="E137" s="79"/>
      <c r="F137" s="80"/>
      <c r="G137" s="74"/>
      <c r="H137" s="79"/>
      <c r="I137" s="80"/>
      <c r="J137" s="74"/>
      <c r="K137" s="79"/>
      <c r="L137" s="80"/>
      <c r="M137" s="8"/>
      <c r="N137" s="6"/>
      <c r="O137" s="15"/>
    </row>
    <row r="138" spans="1:15">
      <c r="A138" s="10">
        <v>133</v>
      </c>
      <c r="B138" s="9"/>
      <c r="C138" s="7"/>
      <c r="D138" s="75"/>
      <c r="E138" s="79"/>
      <c r="F138" s="80"/>
      <c r="G138" s="74"/>
      <c r="H138" s="79"/>
      <c r="I138" s="80"/>
      <c r="J138" s="74"/>
      <c r="K138" s="79"/>
      <c r="L138" s="80"/>
      <c r="M138" s="8"/>
      <c r="N138" s="6"/>
      <c r="O138" s="15"/>
    </row>
    <row r="139" spans="1:15">
      <c r="A139" s="10">
        <v>134</v>
      </c>
      <c r="B139" s="9"/>
      <c r="C139" s="7"/>
      <c r="D139" s="75"/>
      <c r="E139" s="79"/>
      <c r="F139" s="80"/>
      <c r="G139" s="74"/>
      <c r="H139" s="79"/>
      <c r="I139" s="80"/>
      <c r="J139" s="74"/>
      <c r="K139" s="79"/>
      <c r="L139" s="80"/>
      <c r="M139" s="8"/>
      <c r="N139" s="6"/>
      <c r="O139" s="15"/>
    </row>
    <row r="140" spans="1:15">
      <c r="A140" s="10">
        <v>135</v>
      </c>
      <c r="B140" s="9"/>
      <c r="C140" s="7"/>
      <c r="D140" s="75"/>
      <c r="E140" s="79"/>
      <c r="F140" s="80"/>
      <c r="G140" s="74"/>
      <c r="H140" s="79"/>
      <c r="I140" s="80"/>
      <c r="J140" s="74"/>
      <c r="K140" s="79"/>
      <c r="L140" s="80"/>
      <c r="M140" s="8"/>
      <c r="N140" s="6"/>
      <c r="O140" s="15"/>
    </row>
    <row r="141" spans="1:15">
      <c r="A141" s="10">
        <v>136</v>
      </c>
      <c r="B141" s="9"/>
      <c r="C141" s="7"/>
      <c r="D141" s="75"/>
      <c r="E141" s="79"/>
      <c r="F141" s="80"/>
      <c r="G141" s="74"/>
      <c r="H141" s="79"/>
      <c r="I141" s="80"/>
      <c r="J141" s="74"/>
      <c r="K141" s="79"/>
      <c r="L141" s="80"/>
      <c r="M141" s="8"/>
      <c r="N141" s="6"/>
      <c r="O141" s="15"/>
    </row>
    <row r="142" spans="1:15">
      <c r="A142" s="10">
        <v>137</v>
      </c>
      <c r="B142" s="9"/>
      <c r="C142" s="7"/>
      <c r="D142" s="75"/>
      <c r="E142" s="79"/>
      <c r="F142" s="80"/>
      <c r="G142" s="74"/>
      <c r="H142" s="79"/>
      <c r="I142" s="80"/>
      <c r="J142" s="74"/>
      <c r="K142" s="79"/>
      <c r="L142" s="80"/>
      <c r="M142" s="8"/>
      <c r="N142" s="6"/>
      <c r="O142" s="15"/>
    </row>
    <row r="143" spans="1:15">
      <c r="A143" s="10">
        <v>138</v>
      </c>
      <c r="B143" s="9"/>
      <c r="C143" s="7"/>
      <c r="D143" s="75"/>
      <c r="E143" s="79"/>
      <c r="F143" s="80"/>
      <c r="G143" s="74"/>
      <c r="H143" s="79"/>
      <c r="I143" s="80"/>
      <c r="J143" s="74"/>
      <c r="K143" s="79"/>
      <c r="L143" s="80"/>
      <c r="M143" s="8"/>
      <c r="N143" s="6"/>
      <c r="O143" s="15"/>
    </row>
    <row r="144" spans="1:15">
      <c r="A144" s="10">
        <v>139</v>
      </c>
      <c r="B144" s="9"/>
      <c r="C144" s="7"/>
      <c r="D144" s="75"/>
      <c r="E144" s="79"/>
      <c r="F144" s="80"/>
      <c r="G144" s="74"/>
      <c r="H144" s="79"/>
      <c r="I144" s="80"/>
      <c r="J144" s="74"/>
      <c r="K144" s="79"/>
      <c r="L144" s="80"/>
      <c r="M144" s="8"/>
      <c r="N144" s="6"/>
      <c r="O144" s="15"/>
    </row>
    <row r="145" spans="1:15">
      <c r="A145" s="10">
        <v>140</v>
      </c>
      <c r="B145" s="9"/>
      <c r="C145" s="7"/>
      <c r="D145" s="75"/>
      <c r="E145" s="79"/>
      <c r="F145" s="80"/>
      <c r="G145" s="74"/>
      <c r="H145" s="79"/>
      <c r="I145" s="80"/>
      <c r="J145" s="74"/>
      <c r="K145" s="79"/>
      <c r="L145" s="80"/>
      <c r="M145" s="8"/>
      <c r="N145" s="6"/>
      <c r="O145" s="15"/>
    </row>
    <row r="146" spans="1:15">
      <c r="A146" s="10">
        <v>141</v>
      </c>
      <c r="B146" s="9"/>
      <c r="C146" s="7"/>
      <c r="D146" s="75"/>
      <c r="E146" s="79"/>
      <c r="F146" s="80"/>
      <c r="G146" s="74"/>
      <c r="H146" s="79"/>
      <c r="I146" s="80"/>
      <c r="J146" s="74"/>
      <c r="K146" s="79"/>
      <c r="L146" s="80"/>
      <c r="M146" s="8"/>
      <c r="N146" s="6"/>
      <c r="O146" s="15"/>
    </row>
    <row r="147" spans="1:15">
      <c r="A147" s="10">
        <v>142</v>
      </c>
      <c r="B147" s="9"/>
      <c r="C147" s="7"/>
      <c r="D147" s="75"/>
      <c r="E147" s="79"/>
      <c r="F147" s="80"/>
      <c r="G147" s="74"/>
      <c r="H147" s="79"/>
      <c r="I147" s="80"/>
      <c r="J147" s="74"/>
      <c r="K147" s="79"/>
      <c r="L147" s="80"/>
      <c r="M147" s="8"/>
      <c r="N147" s="6"/>
      <c r="O147" s="15"/>
    </row>
    <row r="148" spans="1:15">
      <c r="A148" s="10">
        <v>143</v>
      </c>
      <c r="B148" s="9"/>
      <c r="C148" s="7"/>
      <c r="D148" s="75"/>
      <c r="E148" s="79"/>
      <c r="F148" s="80"/>
      <c r="G148" s="74"/>
      <c r="H148" s="79"/>
      <c r="I148" s="80"/>
      <c r="J148" s="74"/>
      <c r="K148" s="79"/>
      <c r="L148" s="80"/>
      <c r="M148" s="8"/>
      <c r="N148" s="6"/>
      <c r="O148" s="15"/>
    </row>
    <row r="149" spans="1:15">
      <c r="A149" s="10">
        <v>144</v>
      </c>
      <c r="B149" s="9"/>
      <c r="C149" s="7"/>
      <c r="D149" s="75"/>
      <c r="E149" s="79"/>
      <c r="F149" s="80"/>
      <c r="G149" s="74"/>
      <c r="H149" s="79"/>
      <c r="I149" s="80"/>
      <c r="J149" s="74"/>
      <c r="K149" s="79"/>
      <c r="L149" s="80"/>
      <c r="M149" s="8"/>
      <c r="N149" s="6"/>
      <c r="O149" s="15"/>
    </row>
    <row r="150" spans="1:15">
      <c r="A150" s="10">
        <v>145</v>
      </c>
      <c r="B150" s="9"/>
      <c r="C150" s="7"/>
      <c r="D150" s="75"/>
      <c r="E150" s="79"/>
      <c r="F150" s="80"/>
      <c r="G150" s="74"/>
      <c r="H150" s="79"/>
      <c r="I150" s="80"/>
      <c r="J150" s="74"/>
      <c r="K150" s="79"/>
      <c r="L150" s="80"/>
      <c r="M150" s="8"/>
      <c r="N150" s="6"/>
      <c r="O150" s="15"/>
    </row>
    <row r="151" spans="1:15">
      <c r="A151" s="10">
        <v>146</v>
      </c>
      <c r="B151" s="9"/>
      <c r="C151" s="7"/>
      <c r="D151" s="75"/>
      <c r="E151" s="79"/>
      <c r="F151" s="80"/>
      <c r="G151" s="74"/>
      <c r="H151" s="79"/>
      <c r="I151" s="80"/>
      <c r="J151" s="74"/>
      <c r="K151" s="79"/>
      <c r="L151" s="80"/>
      <c r="M151" s="8"/>
      <c r="N151" s="6"/>
      <c r="O151" s="15"/>
    </row>
    <row r="152" spans="1:15">
      <c r="A152" s="10">
        <v>147</v>
      </c>
      <c r="B152" s="9"/>
      <c r="C152" s="7"/>
      <c r="D152" s="75"/>
      <c r="E152" s="79"/>
      <c r="F152" s="80"/>
      <c r="G152" s="74"/>
      <c r="H152" s="79"/>
      <c r="I152" s="80"/>
      <c r="J152" s="74"/>
      <c r="K152" s="79"/>
      <c r="L152" s="80"/>
      <c r="M152" s="8"/>
      <c r="N152" s="6"/>
      <c r="O152" s="15"/>
    </row>
    <row r="153" spans="1:15">
      <c r="A153" s="10">
        <v>148</v>
      </c>
      <c r="B153" s="9"/>
      <c r="C153" s="7"/>
      <c r="D153" s="75"/>
      <c r="E153" s="79"/>
      <c r="F153" s="80"/>
      <c r="G153" s="74"/>
      <c r="H153" s="79"/>
      <c r="I153" s="80"/>
      <c r="J153" s="74"/>
      <c r="K153" s="79"/>
      <c r="L153" s="80"/>
      <c r="M153" s="8"/>
      <c r="N153" s="6"/>
      <c r="O153" s="15"/>
    </row>
    <row r="154" spans="1:15">
      <c r="A154" s="10">
        <v>149</v>
      </c>
      <c r="B154" s="9"/>
      <c r="C154" s="7"/>
      <c r="D154" s="75"/>
      <c r="E154" s="79"/>
      <c r="F154" s="80"/>
      <c r="G154" s="74"/>
      <c r="H154" s="79"/>
      <c r="I154" s="80"/>
      <c r="J154" s="74"/>
      <c r="K154" s="79"/>
      <c r="L154" s="80"/>
      <c r="M154" s="8"/>
      <c r="N154" s="6"/>
      <c r="O154" s="15"/>
    </row>
    <row r="155" spans="1:15">
      <c r="A155" s="10">
        <v>150</v>
      </c>
      <c r="B155" s="9"/>
      <c r="C155" s="7"/>
      <c r="D155" s="75"/>
      <c r="E155" s="79"/>
      <c r="F155" s="80"/>
      <c r="G155" s="74"/>
      <c r="H155" s="79"/>
      <c r="I155" s="80"/>
      <c r="J155" s="74"/>
      <c r="K155" s="79"/>
      <c r="L155" s="80"/>
      <c r="M155" s="8"/>
      <c r="N155" s="6"/>
      <c r="O155" s="15"/>
    </row>
    <row r="156" spans="1:15">
      <c r="A156" s="10">
        <v>151</v>
      </c>
      <c r="B156" s="9"/>
      <c r="C156" s="7"/>
      <c r="D156" s="75"/>
      <c r="E156" s="79"/>
      <c r="F156" s="80"/>
      <c r="G156" s="74"/>
      <c r="H156" s="79"/>
      <c r="I156" s="80"/>
      <c r="J156" s="74"/>
      <c r="K156" s="79"/>
      <c r="L156" s="80"/>
      <c r="M156" s="8"/>
      <c r="N156" s="6"/>
      <c r="O156" s="15"/>
    </row>
  </sheetData>
  <mergeCells count="460">
    <mergeCell ref="O6:O17"/>
    <mergeCell ref="O18:O33"/>
    <mergeCell ref="O34:O42"/>
    <mergeCell ref="J154:L154"/>
    <mergeCell ref="G59:I59"/>
    <mergeCell ref="J64:L64"/>
    <mergeCell ref="G130:I130"/>
    <mergeCell ref="J120:L120"/>
    <mergeCell ref="D63:F63"/>
    <mergeCell ref="D44:F44"/>
    <mergeCell ref="J59:L59"/>
    <mergeCell ref="D45:F45"/>
    <mergeCell ref="J34:L34"/>
    <mergeCell ref="J9:L9"/>
    <mergeCell ref="J49:L49"/>
    <mergeCell ref="J36:L36"/>
    <mergeCell ref="G33:I33"/>
    <mergeCell ref="J31:L31"/>
    <mergeCell ref="G35:I35"/>
    <mergeCell ref="D38:F38"/>
    <mergeCell ref="D31:F31"/>
    <mergeCell ref="J30:L30"/>
    <mergeCell ref="J107:L107"/>
    <mergeCell ref="G6:I6"/>
    <mergeCell ref="J156:L156"/>
    <mergeCell ref="G117:I117"/>
    <mergeCell ref="J131:L131"/>
    <mergeCell ref="G67:I67"/>
    <mergeCell ref="G61:I61"/>
    <mergeCell ref="J155:L155"/>
    <mergeCell ref="D131:F131"/>
    <mergeCell ref="G132:I132"/>
    <mergeCell ref="J93:L93"/>
    <mergeCell ref="D115:F115"/>
    <mergeCell ref="G86:I86"/>
    <mergeCell ref="J141:L141"/>
    <mergeCell ref="D70:F70"/>
    <mergeCell ref="J100:L100"/>
    <mergeCell ref="D103:F103"/>
    <mergeCell ref="J94:L94"/>
    <mergeCell ref="D134:F134"/>
    <mergeCell ref="G114:I114"/>
    <mergeCell ref="D118:F118"/>
    <mergeCell ref="J125:L125"/>
    <mergeCell ref="G99:I99"/>
    <mergeCell ref="D98:F98"/>
    <mergeCell ref="D108:F108"/>
    <mergeCell ref="D95:F95"/>
    <mergeCell ref="G156:I156"/>
    <mergeCell ref="D32:F32"/>
    <mergeCell ref="G93:I93"/>
    <mergeCell ref="D97:F97"/>
    <mergeCell ref="B2:K3"/>
    <mergeCell ref="J104:L104"/>
    <mergeCell ref="G108:I108"/>
    <mergeCell ref="J54:L54"/>
    <mergeCell ref="G45:I45"/>
    <mergeCell ref="G20:I20"/>
    <mergeCell ref="J56:L56"/>
    <mergeCell ref="D121:F121"/>
    <mergeCell ref="G109:I109"/>
    <mergeCell ref="D42:F42"/>
    <mergeCell ref="G47:I47"/>
    <mergeCell ref="D113:F113"/>
    <mergeCell ref="J129:L129"/>
    <mergeCell ref="G84:I84"/>
    <mergeCell ref="G22:I22"/>
    <mergeCell ref="D148:F148"/>
    <mergeCell ref="J15:L15"/>
    <mergeCell ref="G141:I141"/>
    <mergeCell ref="J80:L80"/>
    <mergeCell ref="D120:F120"/>
    <mergeCell ref="D25:F25"/>
    <mergeCell ref="J106:L106"/>
    <mergeCell ref="J133:L133"/>
    <mergeCell ref="G32:I32"/>
    <mergeCell ref="J33:L33"/>
    <mergeCell ref="J67:L67"/>
    <mergeCell ref="J82:L82"/>
    <mergeCell ref="J57:L57"/>
    <mergeCell ref="J19:L19"/>
    <mergeCell ref="D84:F84"/>
    <mergeCell ref="G75:I75"/>
    <mergeCell ref="J111:L111"/>
    <mergeCell ref="G131:I131"/>
    <mergeCell ref="J32:L32"/>
    <mergeCell ref="D100:F100"/>
    <mergeCell ref="J122:L122"/>
    <mergeCell ref="G27:I27"/>
    <mergeCell ref="J28:L28"/>
    <mergeCell ref="J97:L97"/>
    <mergeCell ref="D107:F107"/>
    <mergeCell ref="J91:L91"/>
    <mergeCell ref="J132:L132"/>
    <mergeCell ref="J119:L119"/>
    <mergeCell ref="G95:I95"/>
    <mergeCell ref="G29:I29"/>
    <mergeCell ref="D10:F10"/>
    <mergeCell ref="D81:F81"/>
    <mergeCell ref="J88:L88"/>
    <mergeCell ref="G24:I24"/>
    <mergeCell ref="D23:F23"/>
    <mergeCell ref="D11:F11"/>
    <mergeCell ref="J66:L66"/>
    <mergeCell ref="D39:F39"/>
    <mergeCell ref="G63:I63"/>
    <mergeCell ref="J46:L46"/>
    <mergeCell ref="G50:I50"/>
    <mergeCell ref="J61:L61"/>
    <mergeCell ref="J16:L16"/>
    <mergeCell ref="D60:F60"/>
    <mergeCell ref="G37:I37"/>
    <mergeCell ref="J79:L79"/>
    <mergeCell ref="G14:I14"/>
    <mergeCell ref="D76:F76"/>
    <mergeCell ref="J27:L27"/>
    <mergeCell ref="J83:L83"/>
    <mergeCell ref="G87:I87"/>
    <mergeCell ref="J25:L25"/>
    <mergeCell ref="D28:F28"/>
    <mergeCell ref="J35:L35"/>
    <mergeCell ref="D75:F75"/>
    <mergeCell ref="D102:F102"/>
    <mergeCell ref="G65:I65"/>
    <mergeCell ref="D54:F54"/>
    <mergeCell ref="G96:I96"/>
    <mergeCell ref="D33:F33"/>
    <mergeCell ref="G100:I100"/>
    <mergeCell ref="G94:I94"/>
    <mergeCell ref="J90:L90"/>
    <mergeCell ref="G44:I44"/>
    <mergeCell ref="J85:L85"/>
    <mergeCell ref="D35:F35"/>
    <mergeCell ref="D34:F34"/>
    <mergeCell ref="D36:F36"/>
    <mergeCell ref="G39:I39"/>
    <mergeCell ref="G46:I46"/>
    <mergeCell ref="G40:I40"/>
    <mergeCell ref="J51:L51"/>
    <mergeCell ref="D155:F155"/>
    <mergeCell ref="G23:I23"/>
    <mergeCell ref="D22:F22"/>
    <mergeCell ref="D149:F149"/>
    <mergeCell ref="J146:L146"/>
    <mergeCell ref="D124:F124"/>
    <mergeCell ref="D13:F13"/>
    <mergeCell ref="D151:F151"/>
    <mergeCell ref="D126:F126"/>
    <mergeCell ref="G18:I18"/>
    <mergeCell ref="G138:I138"/>
    <mergeCell ref="D15:F15"/>
    <mergeCell ref="G76:I76"/>
    <mergeCell ref="D79:F79"/>
    <mergeCell ref="G140:I140"/>
    <mergeCell ref="G77:I77"/>
    <mergeCell ref="G153:I153"/>
    <mergeCell ref="D152:F152"/>
    <mergeCell ref="D94:F94"/>
    <mergeCell ref="G115:I115"/>
    <mergeCell ref="J38:L38"/>
    <mergeCell ref="G42:I42"/>
    <mergeCell ref="J13:L13"/>
    <mergeCell ref="J84:L84"/>
    <mergeCell ref="J5:L5"/>
    <mergeCell ref="G71:I71"/>
    <mergeCell ref="G8:I8"/>
    <mergeCell ref="J69:L69"/>
    <mergeCell ref="J6:L6"/>
    <mergeCell ref="G10:I10"/>
    <mergeCell ref="G66:I66"/>
    <mergeCell ref="G137:I137"/>
    <mergeCell ref="D136:F136"/>
    <mergeCell ref="J98:L98"/>
    <mergeCell ref="G53:I53"/>
    <mergeCell ref="G74:I74"/>
    <mergeCell ref="D7:F7"/>
    <mergeCell ref="D78:F78"/>
    <mergeCell ref="G68:I68"/>
    <mergeCell ref="G5:I5"/>
    <mergeCell ref="D71:F71"/>
    <mergeCell ref="D58:F58"/>
    <mergeCell ref="D8:F8"/>
    <mergeCell ref="D73:F73"/>
    <mergeCell ref="J18:L18"/>
    <mergeCell ref="J17:L17"/>
    <mergeCell ref="D20:F20"/>
    <mergeCell ref="G21:I21"/>
    <mergeCell ref="D17:F17"/>
    <mergeCell ref="G78:I78"/>
    <mergeCell ref="G124:I124"/>
    <mergeCell ref="J41:L41"/>
    <mergeCell ref="G142:I142"/>
    <mergeCell ref="G80:I80"/>
    <mergeCell ref="D146:F146"/>
    <mergeCell ref="G55:I55"/>
    <mergeCell ref="J143:L143"/>
    <mergeCell ref="J105:L105"/>
    <mergeCell ref="J43:L43"/>
    <mergeCell ref="D83:F83"/>
    <mergeCell ref="G144:I144"/>
    <mergeCell ref="G119:I119"/>
    <mergeCell ref="D110:F110"/>
    <mergeCell ref="D85:F85"/>
    <mergeCell ref="G89:I89"/>
    <mergeCell ref="G88:I88"/>
    <mergeCell ref="G26:I26"/>
    <mergeCell ref="D92:F92"/>
    <mergeCell ref="D30:F30"/>
    <mergeCell ref="D29:F29"/>
    <mergeCell ref="G90:I90"/>
    <mergeCell ref="G118:I118"/>
    <mergeCell ref="J145:L145"/>
    <mergeCell ref="J153:L153"/>
    <mergeCell ref="J48:L48"/>
    <mergeCell ref="G52:I52"/>
    <mergeCell ref="J72:L72"/>
    <mergeCell ref="D128:F128"/>
    <mergeCell ref="J136:L136"/>
    <mergeCell ref="D57:F57"/>
    <mergeCell ref="J148:L148"/>
    <mergeCell ref="D133:F133"/>
    <mergeCell ref="J117:L117"/>
    <mergeCell ref="D59:F59"/>
    <mergeCell ref="D99:F99"/>
    <mergeCell ref="G97:I97"/>
    <mergeCell ref="D101:F101"/>
    <mergeCell ref="D49:F49"/>
    <mergeCell ref="J139:L139"/>
    <mergeCell ref="G139:I139"/>
    <mergeCell ref="G98:I98"/>
    <mergeCell ref="J110:L110"/>
    <mergeCell ref="G111:I111"/>
    <mergeCell ref="J62:L62"/>
    <mergeCell ref="G48:I48"/>
    <mergeCell ref="G125:I125"/>
    <mergeCell ref="J12:L12"/>
    <mergeCell ref="G11:I11"/>
    <mergeCell ref="J40:L40"/>
    <mergeCell ref="J152:L152"/>
    <mergeCell ref="G57:I57"/>
    <mergeCell ref="G128:I128"/>
    <mergeCell ref="D61:F61"/>
    <mergeCell ref="J45:L45"/>
    <mergeCell ref="G49:I49"/>
    <mergeCell ref="D48:F48"/>
    <mergeCell ref="J20:L20"/>
    <mergeCell ref="G121:I121"/>
    <mergeCell ref="D125:F125"/>
    <mergeCell ref="D112:F112"/>
    <mergeCell ref="J22:L22"/>
    <mergeCell ref="D62:F62"/>
    <mergeCell ref="D56:F56"/>
    <mergeCell ref="D127:F127"/>
    <mergeCell ref="J114:L114"/>
    <mergeCell ref="D114:F114"/>
    <mergeCell ref="J134:L134"/>
    <mergeCell ref="D64:F64"/>
    <mergeCell ref="G31:I31"/>
    <mergeCell ref="G102:I102"/>
    <mergeCell ref="G134:I134"/>
    <mergeCell ref="J135:L135"/>
    <mergeCell ref="G129:I129"/>
    <mergeCell ref="J138:L138"/>
    <mergeCell ref="J76:L76"/>
    <mergeCell ref="G116:I116"/>
    <mergeCell ref="J77:L77"/>
    <mergeCell ref="G103:I103"/>
    <mergeCell ref="J130:L130"/>
    <mergeCell ref="D156:F156"/>
    <mergeCell ref="D106:F106"/>
    <mergeCell ref="D93:F93"/>
    <mergeCell ref="J113:L113"/>
    <mergeCell ref="J149:L149"/>
    <mergeCell ref="J121:L121"/>
    <mergeCell ref="G54:I54"/>
    <mergeCell ref="J115:L115"/>
    <mergeCell ref="G41:I41"/>
    <mergeCell ref="J42:L42"/>
    <mergeCell ref="G106:I106"/>
    <mergeCell ref="J126:L126"/>
    <mergeCell ref="G81:I81"/>
    <mergeCell ref="G56:I56"/>
    <mergeCell ref="G105:I105"/>
    <mergeCell ref="G43:I43"/>
    <mergeCell ref="D109:F109"/>
    <mergeCell ref="J44:L44"/>
    <mergeCell ref="G145:I145"/>
    <mergeCell ref="G120:I120"/>
    <mergeCell ref="D46:F46"/>
    <mergeCell ref="D111:F111"/>
    <mergeCell ref="D86:F86"/>
    <mergeCell ref="G147:I147"/>
    <mergeCell ref="D9:F9"/>
    <mergeCell ref="D143:F143"/>
    <mergeCell ref="D14:F14"/>
    <mergeCell ref="J92:L92"/>
    <mergeCell ref="J29:L29"/>
    <mergeCell ref="G155:I155"/>
    <mergeCell ref="D80:F80"/>
    <mergeCell ref="D96:F96"/>
    <mergeCell ref="J87:L87"/>
    <mergeCell ref="J123:L123"/>
    <mergeCell ref="G122:I122"/>
    <mergeCell ref="G101:I101"/>
    <mergeCell ref="J24:L24"/>
    <mergeCell ref="G28:I28"/>
    <mergeCell ref="D27:F27"/>
    <mergeCell ref="J89:L89"/>
    <mergeCell ref="D154:F154"/>
    <mergeCell ref="J26:L26"/>
    <mergeCell ref="D91:F91"/>
    <mergeCell ref="G92:I92"/>
    <mergeCell ref="G30:I30"/>
    <mergeCell ref="G152:I152"/>
    <mergeCell ref="J37:L37"/>
    <mergeCell ref="D40:F40"/>
    <mergeCell ref="D6:F6"/>
    <mergeCell ref="D77:F77"/>
    <mergeCell ref="J68:L68"/>
    <mergeCell ref="D141:F141"/>
    <mergeCell ref="D135:F135"/>
    <mergeCell ref="J86:L86"/>
    <mergeCell ref="D72:F72"/>
    <mergeCell ref="J128:L128"/>
    <mergeCell ref="G154:I154"/>
    <mergeCell ref="J21:L21"/>
    <mergeCell ref="G91:I91"/>
    <mergeCell ref="D24:F24"/>
    <mergeCell ref="G25:I25"/>
    <mergeCell ref="G85:I85"/>
    <mergeCell ref="D89:F89"/>
    <mergeCell ref="G60:I60"/>
    <mergeCell ref="J23:L23"/>
    <mergeCell ref="D88:F88"/>
    <mergeCell ref="D26:F26"/>
    <mergeCell ref="G149:I149"/>
    <mergeCell ref="D153:F153"/>
    <mergeCell ref="D19:F19"/>
    <mergeCell ref="D90:F90"/>
    <mergeCell ref="G151:I151"/>
    <mergeCell ref="D5:F5"/>
    <mergeCell ref="D132:F132"/>
    <mergeCell ref="D69:F69"/>
    <mergeCell ref="J14:L14"/>
    <mergeCell ref="J112:L112"/>
    <mergeCell ref="J60:L60"/>
    <mergeCell ref="G17:I17"/>
    <mergeCell ref="J78:L78"/>
    <mergeCell ref="J127:L127"/>
    <mergeCell ref="D21:F21"/>
    <mergeCell ref="G82:I82"/>
    <mergeCell ref="J53:L53"/>
    <mergeCell ref="G19:I19"/>
    <mergeCell ref="J55:L55"/>
    <mergeCell ref="G83:I83"/>
    <mergeCell ref="D16:F16"/>
    <mergeCell ref="D87:F87"/>
    <mergeCell ref="G58:I58"/>
    <mergeCell ref="G123:I123"/>
    <mergeCell ref="D122:F122"/>
    <mergeCell ref="G110:I110"/>
    <mergeCell ref="D18:F18"/>
    <mergeCell ref="D51:F51"/>
    <mergeCell ref="D82:F82"/>
    <mergeCell ref="J7:L7"/>
    <mergeCell ref="J63:L63"/>
    <mergeCell ref="G133:I133"/>
    <mergeCell ref="D137:F137"/>
    <mergeCell ref="D74:F74"/>
    <mergeCell ref="D130:F130"/>
    <mergeCell ref="G135:I135"/>
    <mergeCell ref="D68:F68"/>
    <mergeCell ref="G64:I64"/>
    <mergeCell ref="G51:I51"/>
    <mergeCell ref="D117:F117"/>
    <mergeCell ref="D55:F55"/>
    <mergeCell ref="D67:F67"/>
    <mergeCell ref="J71:L71"/>
    <mergeCell ref="J58:L58"/>
    <mergeCell ref="J8:L8"/>
    <mergeCell ref="G12:I12"/>
    <mergeCell ref="J73:L73"/>
    <mergeCell ref="G72:I72"/>
    <mergeCell ref="J10:L10"/>
    <mergeCell ref="G136:I136"/>
    <mergeCell ref="G70:I70"/>
    <mergeCell ref="J102:L102"/>
    <mergeCell ref="G7:I7"/>
    <mergeCell ref="G9:I9"/>
    <mergeCell ref="D144:F144"/>
    <mergeCell ref="J116:L116"/>
    <mergeCell ref="D119:F119"/>
    <mergeCell ref="J81:L81"/>
    <mergeCell ref="G36:I36"/>
    <mergeCell ref="G107:I107"/>
    <mergeCell ref="D41:F41"/>
    <mergeCell ref="J65:L65"/>
    <mergeCell ref="G69:I69"/>
    <mergeCell ref="J70:L70"/>
    <mergeCell ref="D43:F43"/>
    <mergeCell ref="D138:F138"/>
    <mergeCell ref="D140:F140"/>
    <mergeCell ref="D65:F65"/>
    <mergeCell ref="G126:I126"/>
    <mergeCell ref="G38:I38"/>
    <mergeCell ref="J99:L99"/>
    <mergeCell ref="G13:I13"/>
    <mergeCell ref="J74:L74"/>
    <mergeCell ref="J101:L101"/>
    <mergeCell ref="G15:I15"/>
    <mergeCell ref="J103:L103"/>
    <mergeCell ref="G104:I104"/>
    <mergeCell ref="J11:L11"/>
    <mergeCell ref="J75:L75"/>
    <mergeCell ref="J50:L50"/>
    <mergeCell ref="J142:L142"/>
    <mergeCell ref="G16:I16"/>
    <mergeCell ref="D142:F142"/>
    <mergeCell ref="D129:F129"/>
    <mergeCell ref="J52:L52"/>
    <mergeCell ref="J150:L150"/>
    <mergeCell ref="J39:L39"/>
    <mergeCell ref="J144:L144"/>
    <mergeCell ref="D145:F145"/>
    <mergeCell ref="G146:I146"/>
    <mergeCell ref="J147:L147"/>
    <mergeCell ref="D37:F37"/>
    <mergeCell ref="J118:L118"/>
    <mergeCell ref="G79:I79"/>
    <mergeCell ref="D12:F12"/>
    <mergeCell ref="G73:I73"/>
    <mergeCell ref="D104:F104"/>
    <mergeCell ref="D150:F150"/>
    <mergeCell ref="J108:L108"/>
    <mergeCell ref="G34:I34"/>
    <mergeCell ref="J95:L95"/>
    <mergeCell ref="J151:L151"/>
    <mergeCell ref="G112:I112"/>
    <mergeCell ref="D116:F116"/>
    <mergeCell ref="G62:I62"/>
    <mergeCell ref="D66:F66"/>
    <mergeCell ref="G127:I127"/>
    <mergeCell ref="D53:F53"/>
    <mergeCell ref="D47:F47"/>
    <mergeCell ref="G150:I150"/>
    <mergeCell ref="D105:F105"/>
    <mergeCell ref="D147:F147"/>
    <mergeCell ref="D123:F123"/>
    <mergeCell ref="D50:F50"/>
    <mergeCell ref="G148:I148"/>
    <mergeCell ref="G143:I143"/>
    <mergeCell ref="D52:F52"/>
    <mergeCell ref="J137:L137"/>
    <mergeCell ref="J124:L124"/>
    <mergeCell ref="J109:L109"/>
    <mergeCell ref="J47:L47"/>
    <mergeCell ref="G113:I113"/>
    <mergeCell ref="J96:L96"/>
    <mergeCell ref="J140:L140"/>
    <mergeCell ref="D139:F139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86"/>
  <sheetViews>
    <sheetView topLeftCell="A10" workbookViewId="0">
      <selection activeCell="C30" sqref="C30"/>
    </sheetView>
  </sheetViews>
  <sheetFormatPr defaultColWidth="11.42578125" defaultRowHeight="14.45"/>
  <cols>
    <col min="1" max="1" width="3.140625" bestFit="1" customWidth="1"/>
    <col min="2" max="2" width="27" bestFit="1" customWidth="1"/>
    <col min="3" max="3" width="34.42578125" bestFit="1" customWidth="1"/>
    <col min="13" max="13" width="21.85546875" bestFit="1" customWidth="1"/>
    <col min="14" max="14" width="12.5703125" bestFit="1" customWidth="1"/>
  </cols>
  <sheetData>
    <row r="2" spans="1:15">
      <c r="B2" s="58" t="s">
        <v>585</v>
      </c>
      <c r="C2" s="78"/>
      <c r="D2" s="78"/>
      <c r="E2" s="78"/>
      <c r="F2" s="78"/>
      <c r="G2" s="78"/>
      <c r="H2" s="78"/>
      <c r="I2" s="78"/>
      <c r="J2" s="78"/>
      <c r="K2" s="78"/>
    </row>
    <row r="3" spans="1:15">
      <c r="B3" s="78"/>
      <c r="C3" s="78"/>
      <c r="D3" s="78"/>
      <c r="E3" s="78"/>
      <c r="F3" s="78"/>
      <c r="G3" s="78"/>
      <c r="H3" s="78"/>
      <c r="I3" s="78"/>
      <c r="J3" s="78"/>
      <c r="K3" s="78"/>
    </row>
    <row r="5" spans="1:15">
      <c r="A5" s="1" t="s">
        <v>89</v>
      </c>
      <c r="B5" s="1" t="s">
        <v>42</v>
      </c>
      <c r="C5" s="1" t="s">
        <v>43</v>
      </c>
      <c r="D5" s="49" t="s">
        <v>44</v>
      </c>
      <c r="E5" s="79"/>
      <c r="F5" s="80"/>
      <c r="G5" s="49" t="s">
        <v>45</v>
      </c>
      <c r="H5" s="79"/>
      <c r="I5" s="80"/>
      <c r="J5" s="49" t="s">
        <v>46</v>
      </c>
      <c r="K5" s="79"/>
      <c r="L5" s="80"/>
      <c r="M5" s="2" t="s">
        <v>47</v>
      </c>
      <c r="N5" s="3" t="s">
        <v>90</v>
      </c>
      <c r="O5" s="14" t="s">
        <v>91</v>
      </c>
    </row>
    <row r="6" spans="1:15">
      <c r="A6" s="10">
        <v>1</v>
      </c>
      <c r="B6" s="9" t="s">
        <v>547</v>
      </c>
      <c r="C6" s="4" t="s">
        <v>280</v>
      </c>
      <c r="D6" s="70" t="s">
        <v>586</v>
      </c>
      <c r="E6" s="79"/>
      <c r="F6" s="80"/>
      <c r="G6" s="65" t="s">
        <v>587</v>
      </c>
      <c r="H6" s="79"/>
      <c r="I6" s="80"/>
      <c r="J6" s="66" t="s">
        <v>588</v>
      </c>
      <c r="K6" s="79"/>
      <c r="L6" s="80"/>
      <c r="M6" s="5" t="s">
        <v>551</v>
      </c>
      <c r="N6" s="6">
        <v>46069</v>
      </c>
      <c r="O6" s="77">
        <v>16</v>
      </c>
    </row>
    <row r="7" spans="1:15">
      <c r="A7" s="10">
        <v>2</v>
      </c>
      <c r="B7" s="9" t="s">
        <v>547</v>
      </c>
      <c r="C7" s="11" t="s">
        <v>589</v>
      </c>
      <c r="D7" s="70" t="s">
        <v>590</v>
      </c>
      <c r="E7" s="79"/>
      <c r="F7" s="80"/>
      <c r="G7" s="65" t="s">
        <v>591</v>
      </c>
      <c r="H7" s="79"/>
      <c r="I7" s="80"/>
      <c r="J7" s="66" t="s">
        <v>592</v>
      </c>
      <c r="K7" s="79"/>
      <c r="L7" s="80"/>
      <c r="M7" s="5" t="s">
        <v>551</v>
      </c>
      <c r="N7" s="6">
        <v>46069</v>
      </c>
      <c r="O7" s="77"/>
    </row>
    <row r="8" spans="1:15">
      <c r="A8" s="10">
        <v>3</v>
      </c>
      <c r="B8" s="9" t="s">
        <v>547</v>
      </c>
      <c r="C8" s="11" t="s">
        <v>593</v>
      </c>
      <c r="D8" s="70" t="s">
        <v>594</v>
      </c>
      <c r="E8" s="79"/>
      <c r="F8" s="80"/>
      <c r="G8" s="65" t="s">
        <v>595</v>
      </c>
      <c r="H8" s="79"/>
      <c r="I8" s="80"/>
      <c r="J8" s="66" t="s">
        <v>596</v>
      </c>
      <c r="K8" s="79"/>
      <c r="L8" s="80"/>
      <c r="M8" s="5" t="s">
        <v>551</v>
      </c>
      <c r="N8" s="6">
        <v>46069</v>
      </c>
      <c r="O8" s="77"/>
    </row>
    <row r="9" spans="1:15">
      <c r="A9" s="10">
        <v>4</v>
      </c>
      <c r="B9" s="9" t="s">
        <v>547</v>
      </c>
      <c r="C9" s="12" t="s">
        <v>597</v>
      </c>
      <c r="D9" s="70" t="s">
        <v>598</v>
      </c>
      <c r="E9" s="79"/>
      <c r="F9" s="80"/>
      <c r="G9" s="65" t="s">
        <v>599</v>
      </c>
      <c r="H9" s="79"/>
      <c r="I9" s="80"/>
      <c r="J9" s="66" t="s">
        <v>600</v>
      </c>
      <c r="K9" s="79"/>
      <c r="L9" s="80"/>
      <c r="M9" s="5" t="s">
        <v>551</v>
      </c>
      <c r="N9" s="6">
        <v>46069</v>
      </c>
      <c r="O9" s="77"/>
    </row>
    <row r="10" spans="1:15">
      <c r="A10" s="10">
        <v>5</v>
      </c>
      <c r="B10" s="9" t="s">
        <v>601</v>
      </c>
      <c r="C10" s="4" t="s">
        <v>602</v>
      </c>
      <c r="D10" s="70" t="s">
        <v>603</v>
      </c>
      <c r="E10" s="79"/>
      <c r="F10" s="80"/>
      <c r="G10" s="65" t="s">
        <v>485</v>
      </c>
      <c r="H10" s="79"/>
      <c r="I10" s="80"/>
      <c r="J10" s="65" t="s">
        <v>485</v>
      </c>
      <c r="K10" s="79"/>
      <c r="L10" s="80"/>
      <c r="M10" s="5" t="s">
        <v>604</v>
      </c>
      <c r="N10" s="6">
        <v>46069</v>
      </c>
      <c r="O10" s="77"/>
    </row>
    <row r="11" spans="1:15">
      <c r="A11" s="10">
        <v>6</v>
      </c>
      <c r="B11" s="9" t="s">
        <v>601</v>
      </c>
      <c r="C11" s="11" t="s">
        <v>605</v>
      </c>
      <c r="D11" s="70" t="s">
        <v>606</v>
      </c>
      <c r="E11" s="79"/>
      <c r="F11" s="80"/>
      <c r="G11" s="65" t="s">
        <v>607</v>
      </c>
      <c r="H11" s="79"/>
      <c r="I11" s="80"/>
      <c r="J11" s="66" t="s">
        <v>608</v>
      </c>
      <c r="K11" s="79"/>
      <c r="L11" s="80"/>
      <c r="M11" s="5" t="s">
        <v>604</v>
      </c>
      <c r="N11" s="6">
        <v>46069</v>
      </c>
      <c r="O11" s="77"/>
    </row>
    <row r="12" spans="1:15">
      <c r="A12" s="10">
        <v>7</v>
      </c>
      <c r="B12" s="9" t="s">
        <v>601</v>
      </c>
      <c r="C12" s="11" t="s">
        <v>609</v>
      </c>
      <c r="D12" s="70" t="s">
        <v>610</v>
      </c>
      <c r="E12" s="79"/>
      <c r="F12" s="80"/>
      <c r="G12" s="65" t="s">
        <v>611</v>
      </c>
      <c r="H12" s="79"/>
      <c r="I12" s="80"/>
      <c r="J12" s="66" t="s">
        <v>612</v>
      </c>
      <c r="K12" s="79"/>
      <c r="L12" s="80"/>
      <c r="M12" s="5" t="s">
        <v>604</v>
      </c>
      <c r="N12" s="6">
        <v>46069</v>
      </c>
      <c r="O12" s="77"/>
    </row>
    <row r="13" spans="1:15">
      <c r="A13" s="10">
        <v>8</v>
      </c>
      <c r="B13" s="9" t="s">
        <v>613</v>
      </c>
      <c r="C13" s="4" t="s">
        <v>614</v>
      </c>
      <c r="D13" s="70" t="s">
        <v>615</v>
      </c>
      <c r="E13" s="79"/>
      <c r="F13" s="80"/>
      <c r="G13" s="65" t="s">
        <v>616</v>
      </c>
      <c r="H13" s="79"/>
      <c r="I13" s="80"/>
      <c r="J13" s="65" t="s">
        <v>476</v>
      </c>
      <c r="K13" s="79"/>
      <c r="L13" s="80"/>
      <c r="M13" s="5" t="s">
        <v>617</v>
      </c>
      <c r="N13" s="6">
        <v>46069</v>
      </c>
      <c r="O13" s="77"/>
    </row>
    <row r="14" spans="1:15">
      <c r="A14" s="10">
        <v>9</v>
      </c>
      <c r="B14" s="9" t="s">
        <v>613</v>
      </c>
      <c r="C14" s="11" t="s">
        <v>618</v>
      </c>
      <c r="D14" s="70" t="s">
        <v>619</v>
      </c>
      <c r="E14" s="79"/>
      <c r="F14" s="80"/>
      <c r="G14" s="65" t="s">
        <v>620</v>
      </c>
      <c r="H14" s="79"/>
      <c r="I14" s="80"/>
      <c r="J14" s="66" t="s">
        <v>546</v>
      </c>
      <c r="K14" s="79"/>
      <c r="L14" s="80"/>
      <c r="M14" s="5" t="s">
        <v>617</v>
      </c>
      <c r="N14" s="6">
        <v>46069</v>
      </c>
      <c r="O14" s="77"/>
    </row>
    <row r="15" spans="1:15">
      <c r="A15" s="10">
        <v>10</v>
      </c>
      <c r="B15" s="9" t="s">
        <v>621</v>
      </c>
      <c r="C15" s="13" t="s">
        <v>622</v>
      </c>
      <c r="D15" s="70" t="s">
        <v>623</v>
      </c>
      <c r="E15" s="79"/>
      <c r="F15" s="80"/>
      <c r="G15" s="65" t="s">
        <v>624</v>
      </c>
      <c r="H15" s="79"/>
      <c r="I15" s="80"/>
      <c r="J15" s="66" t="s">
        <v>625</v>
      </c>
      <c r="K15" s="79"/>
      <c r="L15" s="80"/>
      <c r="M15" s="5" t="s">
        <v>626</v>
      </c>
      <c r="N15" s="6">
        <v>46098</v>
      </c>
      <c r="O15" s="77">
        <v>16</v>
      </c>
    </row>
    <row r="16" spans="1:15">
      <c r="A16" s="10">
        <v>11</v>
      </c>
      <c r="B16" s="9" t="s">
        <v>621</v>
      </c>
      <c r="C16" s="11" t="s">
        <v>627</v>
      </c>
      <c r="D16" s="70" t="s">
        <v>628</v>
      </c>
      <c r="E16" s="79"/>
      <c r="F16" s="80"/>
      <c r="G16" s="65" t="s">
        <v>535</v>
      </c>
      <c r="H16" s="79"/>
      <c r="I16" s="80"/>
      <c r="J16" s="66" t="s">
        <v>629</v>
      </c>
      <c r="K16" s="79"/>
      <c r="L16" s="80"/>
      <c r="M16" s="5" t="s">
        <v>626</v>
      </c>
      <c r="N16" s="6">
        <v>46098</v>
      </c>
      <c r="O16" s="77"/>
    </row>
    <row r="17" spans="1:15">
      <c r="A17" s="10">
        <v>12</v>
      </c>
      <c r="B17" s="9" t="s">
        <v>621</v>
      </c>
      <c r="C17" s="11" t="s">
        <v>630</v>
      </c>
      <c r="D17" s="70" t="s">
        <v>631</v>
      </c>
      <c r="E17" s="79"/>
      <c r="F17" s="80"/>
      <c r="G17" s="65" t="s">
        <v>632</v>
      </c>
      <c r="H17" s="79"/>
      <c r="I17" s="80"/>
      <c r="J17" s="66" t="s">
        <v>633</v>
      </c>
      <c r="K17" s="79"/>
      <c r="L17" s="80"/>
      <c r="M17" s="5" t="s">
        <v>626</v>
      </c>
      <c r="N17" s="6">
        <v>46098</v>
      </c>
      <c r="O17" s="77"/>
    </row>
    <row r="18" spans="1:15">
      <c r="A18" s="10">
        <v>13</v>
      </c>
      <c r="B18" s="9" t="s">
        <v>621</v>
      </c>
      <c r="C18" s="12" t="s">
        <v>634</v>
      </c>
      <c r="D18" s="70" t="s">
        <v>635</v>
      </c>
      <c r="E18" s="79"/>
      <c r="F18" s="80"/>
      <c r="G18" s="65" t="s">
        <v>636</v>
      </c>
      <c r="H18" s="79"/>
      <c r="I18" s="80"/>
      <c r="J18" s="66" t="s">
        <v>637</v>
      </c>
      <c r="K18" s="79"/>
      <c r="L18" s="80"/>
      <c r="M18" s="5" t="s">
        <v>626</v>
      </c>
      <c r="N18" s="6">
        <v>46098</v>
      </c>
      <c r="O18" s="77"/>
    </row>
    <row r="19" spans="1:15">
      <c r="A19" s="10">
        <v>14</v>
      </c>
      <c r="B19" s="9" t="s">
        <v>621</v>
      </c>
      <c r="C19" s="12" t="s">
        <v>638</v>
      </c>
      <c r="D19" s="76" t="s">
        <v>639</v>
      </c>
      <c r="E19" s="79"/>
      <c r="F19" s="80"/>
      <c r="G19" s="65" t="s">
        <v>640</v>
      </c>
      <c r="H19" s="79"/>
      <c r="I19" s="80"/>
      <c r="J19" s="66" t="s">
        <v>584</v>
      </c>
      <c r="K19" s="79"/>
      <c r="L19" s="80"/>
      <c r="M19" s="5" t="s">
        <v>626</v>
      </c>
      <c r="N19" s="6">
        <v>46098</v>
      </c>
      <c r="O19" s="77"/>
    </row>
    <row r="20" spans="1:15">
      <c r="A20" s="10">
        <v>15</v>
      </c>
      <c r="B20" s="9" t="s">
        <v>621</v>
      </c>
      <c r="C20" s="13" t="s">
        <v>641</v>
      </c>
      <c r="D20" s="70" t="s">
        <v>642</v>
      </c>
      <c r="E20" s="79"/>
      <c r="F20" s="80"/>
      <c r="G20" s="65" t="s">
        <v>643</v>
      </c>
      <c r="H20" s="79"/>
      <c r="I20" s="80"/>
      <c r="J20" s="66" t="s">
        <v>644</v>
      </c>
      <c r="K20" s="79"/>
      <c r="L20" s="80"/>
      <c r="M20" s="5" t="s">
        <v>626</v>
      </c>
      <c r="N20" s="6">
        <v>46098</v>
      </c>
      <c r="O20" s="77"/>
    </row>
    <row r="21" spans="1:15">
      <c r="A21" s="10">
        <v>16</v>
      </c>
      <c r="B21" s="9" t="s">
        <v>621</v>
      </c>
      <c r="C21" s="13" t="s">
        <v>645</v>
      </c>
      <c r="D21" s="70" t="s">
        <v>15</v>
      </c>
      <c r="E21" s="79"/>
      <c r="F21" s="80"/>
      <c r="G21" s="65" t="s">
        <v>646</v>
      </c>
      <c r="H21" s="79"/>
      <c r="I21" s="80"/>
      <c r="J21" s="66" t="s">
        <v>647</v>
      </c>
      <c r="K21" s="79"/>
      <c r="L21" s="80"/>
      <c r="M21" s="5" t="s">
        <v>626</v>
      </c>
      <c r="N21" s="6">
        <v>46098</v>
      </c>
      <c r="O21" s="77"/>
    </row>
    <row r="22" spans="1:15">
      <c r="A22" s="10">
        <v>17</v>
      </c>
      <c r="B22" s="9" t="s">
        <v>621</v>
      </c>
      <c r="C22" s="13" t="s">
        <v>648</v>
      </c>
      <c r="D22" s="70" t="s">
        <v>649</v>
      </c>
      <c r="E22" s="79"/>
      <c r="F22" s="80"/>
      <c r="G22" s="65" t="s">
        <v>650</v>
      </c>
      <c r="H22" s="79"/>
      <c r="I22" s="80"/>
      <c r="J22" s="66" t="s">
        <v>651</v>
      </c>
      <c r="K22" s="79"/>
      <c r="L22" s="80"/>
      <c r="M22" s="5" t="s">
        <v>626</v>
      </c>
      <c r="N22" s="6">
        <v>46098</v>
      </c>
      <c r="O22" s="77"/>
    </row>
    <row r="23" spans="1:15">
      <c r="A23" s="10">
        <v>18</v>
      </c>
      <c r="B23" s="9" t="s">
        <v>621</v>
      </c>
      <c r="C23" s="13" t="s">
        <v>652</v>
      </c>
      <c r="D23" s="70" t="s">
        <v>653</v>
      </c>
      <c r="E23" s="79"/>
      <c r="F23" s="80"/>
      <c r="G23" s="65" t="s">
        <v>654</v>
      </c>
      <c r="H23" s="79"/>
      <c r="I23" s="80"/>
      <c r="J23" s="66" t="s">
        <v>655</v>
      </c>
      <c r="K23" s="79"/>
      <c r="L23" s="80"/>
      <c r="M23" s="5" t="s">
        <v>626</v>
      </c>
      <c r="N23" s="6">
        <v>46098</v>
      </c>
      <c r="O23" s="77"/>
    </row>
    <row r="24" spans="1:15">
      <c r="A24" s="10">
        <v>19</v>
      </c>
      <c r="B24" s="9" t="s">
        <v>621</v>
      </c>
      <c r="C24" s="13" t="s">
        <v>656</v>
      </c>
      <c r="D24" s="70" t="s">
        <v>657</v>
      </c>
      <c r="E24" s="79"/>
      <c r="F24" s="80"/>
      <c r="G24" s="65" t="s">
        <v>658</v>
      </c>
      <c r="H24" s="79"/>
      <c r="I24" s="80"/>
      <c r="J24" s="66" t="s">
        <v>659</v>
      </c>
      <c r="K24" s="79"/>
      <c r="L24" s="80"/>
      <c r="M24" s="5" t="s">
        <v>626</v>
      </c>
      <c r="N24" s="6">
        <v>46098</v>
      </c>
      <c r="O24" s="77"/>
    </row>
    <row r="25" spans="1:15">
      <c r="A25" s="10">
        <v>20</v>
      </c>
      <c r="B25" s="9" t="s">
        <v>621</v>
      </c>
      <c r="C25" s="11" t="s">
        <v>660</v>
      </c>
      <c r="D25" s="70" t="s">
        <v>296</v>
      </c>
      <c r="E25" s="79"/>
      <c r="F25" s="80"/>
      <c r="G25" s="65" t="s">
        <v>661</v>
      </c>
      <c r="H25" s="79"/>
      <c r="I25" s="80"/>
      <c r="J25" s="66" t="s">
        <v>662</v>
      </c>
      <c r="K25" s="79"/>
      <c r="L25" s="80"/>
      <c r="M25" s="5" t="s">
        <v>626</v>
      </c>
      <c r="N25" s="6">
        <v>46098</v>
      </c>
      <c r="O25" s="77"/>
    </row>
    <row r="26" spans="1:15">
      <c r="A26" s="10">
        <v>21</v>
      </c>
      <c r="B26" s="9"/>
      <c r="C26" s="4"/>
      <c r="D26" s="70"/>
      <c r="E26" s="79"/>
      <c r="F26" s="80"/>
      <c r="G26" s="65"/>
      <c r="H26" s="79"/>
      <c r="I26" s="80"/>
      <c r="J26" s="66"/>
      <c r="K26" s="79"/>
      <c r="L26" s="80"/>
      <c r="M26" s="5"/>
      <c r="N26" s="6"/>
      <c r="O26" s="15"/>
    </row>
    <row r="27" spans="1:15">
      <c r="A27" s="10">
        <v>22</v>
      </c>
      <c r="B27" s="9"/>
      <c r="C27" s="4"/>
      <c r="D27" s="70"/>
      <c r="E27" s="79"/>
      <c r="F27" s="80"/>
      <c r="G27" s="65"/>
      <c r="H27" s="79"/>
      <c r="I27" s="80"/>
      <c r="J27" s="66"/>
      <c r="K27" s="79"/>
      <c r="L27" s="80"/>
      <c r="M27" s="5"/>
      <c r="N27" s="6"/>
      <c r="O27" s="15"/>
    </row>
    <row r="28" spans="1:15">
      <c r="A28" s="10">
        <v>23</v>
      </c>
      <c r="B28" s="9"/>
      <c r="C28" s="4"/>
      <c r="D28" s="70"/>
      <c r="E28" s="79"/>
      <c r="F28" s="80"/>
      <c r="G28" s="65"/>
      <c r="H28" s="79"/>
      <c r="I28" s="80"/>
      <c r="J28" s="66"/>
      <c r="K28" s="79"/>
      <c r="L28" s="80"/>
      <c r="M28" s="5"/>
      <c r="N28" s="6"/>
      <c r="O28" s="15"/>
    </row>
    <row r="29" spans="1:15">
      <c r="A29" s="10">
        <v>24</v>
      </c>
      <c r="B29" s="9"/>
      <c r="C29" s="4"/>
      <c r="D29" s="70"/>
      <c r="E29" s="79"/>
      <c r="F29" s="80"/>
      <c r="G29" s="65"/>
      <c r="H29" s="79"/>
      <c r="I29" s="80"/>
      <c r="J29" s="66"/>
      <c r="K29" s="79"/>
      <c r="L29" s="80"/>
      <c r="M29" s="5"/>
      <c r="N29" s="6"/>
      <c r="O29" s="15"/>
    </row>
    <row r="30" spans="1:15">
      <c r="A30" s="10">
        <v>25</v>
      </c>
      <c r="B30" s="9"/>
      <c r="C30" s="4"/>
      <c r="D30" s="70"/>
      <c r="E30" s="79"/>
      <c r="F30" s="80"/>
      <c r="G30" s="65"/>
      <c r="H30" s="79"/>
      <c r="I30" s="80"/>
      <c r="J30" s="66"/>
      <c r="K30" s="79"/>
      <c r="L30" s="80"/>
      <c r="M30" s="5"/>
      <c r="N30" s="6"/>
      <c r="O30" s="15"/>
    </row>
    <row r="31" spans="1:15">
      <c r="A31" s="10">
        <v>26</v>
      </c>
      <c r="B31" s="9"/>
      <c r="C31" s="4"/>
      <c r="D31" s="70"/>
      <c r="E31" s="79"/>
      <c r="F31" s="80"/>
      <c r="G31" s="65"/>
      <c r="H31" s="79"/>
      <c r="I31" s="80"/>
      <c r="J31" s="66"/>
      <c r="K31" s="79"/>
      <c r="L31" s="80"/>
      <c r="M31" s="5"/>
      <c r="N31" s="6"/>
      <c r="O31" s="15"/>
    </row>
    <row r="32" spans="1:15">
      <c r="A32" s="10">
        <v>27</v>
      </c>
      <c r="B32" s="9"/>
      <c r="C32" s="4"/>
      <c r="D32" s="70"/>
      <c r="E32" s="79"/>
      <c r="F32" s="80"/>
      <c r="G32" s="65"/>
      <c r="H32" s="79"/>
      <c r="I32" s="80"/>
      <c r="J32" s="66"/>
      <c r="K32" s="79"/>
      <c r="L32" s="80"/>
      <c r="M32" s="5"/>
      <c r="N32" s="6"/>
      <c r="O32" s="15"/>
    </row>
    <row r="33" spans="1:15">
      <c r="A33" s="10">
        <v>28</v>
      </c>
      <c r="B33" s="9"/>
      <c r="C33" s="4"/>
      <c r="D33" s="70"/>
      <c r="E33" s="79"/>
      <c r="F33" s="80"/>
      <c r="G33" s="65"/>
      <c r="H33" s="79"/>
      <c r="I33" s="80"/>
      <c r="J33" s="66"/>
      <c r="K33" s="79"/>
      <c r="L33" s="80"/>
      <c r="M33" s="5"/>
      <c r="N33" s="6"/>
      <c r="O33" s="15"/>
    </row>
    <row r="34" spans="1:15">
      <c r="A34" s="10">
        <v>29</v>
      </c>
      <c r="B34" s="9"/>
      <c r="C34" s="4"/>
      <c r="D34" s="70"/>
      <c r="E34" s="79"/>
      <c r="F34" s="80"/>
      <c r="G34" s="65"/>
      <c r="H34" s="79"/>
      <c r="I34" s="80"/>
      <c r="J34" s="66"/>
      <c r="K34" s="79"/>
      <c r="L34" s="80"/>
      <c r="M34" s="5"/>
      <c r="N34" s="6"/>
      <c r="O34" s="15"/>
    </row>
    <row r="35" spans="1:15">
      <c r="A35" s="10">
        <v>30</v>
      </c>
      <c r="B35" s="9"/>
      <c r="C35" s="4"/>
      <c r="D35" s="70"/>
      <c r="E35" s="79"/>
      <c r="F35" s="80"/>
      <c r="G35" s="65"/>
      <c r="H35" s="79"/>
      <c r="I35" s="80"/>
      <c r="J35" s="66"/>
      <c r="K35" s="79"/>
      <c r="L35" s="80"/>
      <c r="M35" s="5"/>
      <c r="N35" s="6"/>
      <c r="O35" s="15"/>
    </row>
    <row r="36" spans="1:15">
      <c r="A36" s="10">
        <v>31</v>
      </c>
      <c r="B36" s="9"/>
      <c r="C36" s="4"/>
      <c r="D36" s="70"/>
      <c r="E36" s="79"/>
      <c r="F36" s="80"/>
      <c r="G36" s="65"/>
      <c r="H36" s="79"/>
      <c r="I36" s="80"/>
      <c r="J36" s="66"/>
      <c r="K36" s="79"/>
      <c r="L36" s="80"/>
      <c r="M36" s="5"/>
      <c r="N36" s="6"/>
      <c r="O36" s="15"/>
    </row>
    <row r="37" spans="1:15">
      <c r="A37" s="10">
        <v>32</v>
      </c>
      <c r="B37" s="9"/>
      <c r="C37" s="4"/>
      <c r="D37" s="70"/>
      <c r="E37" s="79"/>
      <c r="F37" s="80"/>
      <c r="G37" s="65"/>
      <c r="H37" s="79"/>
      <c r="I37" s="80"/>
      <c r="J37" s="66"/>
      <c r="K37" s="79"/>
      <c r="L37" s="80"/>
      <c r="M37" s="5"/>
      <c r="N37" s="6"/>
      <c r="O37" s="15"/>
    </row>
    <row r="38" spans="1:15">
      <c r="A38" s="10">
        <v>33</v>
      </c>
      <c r="B38" s="9"/>
      <c r="C38" s="4"/>
      <c r="D38" s="70"/>
      <c r="E38" s="79"/>
      <c r="F38" s="80"/>
      <c r="G38" s="65"/>
      <c r="H38" s="79"/>
      <c r="I38" s="80"/>
      <c r="J38" s="66"/>
      <c r="K38" s="79"/>
      <c r="L38" s="80"/>
      <c r="M38" s="5"/>
      <c r="N38" s="6"/>
      <c r="O38" s="15"/>
    </row>
    <row r="39" spans="1:15">
      <c r="A39" s="10">
        <v>34</v>
      </c>
      <c r="B39" s="9"/>
      <c r="C39" s="4"/>
      <c r="D39" s="70"/>
      <c r="E39" s="79"/>
      <c r="F39" s="80"/>
      <c r="G39" s="65"/>
      <c r="H39" s="79"/>
      <c r="I39" s="80"/>
      <c r="J39" s="66"/>
      <c r="K39" s="79"/>
      <c r="L39" s="80"/>
      <c r="M39" s="5"/>
      <c r="N39" s="6"/>
      <c r="O39" s="15"/>
    </row>
    <row r="40" spans="1:15">
      <c r="A40" s="10">
        <v>35</v>
      </c>
      <c r="B40" s="9"/>
      <c r="C40" s="4"/>
      <c r="D40" s="70"/>
      <c r="E40" s="79"/>
      <c r="F40" s="80"/>
      <c r="G40" s="65"/>
      <c r="H40" s="79"/>
      <c r="I40" s="80"/>
      <c r="J40" s="66"/>
      <c r="K40" s="79"/>
      <c r="L40" s="80"/>
      <c r="M40" s="5"/>
      <c r="N40" s="6"/>
      <c r="O40" s="15"/>
    </row>
    <row r="41" spans="1:15">
      <c r="A41" s="10">
        <v>36</v>
      </c>
      <c r="B41" s="9"/>
      <c r="C41" s="4"/>
      <c r="D41" s="70"/>
      <c r="E41" s="79"/>
      <c r="F41" s="80"/>
      <c r="G41" s="65"/>
      <c r="H41" s="79"/>
      <c r="I41" s="80"/>
      <c r="J41" s="66"/>
      <c r="K41" s="79"/>
      <c r="L41" s="80"/>
      <c r="M41" s="5"/>
      <c r="N41" s="6"/>
      <c r="O41" s="15"/>
    </row>
    <row r="42" spans="1:15">
      <c r="A42" s="10">
        <v>37</v>
      </c>
      <c r="B42" s="9"/>
      <c r="C42" s="4"/>
      <c r="D42" s="70"/>
      <c r="E42" s="79"/>
      <c r="F42" s="80"/>
      <c r="G42" s="65"/>
      <c r="H42" s="79"/>
      <c r="I42" s="80"/>
      <c r="J42" s="66"/>
      <c r="K42" s="79"/>
      <c r="L42" s="80"/>
      <c r="M42" s="5"/>
      <c r="N42" s="6"/>
      <c r="O42" s="15"/>
    </row>
    <row r="43" spans="1:15">
      <c r="A43" s="10">
        <v>38</v>
      </c>
      <c r="B43" s="9"/>
      <c r="C43" s="4"/>
      <c r="D43" s="70"/>
      <c r="E43" s="79"/>
      <c r="F43" s="80"/>
      <c r="G43" s="65"/>
      <c r="H43" s="79"/>
      <c r="I43" s="80"/>
      <c r="J43" s="66"/>
      <c r="K43" s="79"/>
      <c r="L43" s="80"/>
      <c r="M43" s="5"/>
      <c r="N43" s="6"/>
      <c r="O43" s="15"/>
    </row>
    <row r="44" spans="1:15">
      <c r="A44" s="10">
        <v>39</v>
      </c>
      <c r="B44" s="9"/>
      <c r="C44" s="4"/>
      <c r="D44" s="70"/>
      <c r="E44" s="79"/>
      <c r="F44" s="80"/>
      <c r="G44" s="65"/>
      <c r="H44" s="79"/>
      <c r="I44" s="80"/>
      <c r="J44" s="66"/>
      <c r="K44" s="79"/>
      <c r="L44" s="80"/>
      <c r="M44" s="5"/>
      <c r="N44" s="6"/>
      <c r="O44" s="15"/>
    </row>
    <row r="45" spans="1:15">
      <c r="A45" s="10">
        <v>40</v>
      </c>
      <c r="B45" s="9"/>
      <c r="C45" s="4"/>
      <c r="D45" s="70"/>
      <c r="E45" s="79"/>
      <c r="F45" s="80"/>
      <c r="G45" s="65"/>
      <c r="H45" s="79"/>
      <c r="I45" s="80"/>
      <c r="J45" s="66"/>
      <c r="K45" s="79"/>
      <c r="L45" s="80"/>
      <c r="M45" s="5"/>
      <c r="N45" s="6"/>
      <c r="O45" s="15"/>
    </row>
    <row r="46" spans="1:15">
      <c r="A46" s="10">
        <v>41</v>
      </c>
      <c r="B46" s="9"/>
      <c r="C46" s="4"/>
      <c r="D46" s="70"/>
      <c r="E46" s="79"/>
      <c r="F46" s="80"/>
      <c r="G46" s="65"/>
      <c r="H46" s="79"/>
      <c r="I46" s="80"/>
      <c r="J46" s="66"/>
      <c r="K46" s="79"/>
      <c r="L46" s="80"/>
      <c r="M46" s="5"/>
      <c r="N46" s="6"/>
      <c r="O46" s="15"/>
    </row>
    <row r="47" spans="1:15">
      <c r="A47" s="10">
        <v>42</v>
      </c>
      <c r="B47" s="9"/>
      <c r="C47" s="4"/>
      <c r="D47" s="70"/>
      <c r="E47" s="79"/>
      <c r="F47" s="80"/>
      <c r="G47" s="65"/>
      <c r="H47" s="79"/>
      <c r="I47" s="80"/>
      <c r="J47" s="66"/>
      <c r="K47" s="79"/>
      <c r="L47" s="80"/>
      <c r="M47" s="5"/>
      <c r="N47" s="6"/>
      <c r="O47" s="15"/>
    </row>
    <row r="48" spans="1:15">
      <c r="A48" s="10">
        <v>43</v>
      </c>
      <c r="B48" s="9"/>
      <c r="C48" s="4"/>
      <c r="D48" s="70"/>
      <c r="E48" s="79"/>
      <c r="F48" s="80"/>
      <c r="G48" s="65"/>
      <c r="H48" s="79"/>
      <c r="I48" s="80"/>
      <c r="J48" s="66"/>
      <c r="K48" s="79"/>
      <c r="L48" s="80"/>
      <c r="M48" s="5"/>
      <c r="N48" s="6"/>
      <c r="O48" s="15"/>
    </row>
    <row r="49" spans="1:15">
      <c r="A49" s="10">
        <v>44</v>
      </c>
      <c r="B49" s="9"/>
      <c r="C49" s="4"/>
      <c r="D49" s="70"/>
      <c r="E49" s="79"/>
      <c r="F49" s="80"/>
      <c r="G49" s="65"/>
      <c r="H49" s="79"/>
      <c r="I49" s="80"/>
      <c r="J49" s="66"/>
      <c r="K49" s="79"/>
      <c r="L49" s="80"/>
      <c r="M49" s="5"/>
      <c r="N49" s="6"/>
      <c r="O49" s="15"/>
    </row>
    <row r="50" spans="1:15">
      <c r="A50" s="10">
        <v>45</v>
      </c>
      <c r="B50" s="9"/>
      <c r="C50" s="4"/>
      <c r="D50" s="70"/>
      <c r="E50" s="79"/>
      <c r="F50" s="80"/>
      <c r="G50" s="65"/>
      <c r="H50" s="79"/>
      <c r="I50" s="80"/>
      <c r="J50" s="66"/>
      <c r="K50" s="79"/>
      <c r="L50" s="80"/>
      <c r="M50" s="5"/>
      <c r="N50" s="6"/>
      <c r="O50" s="15"/>
    </row>
    <row r="51" spans="1:15">
      <c r="A51" s="10">
        <v>46</v>
      </c>
      <c r="B51" s="9"/>
      <c r="C51" s="4"/>
      <c r="D51" s="70"/>
      <c r="E51" s="79"/>
      <c r="F51" s="80"/>
      <c r="G51" s="65"/>
      <c r="H51" s="79"/>
      <c r="I51" s="80"/>
      <c r="J51" s="66"/>
      <c r="K51" s="79"/>
      <c r="L51" s="80"/>
      <c r="M51" s="5"/>
      <c r="N51" s="6"/>
      <c r="O51" s="15"/>
    </row>
    <row r="52" spans="1:15">
      <c r="A52" s="10">
        <v>47</v>
      </c>
      <c r="B52" s="9"/>
      <c r="C52" s="4"/>
      <c r="D52" s="70"/>
      <c r="E52" s="79"/>
      <c r="F52" s="80"/>
      <c r="G52" s="65"/>
      <c r="H52" s="79"/>
      <c r="I52" s="80"/>
      <c r="J52" s="66"/>
      <c r="K52" s="79"/>
      <c r="L52" s="80"/>
      <c r="M52" s="5"/>
      <c r="N52" s="6"/>
      <c r="O52" s="15"/>
    </row>
    <row r="53" spans="1:15">
      <c r="A53" s="10">
        <v>48</v>
      </c>
      <c r="B53" s="9"/>
      <c r="C53" s="4"/>
      <c r="D53" s="70"/>
      <c r="E53" s="79"/>
      <c r="F53" s="80"/>
      <c r="G53" s="65"/>
      <c r="H53" s="79"/>
      <c r="I53" s="80"/>
      <c r="J53" s="66"/>
      <c r="K53" s="79"/>
      <c r="L53" s="80"/>
      <c r="M53" s="5"/>
      <c r="N53" s="6"/>
      <c r="O53" s="15"/>
    </row>
    <row r="54" spans="1:15">
      <c r="A54" s="10">
        <v>49</v>
      </c>
      <c r="B54" s="9"/>
      <c r="C54" s="4"/>
      <c r="D54" s="70"/>
      <c r="E54" s="79"/>
      <c r="F54" s="80"/>
      <c r="G54" s="65"/>
      <c r="H54" s="79"/>
      <c r="I54" s="80"/>
      <c r="J54" s="66"/>
      <c r="K54" s="79"/>
      <c r="L54" s="80"/>
      <c r="M54" s="5"/>
      <c r="N54" s="6"/>
      <c r="O54" s="15"/>
    </row>
    <row r="55" spans="1:15">
      <c r="A55" s="10">
        <v>50</v>
      </c>
      <c r="B55" s="9"/>
      <c r="C55" s="4"/>
      <c r="D55" s="70"/>
      <c r="E55" s="79"/>
      <c r="F55" s="80"/>
      <c r="G55" s="65"/>
      <c r="H55" s="79"/>
      <c r="I55" s="80"/>
      <c r="J55" s="66"/>
      <c r="K55" s="79"/>
      <c r="L55" s="80"/>
      <c r="M55" s="5"/>
      <c r="N55" s="6"/>
      <c r="O55" s="15"/>
    </row>
    <row r="56" spans="1:15">
      <c r="A56" s="10">
        <v>51</v>
      </c>
      <c r="B56" s="9"/>
      <c r="C56" s="4"/>
      <c r="D56" s="70"/>
      <c r="E56" s="79"/>
      <c r="F56" s="80"/>
      <c r="G56" s="65"/>
      <c r="H56" s="79"/>
      <c r="I56" s="80"/>
      <c r="J56" s="66"/>
      <c r="K56" s="79"/>
      <c r="L56" s="80"/>
      <c r="M56" s="5"/>
      <c r="N56" s="6"/>
      <c r="O56" s="15"/>
    </row>
    <row r="57" spans="1:15">
      <c r="A57" s="10">
        <v>52</v>
      </c>
      <c r="B57" s="9"/>
      <c r="C57" s="4"/>
      <c r="D57" s="70"/>
      <c r="E57" s="79"/>
      <c r="F57" s="80"/>
      <c r="G57" s="65"/>
      <c r="H57" s="79"/>
      <c r="I57" s="80"/>
      <c r="J57" s="66"/>
      <c r="K57" s="79"/>
      <c r="L57" s="80"/>
      <c r="M57" s="5"/>
      <c r="N57" s="6"/>
      <c r="O57" s="15"/>
    </row>
    <row r="58" spans="1:15">
      <c r="A58" s="10">
        <v>53</v>
      </c>
      <c r="B58" s="9"/>
      <c r="C58" s="4"/>
      <c r="D58" s="70"/>
      <c r="E58" s="79"/>
      <c r="F58" s="80"/>
      <c r="G58" s="65"/>
      <c r="H58" s="79"/>
      <c r="I58" s="80"/>
      <c r="J58" s="66"/>
      <c r="K58" s="79"/>
      <c r="L58" s="80"/>
      <c r="M58" s="5"/>
      <c r="N58" s="6"/>
      <c r="O58" s="15"/>
    </row>
    <row r="59" spans="1:15">
      <c r="A59" s="10">
        <v>54</v>
      </c>
      <c r="B59" s="9"/>
      <c r="C59" s="4"/>
      <c r="D59" s="70"/>
      <c r="E59" s="79"/>
      <c r="F59" s="80"/>
      <c r="G59" s="65"/>
      <c r="H59" s="79"/>
      <c r="I59" s="80"/>
      <c r="J59" s="66"/>
      <c r="K59" s="79"/>
      <c r="L59" s="80"/>
      <c r="M59" s="5"/>
      <c r="N59" s="6"/>
      <c r="O59" s="15"/>
    </row>
    <row r="60" spans="1:15">
      <c r="A60" s="10">
        <v>55</v>
      </c>
      <c r="B60" s="9"/>
      <c r="C60" s="4"/>
      <c r="D60" s="70"/>
      <c r="E60" s="79"/>
      <c r="F60" s="80"/>
      <c r="G60" s="65"/>
      <c r="H60" s="79"/>
      <c r="I60" s="80"/>
      <c r="J60" s="66"/>
      <c r="K60" s="79"/>
      <c r="L60" s="80"/>
      <c r="M60" s="5"/>
      <c r="N60" s="6"/>
      <c r="O60" s="15"/>
    </row>
    <row r="61" spans="1:15">
      <c r="A61" s="10">
        <v>56</v>
      </c>
      <c r="B61" s="9"/>
      <c r="C61" s="4"/>
      <c r="D61" s="70"/>
      <c r="E61" s="79"/>
      <c r="F61" s="80"/>
      <c r="G61" s="65"/>
      <c r="H61" s="79"/>
      <c r="I61" s="80"/>
      <c r="J61" s="66"/>
      <c r="K61" s="79"/>
      <c r="L61" s="80"/>
      <c r="M61" s="5"/>
      <c r="N61" s="6"/>
      <c r="O61" s="15"/>
    </row>
    <row r="62" spans="1:15">
      <c r="A62" s="10">
        <v>57</v>
      </c>
      <c r="B62" s="9"/>
      <c r="C62" s="4"/>
      <c r="D62" s="70"/>
      <c r="E62" s="79"/>
      <c r="F62" s="80"/>
      <c r="G62" s="65"/>
      <c r="H62" s="79"/>
      <c r="I62" s="80"/>
      <c r="J62" s="66"/>
      <c r="K62" s="79"/>
      <c r="L62" s="80"/>
      <c r="M62" s="5"/>
      <c r="N62" s="6"/>
      <c r="O62" s="15"/>
    </row>
    <row r="63" spans="1:15">
      <c r="A63" s="10">
        <v>58</v>
      </c>
      <c r="B63" s="9"/>
      <c r="C63" s="4"/>
      <c r="D63" s="70"/>
      <c r="E63" s="79"/>
      <c r="F63" s="80"/>
      <c r="G63" s="65"/>
      <c r="H63" s="79"/>
      <c r="I63" s="80"/>
      <c r="J63" s="66"/>
      <c r="K63" s="79"/>
      <c r="L63" s="80"/>
      <c r="M63" s="5"/>
      <c r="N63" s="6"/>
      <c r="O63" s="15"/>
    </row>
    <row r="64" spans="1:15">
      <c r="A64" s="10">
        <v>59</v>
      </c>
      <c r="B64" s="9"/>
      <c r="C64" s="4"/>
      <c r="D64" s="70"/>
      <c r="E64" s="79"/>
      <c r="F64" s="80"/>
      <c r="G64" s="65"/>
      <c r="H64" s="79"/>
      <c r="I64" s="80"/>
      <c r="J64" s="66"/>
      <c r="K64" s="79"/>
      <c r="L64" s="80"/>
      <c r="M64" s="5"/>
      <c r="N64" s="6"/>
      <c r="O64" s="15"/>
    </row>
    <row r="65" spans="1:15">
      <c r="A65" s="10">
        <v>60</v>
      </c>
      <c r="B65" s="9"/>
      <c r="C65" s="4"/>
      <c r="D65" s="70"/>
      <c r="E65" s="79"/>
      <c r="F65" s="80"/>
      <c r="G65" s="65"/>
      <c r="H65" s="79"/>
      <c r="I65" s="80"/>
      <c r="J65" s="66"/>
      <c r="K65" s="79"/>
      <c r="L65" s="80"/>
      <c r="M65" s="5"/>
      <c r="N65" s="6"/>
      <c r="O65" s="15"/>
    </row>
    <row r="66" spans="1:15">
      <c r="A66" s="10">
        <v>61</v>
      </c>
      <c r="B66" s="9"/>
      <c r="C66" s="4"/>
      <c r="D66" s="70"/>
      <c r="E66" s="79"/>
      <c r="F66" s="80"/>
      <c r="G66" s="65"/>
      <c r="H66" s="79"/>
      <c r="I66" s="80"/>
      <c r="J66" s="66"/>
      <c r="K66" s="79"/>
      <c r="L66" s="80"/>
      <c r="M66" s="5"/>
      <c r="N66" s="6"/>
      <c r="O66" s="15"/>
    </row>
    <row r="67" spans="1:15">
      <c r="A67" s="10">
        <v>62</v>
      </c>
      <c r="B67" s="9"/>
      <c r="C67" s="4"/>
      <c r="D67" s="70"/>
      <c r="E67" s="79"/>
      <c r="F67" s="80"/>
      <c r="G67" s="65"/>
      <c r="H67" s="79"/>
      <c r="I67" s="80"/>
      <c r="J67" s="66"/>
      <c r="K67" s="79"/>
      <c r="L67" s="80"/>
      <c r="M67" s="5"/>
      <c r="N67" s="6"/>
      <c r="O67" s="15"/>
    </row>
    <row r="68" spans="1:15">
      <c r="A68" s="10">
        <v>63</v>
      </c>
      <c r="B68" s="9"/>
      <c r="C68" s="4"/>
      <c r="D68" s="70"/>
      <c r="E68" s="79"/>
      <c r="F68" s="80"/>
      <c r="G68" s="65"/>
      <c r="H68" s="79"/>
      <c r="I68" s="80"/>
      <c r="J68" s="66"/>
      <c r="K68" s="79"/>
      <c r="L68" s="80"/>
      <c r="M68" s="5"/>
      <c r="N68" s="6"/>
      <c r="O68" s="15"/>
    </row>
    <row r="69" spans="1:15">
      <c r="A69" s="10">
        <v>64</v>
      </c>
      <c r="B69" s="9"/>
      <c r="C69" s="4"/>
      <c r="D69" s="70"/>
      <c r="E69" s="79"/>
      <c r="F69" s="80"/>
      <c r="G69" s="65"/>
      <c r="H69" s="79"/>
      <c r="I69" s="80"/>
      <c r="J69" s="66"/>
      <c r="K69" s="79"/>
      <c r="L69" s="80"/>
      <c r="M69" s="5"/>
      <c r="N69" s="6"/>
      <c r="O69" s="15"/>
    </row>
    <row r="70" spans="1:15">
      <c r="A70" s="10">
        <v>65</v>
      </c>
      <c r="B70" s="9"/>
      <c r="C70" s="4"/>
      <c r="D70" s="70"/>
      <c r="E70" s="79"/>
      <c r="F70" s="80"/>
      <c r="G70" s="65"/>
      <c r="H70" s="79"/>
      <c r="I70" s="80"/>
      <c r="J70" s="66"/>
      <c r="K70" s="79"/>
      <c r="L70" s="80"/>
      <c r="M70" s="5"/>
      <c r="N70" s="6"/>
      <c r="O70" s="15"/>
    </row>
    <row r="71" spans="1:15">
      <c r="A71" s="10">
        <v>66</v>
      </c>
      <c r="B71" s="9"/>
      <c r="C71" s="4"/>
      <c r="D71" s="70"/>
      <c r="E71" s="79"/>
      <c r="F71" s="80"/>
      <c r="G71" s="65"/>
      <c r="H71" s="79"/>
      <c r="I71" s="80"/>
      <c r="J71" s="66"/>
      <c r="K71" s="79"/>
      <c r="L71" s="80"/>
      <c r="M71" s="5"/>
      <c r="N71" s="6"/>
      <c r="O71" s="15"/>
    </row>
    <row r="72" spans="1:15">
      <c r="A72" s="10">
        <v>67</v>
      </c>
      <c r="B72" s="9"/>
      <c r="C72" s="4"/>
      <c r="D72" s="70"/>
      <c r="E72" s="79"/>
      <c r="F72" s="80"/>
      <c r="G72" s="65"/>
      <c r="H72" s="79"/>
      <c r="I72" s="80"/>
      <c r="J72" s="66"/>
      <c r="K72" s="79"/>
      <c r="L72" s="80"/>
      <c r="M72" s="5"/>
      <c r="N72" s="6"/>
      <c r="O72" s="15"/>
    </row>
    <row r="73" spans="1:15">
      <c r="A73" s="10">
        <v>68</v>
      </c>
      <c r="B73" s="9"/>
      <c r="C73" s="4"/>
      <c r="D73" s="70"/>
      <c r="E73" s="79"/>
      <c r="F73" s="80"/>
      <c r="G73" s="65"/>
      <c r="H73" s="79"/>
      <c r="I73" s="80"/>
      <c r="J73" s="66"/>
      <c r="K73" s="79"/>
      <c r="L73" s="80"/>
      <c r="M73" s="5"/>
      <c r="N73" s="6"/>
      <c r="O73" s="15"/>
    </row>
    <row r="74" spans="1:15">
      <c r="A74" s="10">
        <v>69</v>
      </c>
      <c r="B74" s="9"/>
      <c r="C74" s="4"/>
      <c r="D74" s="70"/>
      <c r="E74" s="79"/>
      <c r="F74" s="80"/>
      <c r="G74" s="65"/>
      <c r="H74" s="79"/>
      <c r="I74" s="80"/>
      <c r="J74" s="66"/>
      <c r="K74" s="79"/>
      <c r="L74" s="80"/>
      <c r="M74" s="5"/>
      <c r="N74" s="6"/>
      <c r="O74" s="15"/>
    </row>
    <row r="75" spans="1:15">
      <c r="A75" s="10">
        <v>70</v>
      </c>
      <c r="B75" s="9"/>
      <c r="C75" s="4"/>
      <c r="D75" s="70"/>
      <c r="E75" s="79"/>
      <c r="F75" s="80"/>
      <c r="G75" s="65"/>
      <c r="H75" s="79"/>
      <c r="I75" s="80"/>
      <c r="J75" s="66"/>
      <c r="K75" s="79"/>
      <c r="L75" s="80"/>
      <c r="M75" s="5"/>
      <c r="N75" s="6"/>
      <c r="O75" s="15"/>
    </row>
    <row r="76" spans="1:15">
      <c r="A76" s="10">
        <v>71</v>
      </c>
      <c r="B76" s="9"/>
      <c r="C76" s="4"/>
      <c r="D76" s="70"/>
      <c r="E76" s="79"/>
      <c r="F76" s="80"/>
      <c r="G76" s="65"/>
      <c r="H76" s="79"/>
      <c r="I76" s="80"/>
      <c r="J76" s="66"/>
      <c r="K76" s="79"/>
      <c r="L76" s="80"/>
      <c r="M76" s="5"/>
      <c r="N76" s="6"/>
      <c r="O76" s="15"/>
    </row>
    <row r="77" spans="1:15">
      <c r="A77" s="10">
        <v>72</v>
      </c>
      <c r="B77" s="9"/>
      <c r="C77" s="4"/>
      <c r="D77" s="70"/>
      <c r="E77" s="79"/>
      <c r="F77" s="80"/>
      <c r="G77" s="65"/>
      <c r="H77" s="79"/>
      <c r="I77" s="80"/>
      <c r="J77" s="66"/>
      <c r="K77" s="79"/>
      <c r="L77" s="80"/>
      <c r="M77" s="5"/>
      <c r="N77" s="6"/>
      <c r="O77" s="15"/>
    </row>
    <row r="78" spans="1:15">
      <c r="A78" s="10">
        <v>73</v>
      </c>
      <c r="B78" s="9"/>
      <c r="C78" s="4"/>
      <c r="D78" s="70"/>
      <c r="E78" s="79"/>
      <c r="F78" s="80"/>
      <c r="G78" s="65"/>
      <c r="H78" s="79"/>
      <c r="I78" s="80"/>
      <c r="J78" s="66"/>
      <c r="K78" s="79"/>
      <c r="L78" s="80"/>
      <c r="M78" s="5"/>
      <c r="N78" s="6"/>
      <c r="O78" s="15"/>
    </row>
    <row r="79" spans="1:15">
      <c r="A79" s="10">
        <v>74</v>
      </c>
      <c r="B79" s="9"/>
      <c r="C79" s="4"/>
      <c r="D79" s="70"/>
      <c r="E79" s="79"/>
      <c r="F79" s="80"/>
      <c r="G79" s="65"/>
      <c r="H79" s="79"/>
      <c r="I79" s="80"/>
      <c r="J79" s="66"/>
      <c r="K79" s="79"/>
      <c r="L79" s="80"/>
      <c r="M79" s="5"/>
      <c r="N79" s="6"/>
      <c r="O79" s="15"/>
    </row>
    <row r="80" spans="1:15">
      <c r="A80" s="10">
        <v>75</v>
      </c>
      <c r="B80" s="9"/>
      <c r="C80" s="4"/>
      <c r="D80" s="70"/>
      <c r="E80" s="79"/>
      <c r="F80" s="80"/>
      <c r="G80" s="65"/>
      <c r="H80" s="79"/>
      <c r="I80" s="80"/>
      <c r="J80" s="66"/>
      <c r="K80" s="79"/>
      <c r="L80" s="80"/>
      <c r="M80" s="5"/>
      <c r="N80" s="6"/>
      <c r="O80" s="15"/>
    </row>
    <row r="81" spans="1:15">
      <c r="A81" s="10">
        <v>76</v>
      </c>
      <c r="B81" s="9"/>
      <c r="C81" s="4"/>
      <c r="D81" s="70"/>
      <c r="E81" s="79"/>
      <c r="F81" s="80"/>
      <c r="G81" s="65"/>
      <c r="H81" s="79"/>
      <c r="I81" s="80"/>
      <c r="J81" s="66"/>
      <c r="K81" s="79"/>
      <c r="L81" s="80"/>
      <c r="M81" s="5"/>
      <c r="N81" s="6"/>
      <c r="O81" s="15"/>
    </row>
    <row r="82" spans="1:15">
      <c r="A82" s="10">
        <v>77</v>
      </c>
      <c r="B82" s="9"/>
      <c r="C82" s="4"/>
      <c r="D82" s="70"/>
      <c r="E82" s="79"/>
      <c r="F82" s="80"/>
      <c r="G82" s="65"/>
      <c r="H82" s="79"/>
      <c r="I82" s="80"/>
      <c r="J82" s="66"/>
      <c r="K82" s="79"/>
      <c r="L82" s="80"/>
      <c r="M82" s="5"/>
      <c r="N82" s="6"/>
      <c r="O82" s="15"/>
    </row>
    <row r="83" spans="1:15">
      <c r="A83" s="10">
        <v>78</v>
      </c>
      <c r="B83" s="9"/>
      <c r="C83" s="4"/>
      <c r="D83" s="70"/>
      <c r="E83" s="79"/>
      <c r="F83" s="80"/>
      <c r="G83" s="65"/>
      <c r="H83" s="79"/>
      <c r="I83" s="80"/>
      <c r="J83" s="66"/>
      <c r="K83" s="79"/>
      <c r="L83" s="80"/>
      <c r="M83" s="5"/>
      <c r="N83" s="6"/>
      <c r="O83" s="15"/>
    </row>
    <row r="84" spans="1:15">
      <c r="A84" s="10">
        <v>79</v>
      </c>
      <c r="B84" s="9"/>
      <c r="C84" s="4"/>
      <c r="D84" s="70"/>
      <c r="E84" s="79"/>
      <c r="F84" s="80"/>
      <c r="G84" s="65"/>
      <c r="H84" s="79"/>
      <c r="I84" s="80"/>
      <c r="J84" s="66"/>
      <c r="K84" s="79"/>
      <c r="L84" s="80"/>
      <c r="M84" s="5"/>
      <c r="N84" s="6"/>
      <c r="O84" s="15"/>
    </row>
    <row r="85" spans="1:15">
      <c r="A85" s="10">
        <v>80</v>
      </c>
      <c r="B85" s="9"/>
      <c r="C85" s="4"/>
      <c r="D85" s="70"/>
      <c r="E85" s="79"/>
      <c r="F85" s="80"/>
      <c r="G85" s="65"/>
      <c r="H85" s="79"/>
      <c r="I85" s="80"/>
      <c r="J85" s="66"/>
      <c r="K85" s="79"/>
      <c r="L85" s="80"/>
      <c r="M85" s="5"/>
      <c r="N85" s="6"/>
      <c r="O85" s="15"/>
    </row>
    <row r="86" spans="1:15">
      <c r="A86" s="10">
        <v>81</v>
      </c>
      <c r="B86" s="9"/>
      <c r="C86" s="4"/>
      <c r="D86" s="70"/>
      <c r="E86" s="79"/>
      <c r="F86" s="80"/>
      <c r="G86" s="65"/>
      <c r="H86" s="79"/>
      <c r="I86" s="80"/>
      <c r="J86" s="66"/>
      <c r="K86" s="79"/>
      <c r="L86" s="80"/>
      <c r="M86" s="5"/>
      <c r="N86" s="6"/>
      <c r="O86" s="15"/>
    </row>
  </sheetData>
  <mergeCells count="249">
    <mergeCell ref="D86:F86"/>
    <mergeCell ref="G86:I86"/>
    <mergeCell ref="J86:L86"/>
    <mergeCell ref="D84:F84"/>
    <mergeCell ref="G84:I84"/>
    <mergeCell ref="J84:L84"/>
    <mergeCell ref="D85:F85"/>
    <mergeCell ref="G85:I85"/>
    <mergeCell ref="J85:L85"/>
    <mergeCell ref="D82:F82"/>
    <mergeCell ref="G82:I82"/>
    <mergeCell ref="J82:L82"/>
    <mergeCell ref="D83:F83"/>
    <mergeCell ref="G83:I83"/>
    <mergeCell ref="J83:L83"/>
    <mergeCell ref="D80:F80"/>
    <mergeCell ref="G80:I80"/>
    <mergeCell ref="J80:L80"/>
    <mergeCell ref="D81:F81"/>
    <mergeCell ref="G81:I81"/>
    <mergeCell ref="J81:L81"/>
    <mergeCell ref="D78:F78"/>
    <mergeCell ref="G78:I78"/>
    <mergeCell ref="J78:L78"/>
    <mergeCell ref="D79:F79"/>
    <mergeCell ref="G79:I79"/>
    <mergeCell ref="J79:L79"/>
    <mergeCell ref="D76:F76"/>
    <mergeCell ref="G76:I76"/>
    <mergeCell ref="J76:L76"/>
    <mergeCell ref="D77:F77"/>
    <mergeCell ref="G77:I77"/>
    <mergeCell ref="J77:L77"/>
    <mergeCell ref="D74:F74"/>
    <mergeCell ref="G74:I74"/>
    <mergeCell ref="J74:L74"/>
    <mergeCell ref="D75:F75"/>
    <mergeCell ref="G75:I75"/>
    <mergeCell ref="J75:L75"/>
    <mergeCell ref="D72:F72"/>
    <mergeCell ref="G72:I72"/>
    <mergeCell ref="J72:L72"/>
    <mergeCell ref="D73:F73"/>
    <mergeCell ref="G73:I73"/>
    <mergeCell ref="J73:L73"/>
    <mergeCell ref="D70:F70"/>
    <mergeCell ref="G70:I70"/>
    <mergeCell ref="J70:L70"/>
    <mergeCell ref="D71:F71"/>
    <mergeCell ref="G71:I71"/>
    <mergeCell ref="J71:L71"/>
    <mergeCell ref="D68:F68"/>
    <mergeCell ref="G68:I68"/>
    <mergeCell ref="J68:L68"/>
    <mergeCell ref="D69:F69"/>
    <mergeCell ref="G69:I69"/>
    <mergeCell ref="J69:L69"/>
    <mergeCell ref="D66:F66"/>
    <mergeCell ref="G66:I66"/>
    <mergeCell ref="J66:L66"/>
    <mergeCell ref="D67:F67"/>
    <mergeCell ref="G67:I67"/>
    <mergeCell ref="J67:L67"/>
    <mergeCell ref="D64:F64"/>
    <mergeCell ref="G64:I64"/>
    <mergeCell ref="J64:L64"/>
    <mergeCell ref="D65:F65"/>
    <mergeCell ref="G65:I65"/>
    <mergeCell ref="J65:L65"/>
    <mergeCell ref="D62:F62"/>
    <mergeCell ref="G62:I62"/>
    <mergeCell ref="J62:L62"/>
    <mergeCell ref="D63:F63"/>
    <mergeCell ref="G63:I63"/>
    <mergeCell ref="J63:L63"/>
    <mergeCell ref="D60:F60"/>
    <mergeCell ref="G60:I60"/>
    <mergeCell ref="J60:L60"/>
    <mergeCell ref="D61:F61"/>
    <mergeCell ref="G61:I61"/>
    <mergeCell ref="J61:L61"/>
    <mergeCell ref="D58:F58"/>
    <mergeCell ref="G58:I58"/>
    <mergeCell ref="J58:L58"/>
    <mergeCell ref="D59:F59"/>
    <mergeCell ref="G59:I59"/>
    <mergeCell ref="J59:L59"/>
    <mergeCell ref="D56:F56"/>
    <mergeCell ref="G56:I56"/>
    <mergeCell ref="J56:L56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2:F52"/>
    <mergeCell ref="G52:I52"/>
    <mergeCell ref="J52:L52"/>
    <mergeCell ref="D53:F53"/>
    <mergeCell ref="G53:I53"/>
    <mergeCell ref="J53:L53"/>
    <mergeCell ref="D50:F50"/>
    <mergeCell ref="G50:I50"/>
    <mergeCell ref="J50:L50"/>
    <mergeCell ref="D51:F51"/>
    <mergeCell ref="G51:I51"/>
    <mergeCell ref="J51:L51"/>
    <mergeCell ref="D48:F48"/>
    <mergeCell ref="G48:I48"/>
    <mergeCell ref="J48:L48"/>
    <mergeCell ref="D49:F49"/>
    <mergeCell ref="G49:I49"/>
    <mergeCell ref="J49:L49"/>
    <mergeCell ref="D46:F46"/>
    <mergeCell ref="G46:I46"/>
    <mergeCell ref="J46:L46"/>
    <mergeCell ref="D47:F47"/>
    <mergeCell ref="G47:I47"/>
    <mergeCell ref="J47:L47"/>
    <mergeCell ref="D44:F44"/>
    <mergeCell ref="G44:I44"/>
    <mergeCell ref="J44:L44"/>
    <mergeCell ref="D45:F45"/>
    <mergeCell ref="G45:I45"/>
    <mergeCell ref="J45:L45"/>
    <mergeCell ref="D42:F42"/>
    <mergeCell ref="G42:I42"/>
    <mergeCell ref="J42:L42"/>
    <mergeCell ref="D43:F43"/>
    <mergeCell ref="G43:I43"/>
    <mergeCell ref="J43:L43"/>
    <mergeCell ref="D40:F40"/>
    <mergeCell ref="G40:I40"/>
    <mergeCell ref="J40:L40"/>
    <mergeCell ref="D41:F41"/>
    <mergeCell ref="G41:I41"/>
    <mergeCell ref="J41:L41"/>
    <mergeCell ref="D38:F38"/>
    <mergeCell ref="G38:I38"/>
    <mergeCell ref="J38:L38"/>
    <mergeCell ref="D39:F39"/>
    <mergeCell ref="G39:I39"/>
    <mergeCell ref="J39:L39"/>
    <mergeCell ref="D36:F36"/>
    <mergeCell ref="G36:I36"/>
    <mergeCell ref="J36:L36"/>
    <mergeCell ref="D37:F37"/>
    <mergeCell ref="G37:I37"/>
    <mergeCell ref="J37:L37"/>
    <mergeCell ref="D34:F34"/>
    <mergeCell ref="G34:I34"/>
    <mergeCell ref="J34:L34"/>
    <mergeCell ref="D35:F35"/>
    <mergeCell ref="G35:I35"/>
    <mergeCell ref="J35:L35"/>
    <mergeCell ref="D32:F32"/>
    <mergeCell ref="G32:I32"/>
    <mergeCell ref="J32:L32"/>
    <mergeCell ref="D33:F33"/>
    <mergeCell ref="G33:I33"/>
    <mergeCell ref="J33:L33"/>
    <mergeCell ref="D30:F30"/>
    <mergeCell ref="G30:I30"/>
    <mergeCell ref="J30:L30"/>
    <mergeCell ref="D31:F31"/>
    <mergeCell ref="G31:I31"/>
    <mergeCell ref="J31:L31"/>
    <mergeCell ref="O6:O14"/>
    <mergeCell ref="O15:O25"/>
    <mergeCell ref="J29:L29"/>
    <mergeCell ref="D10:F10"/>
    <mergeCell ref="G11:I11"/>
    <mergeCell ref="J28:L28"/>
    <mergeCell ref="G29:I29"/>
    <mergeCell ref="G25:I25"/>
    <mergeCell ref="G16:I16"/>
    <mergeCell ref="D29:F29"/>
    <mergeCell ref="D23:F23"/>
    <mergeCell ref="G22:I22"/>
    <mergeCell ref="J18:L18"/>
    <mergeCell ref="J23:L23"/>
    <mergeCell ref="D26:F26"/>
    <mergeCell ref="J17:L17"/>
    <mergeCell ref="G28:I28"/>
    <mergeCell ref="G19:I19"/>
    <mergeCell ref="B2:K3"/>
    <mergeCell ref="D16:F16"/>
    <mergeCell ref="G15:I15"/>
    <mergeCell ref="J11:L11"/>
    <mergeCell ref="J7:L7"/>
    <mergeCell ref="J16:L16"/>
    <mergeCell ref="G14:I14"/>
    <mergeCell ref="G5:I5"/>
    <mergeCell ref="D12:F12"/>
    <mergeCell ref="D9:F9"/>
    <mergeCell ref="J12:L12"/>
    <mergeCell ref="D8:F8"/>
    <mergeCell ref="D14:F14"/>
    <mergeCell ref="D5:F5"/>
    <mergeCell ref="J5:L5"/>
    <mergeCell ref="J14:L14"/>
    <mergeCell ref="G6:I6"/>
    <mergeCell ref="D13:F13"/>
    <mergeCell ref="G13:I13"/>
    <mergeCell ref="D6:F6"/>
    <mergeCell ref="J6:L6"/>
    <mergeCell ref="D7:F7"/>
    <mergeCell ref="G24:I24"/>
    <mergeCell ref="D28:F28"/>
    <mergeCell ref="D18:F18"/>
    <mergeCell ref="G26:I26"/>
    <mergeCell ref="G20:I20"/>
    <mergeCell ref="G12:I12"/>
    <mergeCell ref="G21:I21"/>
    <mergeCell ref="D20:F20"/>
    <mergeCell ref="G7:I7"/>
    <mergeCell ref="D27:F27"/>
    <mergeCell ref="J8:L8"/>
    <mergeCell ref="D19:F19"/>
    <mergeCell ref="J10:L10"/>
    <mergeCell ref="J13:L13"/>
    <mergeCell ref="J19:L19"/>
    <mergeCell ref="G23:I23"/>
    <mergeCell ref="D22:F22"/>
    <mergeCell ref="G8:I8"/>
    <mergeCell ref="G17:I17"/>
    <mergeCell ref="G18:I18"/>
    <mergeCell ref="D17:F17"/>
    <mergeCell ref="J27:L27"/>
    <mergeCell ref="J9:L9"/>
    <mergeCell ref="J20:L20"/>
    <mergeCell ref="J26:L26"/>
    <mergeCell ref="J25:L25"/>
    <mergeCell ref="J22:L22"/>
    <mergeCell ref="J15:L15"/>
    <mergeCell ref="D21:F21"/>
    <mergeCell ref="G27:I27"/>
    <mergeCell ref="D15:F15"/>
    <mergeCell ref="J21:L21"/>
    <mergeCell ref="D25:F25"/>
    <mergeCell ref="D24:F24"/>
    <mergeCell ref="J24:L24"/>
    <mergeCell ref="D11:F11"/>
    <mergeCell ref="G10:I10"/>
    <mergeCell ref="G9:I9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4D43-9187-4F8E-BCCE-BD19DDA80014}">
  <dimension ref="A1:S25"/>
  <sheetViews>
    <sheetView tabSelected="1" workbookViewId="0">
      <selection activeCell="E14" sqref="E14"/>
    </sheetView>
  </sheetViews>
  <sheetFormatPr defaultColWidth="11.42578125" defaultRowHeight="14.45"/>
  <cols>
    <col min="1" max="1" width="15" style="48" customWidth="1"/>
    <col min="6" max="6" width="27" bestFit="1" customWidth="1"/>
    <col min="7" max="7" width="34.42578125" bestFit="1" customWidth="1"/>
    <col min="18" max="18" width="12.5703125" bestFit="1" customWidth="1"/>
  </cols>
  <sheetData>
    <row r="1" spans="1:19">
      <c r="A1" s="1" t="s">
        <v>663</v>
      </c>
      <c r="B1" s="1" t="s">
        <v>2</v>
      </c>
      <c r="C1" s="1" t="s">
        <v>664</v>
      </c>
      <c r="D1" s="1" t="s">
        <v>665</v>
      </c>
      <c r="E1" s="1" t="s">
        <v>89</v>
      </c>
      <c r="F1" s="1" t="s">
        <v>42</v>
      </c>
      <c r="G1" s="1" t="s">
        <v>43</v>
      </c>
      <c r="H1" s="49" t="s">
        <v>44</v>
      </c>
      <c r="I1" s="79"/>
      <c r="J1" s="80"/>
      <c r="K1" s="49" t="s">
        <v>45</v>
      </c>
      <c r="L1" s="79"/>
      <c r="M1" s="80"/>
      <c r="N1" s="49" t="s">
        <v>46</v>
      </c>
      <c r="O1" s="79"/>
      <c r="P1" s="80"/>
      <c r="Q1" s="2" t="s">
        <v>47</v>
      </c>
      <c r="R1" s="3" t="s">
        <v>90</v>
      </c>
      <c r="S1" s="14" t="s">
        <v>91</v>
      </c>
    </row>
    <row r="2" spans="1:19">
      <c r="A2" s="48" t="s">
        <v>666</v>
      </c>
    </row>
    <row r="6" spans="1:19">
      <c r="A6" s="48" t="s">
        <v>7</v>
      </c>
    </row>
    <row r="12" spans="1:19">
      <c r="A12" s="48" t="s">
        <v>6</v>
      </c>
    </row>
    <row r="18" spans="1:1">
      <c r="A18" s="48" t="s">
        <v>22</v>
      </c>
    </row>
    <row r="25" spans="1:1">
      <c r="A25" s="48" t="s">
        <v>23</v>
      </c>
    </row>
  </sheetData>
  <mergeCells count="3">
    <mergeCell ref="H1:J1"/>
    <mergeCell ref="K1:M1"/>
    <mergeCell ref="N1:P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050cd6-597d-40c8-b18d-f9810b9076d3" xsi:nil="true"/>
    <lcf76f155ced4ddcb4097134ff3c332f xmlns="7c832604-cef7-4d94-9bad-2d4c9a08d53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59937DA0BED41BC5CA8FBAB22C4F8" ma:contentTypeVersion="12" ma:contentTypeDescription="Crear nuevo documento." ma:contentTypeScope="" ma:versionID="9759d70c87bd5b1963244c3967a558c2">
  <xsd:schema xmlns:xsd="http://www.w3.org/2001/XMLSchema" xmlns:xs="http://www.w3.org/2001/XMLSchema" xmlns:p="http://schemas.microsoft.com/office/2006/metadata/properties" xmlns:ns2="7c832604-cef7-4d94-9bad-2d4c9a08d53d" xmlns:ns3="92050cd6-597d-40c8-b18d-f9810b9076d3" targetNamespace="http://schemas.microsoft.com/office/2006/metadata/properties" ma:root="true" ma:fieldsID="327a330f5fa252e695ef588a54f7b3f4" ns2:_="" ns3:_="">
    <xsd:import namespace="7c832604-cef7-4d94-9bad-2d4c9a08d53d"/>
    <xsd:import namespace="92050cd6-597d-40c8-b18d-f9810b907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32604-cef7-4d94-9bad-2d4c9a08d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50cd6-597d-40c8-b18d-f9810b9076d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841f9a2-7bbe-4705-92f1-23b7f581a56e}" ma:internalName="TaxCatchAll" ma:showField="CatchAllData" ma:web="92050cd6-597d-40c8-b18d-f9810b907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9980B-5605-467E-A132-3854F27984FE}"/>
</file>

<file path=customXml/itemProps2.xml><?xml version="1.0" encoding="utf-8"?>
<ds:datastoreItem xmlns:ds="http://schemas.openxmlformats.org/officeDocument/2006/customXml" ds:itemID="{E41791FF-B4F4-401D-B08F-91EBD257B36E}"/>
</file>

<file path=customXml/itemProps3.xml><?xml version="1.0" encoding="utf-8"?>
<ds:datastoreItem xmlns:ds="http://schemas.openxmlformats.org/officeDocument/2006/customXml" ds:itemID="{3D891547-FA07-4C93-94D5-7C1EA77F3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 Barrera, Matias Daniel (Externo)</dc:creator>
  <cp:keywords/>
  <dc:description/>
  <cp:lastModifiedBy/>
  <cp:revision/>
  <dcterms:created xsi:type="dcterms:W3CDTF">2026-04-09T16:12:41Z</dcterms:created>
  <dcterms:modified xsi:type="dcterms:W3CDTF">2026-05-15T21:34:37Z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2026-04-10T17:13:54Z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e4a9bb95-e297-4b90-9e7d-dc1206cf00b0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10, 3, 0, 2</vt:lpwstr>
  </property>
  <property fmtid="{D5CDD505-2E9C-101B-9397-08002B2CF9AE}" pid="10" name="ContentTypeId">
    <vt:lpwstr>0x010100BB459937DA0BED41BC5CA8FBAB22C4F8</vt:lpwstr>
  </property>
  <property fmtid="{D5CDD505-2E9C-101B-9397-08002B2CF9AE}" pid="11" name="MediaServiceImageTags">
    <vt:lpwstr/>
  </property>
</Properties>
</file>